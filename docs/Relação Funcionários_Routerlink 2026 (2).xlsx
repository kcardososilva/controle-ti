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Departamento Pessoal/2026/"/>
    </mc:Choice>
  </mc:AlternateContent>
  <xr:revisionPtr revIDLastSave="133" documentId="14_{62644214-5D69-4431-A40D-1C870B826CE6}" xr6:coauthVersionLast="47" xr6:coauthVersionMax="47" xr10:uidLastSave="{BC99CCF5-1C4E-47D7-B8B0-5FBA604D3E75}"/>
  <bookViews>
    <workbookView xWindow="-28920" yWindow="-1290" windowWidth="29040" windowHeight="15720" activeTab="3" xr2:uid="{30683879-0CE9-4FF9-A118-72C0E12603A2}"/>
  </bookViews>
  <sheets>
    <sheet name="Jan 2026" sheetId="33" r:id="rId1"/>
    <sheet name="Fev 2026" sheetId="34" r:id="rId2"/>
    <sheet name="Mar 2026" sheetId="35" r:id="rId3"/>
    <sheet name="Abr 2026" sheetId="36" r:id="rId4"/>
  </sheets>
  <externalReferences>
    <externalReference r:id="rId5"/>
  </externalReferences>
  <definedNames>
    <definedName name="_xlnm._FilterDatabase" localSheetId="3" hidden="1">'Abr 2026'!$A$1:$N$1246</definedName>
    <definedName name="_xlnm._FilterDatabase" localSheetId="1" hidden="1">'Fev 2026'!$A$1:$N$1204</definedName>
    <definedName name="_xlnm._FilterDatabase" localSheetId="0" hidden="1">'Jan 2026'!$A$1:$N$1174</definedName>
    <definedName name="_xlnm._FilterDatabase" localSheetId="2" hidden="1">'Mar 2026'!$A$1:$N$1169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36" l="1"/>
  <c r="N4" i="36"/>
  <c r="N5" i="36"/>
  <c r="N6" i="36"/>
  <c r="N7" i="36"/>
  <c r="N8" i="36"/>
  <c r="N9" i="36"/>
  <c r="N10" i="36"/>
  <c r="N11" i="36"/>
  <c r="N12" i="36"/>
  <c r="N13" i="36"/>
  <c r="N14" i="36"/>
  <c r="N15" i="36"/>
  <c r="N16" i="36"/>
  <c r="N17" i="36"/>
  <c r="N18" i="36"/>
  <c r="N19" i="36"/>
  <c r="N20" i="36"/>
  <c r="N21" i="36"/>
  <c r="N22" i="36"/>
  <c r="N23" i="36"/>
  <c r="N24" i="36"/>
  <c r="N25" i="36"/>
  <c r="N26" i="36"/>
  <c r="N27" i="36"/>
  <c r="N28" i="36"/>
  <c r="N29" i="36"/>
  <c r="N30" i="36"/>
  <c r="N31" i="36"/>
  <c r="N32" i="36"/>
  <c r="N33" i="36"/>
  <c r="N34" i="36"/>
  <c r="N35" i="36"/>
  <c r="N36" i="36"/>
  <c r="N37" i="36"/>
  <c r="N38" i="36"/>
  <c r="N39" i="36"/>
  <c r="N40" i="36"/>
  <c r="N41" i="36"/>
  <c r="N42" i="36"/>
  <c r="N43" i="36"/>
  <c r="N44" i="36"/>
  <c r="N45" i="36"/>
  <c r="N46" i="36"/>
  <c r="N47" i="36"/>
  <c r="N48" i="36"/>
  <c r="N49" i="36"/>
  <c r="N50" i="36"/>
  <c r="N51" i="36"/>
  <c r="N52" i="36"/>
  <c r="N53" i="36"/>
  <c r="N54" i="36"/>
  <c r="N55" i="36"/>
  <c r="N56" i="36"/>
  <c r="N57" i="36"/>
  <c r="N58" i="36"/>
  <c r="N59" i="36"/>
  <c r="N60" i="36"/>
  <c r="N61" i="36"/>
  <c r="N62" i="36"/>
  <c r="N63" i="36"/>
  <c r="N64" i="36"/>
  <c r="N65" i="36"/>
  <c r="N66" i="36"/>
  <c r="N67" i="36"/>
  <c r="N68" i="36"/>
  <c r="N69" i="36"/>
  <c r="N70" i="36"/>
  <c r="N71" i="36"/>
  <c r="N72" i="36"/>
  <c r="N73" i="36"/>
  <c r="N74" i="36"/>
  <c r="N75" i="36"/>
  <c r="N76" i="36"/>
  <c r="N77" i="36"/>
  <c r="N78" i="36"/>
  <c r="N79" i="36"/>
  <c r="N80" i="36"/>
  <c r="N81" i="36"/>
  <c r="N82" i="36"/>
  <c r="N83" i="36"/>
  <c r="N84" i="36"/>
  <c r="N85" i="36"/>
  <c r="N86" i="36"/>
  <c r="N87" i="36"/>
  <c r="N88" i="36"/>
  <c r="N89" i="36"/>
  <c r="N90" i="36"/>
  <c r="N91" i="36"/>
  <c r="N92" i="36"/>
  <c r="N93" i="36"/>
  <c r="N94" i="36"/>
  <c r="N95" i="36"/>
  <c r="N96" i="36"/>
  <c r="N97" i="36"/>
  <c r="N98" i="36"/>
  <c r="N99" i="36"/>
  <c r="N100" i="36"/>
  <c r="N101" i="36"/>
  <c r="N102" i="36"/>
  <c r="N103" i="36"/>
  <c r="N104" i="36"/>
  <c r="N105" i="36"/>
  <c r="N106" i="36"/>
  <c r="N107" i="36"/>
  <c r="N108" i="36"/>
  <c r="N109" i="36"/>
  <c r="N110" i="36"/>
  <c r="N111" i="36"/>
  <c r="N112" i="36"/>
  <c r="N113" i="36"/>
  <c r="N114" i="36"/>
  <c r="N115" i="36"/>
  <c r="N116" i="36"/>
  <c r="N117" i="36"/>
  <c r="N118" i="36"/>
  <c r="N119" i="36"/>
  <c r="N120" i="36"/>
  <c r="N121" i="36"/>
  <c r="N122" i="36"/>
  <c r="N123" i="36"/>
  <c r="N124" i="36"/>
  <c r="N125" i="36"/>
  <c r="N126" i="36"/>
  <c r="N127" i="36"/>
  <c r="N128" i="36"/>
  <c r="N129" i="36"/>
  <c r="N130" i="36"/>
  <c r="N131" i="36"/>
  <c r="N132" i="36"/>
  <c r="N133" i="36"/>
  <c r="N134" i="36"/>
  <c r="N135" i="36"/>
  <c r="N136" i="36"/>
  <c r="N137" i="36"/>
  <c r="N138" i="36"/>
  <c r="N139" i="36"/>
  <c r="N140" i="36"/>
  <c r="N141" i="36"/>
  <c r="N142" i="36"/>
  <c r="N143" i="36"/>
  <c r="N144" i="36"/>
  <c r="N145" i="36"/>
  <c r="N146" i="36"/>
  <c r="N147" i="36"/>
  <c r="N148" i="36"/>
  <c r="N149" i="36"/>
  <c r="N150" i="36"/>
  <c r="N151" i="36"/>
  <c r="N152" i="36"/>
  <c r="N153" i="36"/>
  <c r="N154" i="36"/>
  <c r="N155" i="36"/>
  <c r="N156" i="36"/>
  <c r="N157" i="36"/>
  <c r="N158" i="36"/>
  <c r="N159" i="36"/>
  <c r="N160" i="36"/>
  <c r="N161" i="36"/>
  <c r="N162" i="36"/>
  <c r="N163" i="36"/>
  <c r="N164" i="36"/>
  <c r="N165" i="36"/>
  <c r="N166" i="36"/>
  <c r="N167" i="36"/>
  <c r="N168" i="36"/>
  <c r="N169" i="36"/>
  <c r="N170" i="36"/>
  <c r="N171" i="36"/>
  <c r="N172" i="36"/>
  <c r="N173" i="36"/>
  <c r="N174" i="36"/>
  <c r="N175" i="36"/>
  <c r="N176" i="36"/>
  <c r="N177" i="36"/>
  <c r="N178" i="36"/>
  <c r="N179" i="36"/>
  <c r="N180" i="36"/>
  <c r="N181" i="36"/>
  <c r="N182" i="36"/>
  <c r="N183" i="36"/>
  <c r="N184" i="36"/>
  <c r="N185" i="36"/>
  <c r="N186" i="36"/>
  <c r="N187" i="36"/>
  <c r="N188" i="36"/>
  <c r="N189" i="36"/>
  <c r="N190" i="36"/>
  <c r="N191" i="36"/>
  <c r="N192" i="36"/>
  <c r="N193" i="36"/>
  <c r="N194" i="36"/>
  <c r="N195" i="36"/>
  <c r="N196" i="36"/>
  <c r="N197" i="36"/>
  <c r="N198" i="36"/>
  <c r="N199" i="36"/>
  <c r="N200" i="36"/>
  <c r="N201" i="36"/>
  <c r="N202" i="36"/>
  <c r="N203" i="36"/>
  <c r="N204" i="36"/>
  <c r="N205" i="36"/>
  <c r="N206" i="36"/>
  <c r="N207" i="36"/>
  <c r="N208" i="36"/>
  <c r="N209" i="36"/>
  <c r="N210" i="36"/>
  <c r="N211" i="36"/>
  <c r="N212" i="36"/>
  <c r="N213" i="36"/>
  <c r="N214" i="36"/>
  <c r="N215" i="36"/>
  <c r="N216" i="36"/>
  <c r="N217" i="36"/>
  <c r="N218" i="36"/>
  <c r="N219" i="36"/>
  <c r="N220" i="36"/>
  <c r="N221" i="36"/>
  <c r="N222" i="36"/>
  <c r="N223" i="36"/>
  <c r="N224" i="36"/>
  <c r="N225" i="36"/>
  <c r="N226" i="36"/>
  <c r="N227" i="36"/>
  <c r="N228" i="36"/>
  <c r="N229" i="36"/>
  <c r="N230" i="36"/>
  <c r="N231" i="36"/>
  <c r="N232" i="36"/>
  <c r="N233" i="36"/>
  <c r="N234" i="36"/>
  <c r="N235" i="36"/>
  <c r="N236" i="36"/>
  <c r="N237" i="36"/>
  <c r="N238" i="36"/>
  <c r="N239" i="36"/>
  <c r="N240" i="36"/>
  <c r="N241" i="36"/>
  <c r="N242" i="36"/>
  <c r="N243" i="36"/>
  <c r="N244" i="36"/>
  <c r="N245" i="36"/>
  <c r="N246" i="36"/>
  <c r="N247" i="36"/>
  <c r="N248" i="36"/>
  <c r="N249" i="36"/>
  <c r="N250" i="36"/>
  <c r="N251" i="36"/>
  <c r="N252" i="36"/>
  <c r="N253" i="36"/>
  <c r="N254" i="36"/>
  <c r="N255" i="36"/>
  <c r="N256" i="36"/>
  <c r="N257" i="36"/>
  <c r="N258" i="36"/>
  <c r="N259" i="36"/>
  <c r="N260" i="36"/>
  <c r="N261" i="36"/>
  <c r="N262" i="36"/>
  <c r="N263" i="36"/>
  <c r="N264" i="36"/>
  <c r="N265" i="36"/>
  <c r="N266" i="36"/>
  <c r="N267" i="36"/>
  <c r="N268" i="36"/>
  <c r="N269" i="36"/>
  <c r="N270" i="36"/>
  <c r="N271" i="36"/>
  <c r="N272" i="36"/>
  <c r="N273" i="36"/>
  <c r="N274" i="36"/>
  <c r="N275" i="36"/>
  <c r="N276" i="36"/>
  <c r="N277" i="36"/>
  <c r="N278" i="36"/>
  <c r="N279" i="36"/>
  <c r="N280" i="36"/>
  <c r="N281" i="36"/>
  <c r="N282" i="36"/>
  <c r="N283" i="36"/>
  <c r="N284" i="36"/>
  <c r="N285" i="36"/>
  <c r="N286" i="36"/>
  <c r="N287" i="36"/>
  <c r="N288" i="36"/>
  <c r="N289" i="36"/>
  <c r="N290" i="36"/>
  <c r="N291" i="36"/>
  <c r="N292" i="36"/>
  <c r="N293" i="36"/>
  <c r="N294" i="36"/>
  <c r="N295" i="36"/>
  <c r="N296" i="36"/>
  <c r="N297" i="36"/>
  <c r="N298" i="36"/>
  <c r="N299" i="36"/>
  <c r="N300" i="36"/>
  <c r="N301" i="36"/>
  <c r="N302" i="36"/>
  <c r="N303" i="36"/>
  <c r="N304" i="36"/>
  <c r="N305" i="36"/>
  <c r="N306" i="36"/>
  <c r="N307" i="36"/>
  <c r="N308" i="36"/>
  <c r="N309" i="36"/>
  <c r="N310" i="36"/>
  <c r="N311" i="36"/>
  <c r="N312" i="36"/>
  <c r="N313" i="36"/>
  <c r="N314" i="36"/>
  <c r="N315" i="36"/>
  <c r="N316" i="36"/>
  <c r="N317" i="36"/>
  <c r="N318" i="36"/>
  <c r="N319" i="36"/>
  <c r="N320" i="36"/>
  <c r="N321" i="36"/>
  <c r="N322" i="36"/>
  <c r="N323" i="36"/>
  <c r="N324" i="36"/>
  <c r="N325" i="36"/>
  <c r="N326" i="36"/>
  <c r="N327" i="36"/>
  <c r="N328" i="36"/>
  <c r="N329" i="36"/>
  <c r="N330" i="36"/>
  <c r="N331" i="36"/>
  <c r="N332" i="36"/>
  <c r="N333" i="36"/>
  <c r="N334" i="36"/>
  <c r="N335" i="36"/>
  <c r="N336" i="36"/>
  <c r="N337" i="36"/>
  <c r="N338" i="36"/>
  <c r="N339" i="36"/>
  <c r="N340" i="36"/>
  <c r="N341" i="36"/>
  <c r="N342" i="36"/>
  <c r="N343" i="36"/>
  <c r="N344" i="36"/>
  <c r="N345" i="36"/>
  <c r="N346" i="36"/>
  <c r="N347" i="36"/>
  <c r="N348" i="36"/>
  <c r="N349" i="36"/>
  <c r="N350" i="36"/>
  <c r="N351" i="36"/>
  <c r="N352" i="36"/>
  <c r="N353" i="36"/>
  <c r="N354" i="36"/>
  <c r="N355" i="36"/>
  <c r="N356" i="36"/>
  <c r="N357" i="36"/>
  <c r="N358" i="36"/>
  <c r="N359" i="36"/>
  <c r="N360" i="36"/>
  <c r="N361" i="36"/>
  <c r="N362" i="36"/>
  <c r="N363" i="36"/>
  <c r="N364" i="36"/>
  <c r="N365" i="36"/>
  <c r="N366" i="36"/>
  <c r="N367" i="36"/>
  <c r="N368" i="36"/>
  <c r="N369" i="36"/>
  <c r="N370" i="36"/>
  <c r="N371" i="36"/>
  <c r="N372" i="36"/>
  <c r="N373" i="36"/>
  <c r="N374" i="36"/>
  <c r="N375" i="36"/>
  <c r="N376" i="36"/>
  <c r="N377" i="36"/>
  <c r="N378" i="36"/>
  <c r="N379" i="36"/>
  <c r="N380" i="36"/>
  <c r="N381" i="36"/>
  <c r="N382" i="36"/>
  <c r="N383" i="36"/>
  <c r="N384" i="36"/>
  <c r="N385" i="36"/>
  <c r="N386" i="36"/>
  <c r="N387" i="36"/>
  <c r="N388" i="36"/>
  <c r="N389" i="36"/>
  <c r="N390" i="36"/>
  <c r="N391" i="36"/>
  <c r="N392" i="36"/>
  <c r="N393" i="36"/>
  <c r="N394" i="36"/>
  <c r="N395" i="36"/>
  <c r="N396" i="36"/>
  <c r="N397" i="36"/>
  <c r="N398" i="36"/>
  <c r="N399" i="36"/>
  <c r="N400" i="36"/>
  <c r="N401" i="36"/>
  <c r="N402" i="36"/>
  <c r="N403" i="36"/>
  <c r="N404" i="36"/>
  <c r="N405" i="36"/>
  <c r="N406" i="36"/>
  <c r="N407" i="36"/>
  <c r="N408" i="36"/>
  <c r="N409" i="36"/>
  <c r="N410" i="36"/>
  <c r="N411" i="36"/>
  <c r="N412" i="36"/>
  <c r="N413" i="36"/>
  <c r="N414" i="36"/>
  <c r="N415" i="36"/>
  <c r="N416" i="36"/>
  <c r="N417" i="36"/>
  <c r="N418" i="36"/>
  <c r="N419" i="36"/>
  <c r="N420" i="36"/>
  <c r="N421" i="36"/>
  <c r="N422" i="36"/>
  <c r="N423" i="36"/>
  <c r="N424" i="36"/>
  <c r="N425" i="36"/>
  <c r="N426" i="36"/>
  <c r="N427" i="36"/>
  <c r="N428" i="36"/>
  <c r="N429" i="36"/>
  <c r="N430" i="36"/>
  <c r="N431" i="36"/>
  <c r="N432" i="36"/>
  <c r="N433" i="36"/>
  <c r="N434" i="36"/>
  <c r="N435" i="36"/>
  <c r="N436" i="36"/>
  <c r="N437" i="36"/>
  <c r="N438" i="36"/>
  <c r="N439" i="36"/>
  <c r="N440" i="36"/>
  <c r="N441" i="36"/>
  <c r="N442" i="36"/>
  <c r="N443" i="36"/>
  <c r="N444" i="36"/>
  <c r="N445" i="36"/>
  <c r="N446" i="36"/>
  <c r="N447" i="36"/>
  <c r="N448" i="36"/>
  <c r="N449" i="36"/>
  <c r="N450" i="36"/>
  <c r="N451" i="36"/>
  <c r="N452" i="36"/>
  <c r="N453" i="36"/>
  <c r="N454" i="36"/>
  <c r="N455" i="36"/>
  <c r="N456" i="36"/>
  <c r="N457" i="36"/>
  <c r="N458" i="36"/>
  <c r="N459" i="36"/>
  <c r="N460" i="36"/>
  <c r="N461" i="36"/>
  <c r="N462" i="36"/>
  <c r="N463" i="36"/>
  <c r="N464" i="36"/>
  <c r="N465" i="36"/>
  <c r="N466" i="36"/>
  <c r="N467" i="36"/>
  <c r="N468" i="36"/>
  <c r="N469" i="36"/>
  <c r="N470" i="36"/>
  <c r="N471" i="36"/>
  <c r="N472" i="36"/>
  <c r="N473" i="36"/>
  <c r="N474" i="36"/>
  <c r="N475" i="36"/>
  <c r="N476" i="36"/>
  <c r="N477" i="36"/>
  <c r="N478" i="36"/>
  <c r="N479" i="36"/>
  <c r="N480" i="36"/>
  <c r="N481" i="36"/>
  <c r="N482" i="36"/>
  <c r="N483" i="36"/>
  <c r="N484" i="36"/>
  <c r="N485" i="36"/>
  <c r="N486" i="36"/>
  <c r="N487" i="36"/>
  <c r="N488" i="36"/>
  <c r="N489" i="36"/>
  <c r="N490" i="36"/>
  <c r="N491" i="36"/>
  <c r="N492" i="36"/>
  <c r="N493" i="36"/>
  <c r="N494" i="36"/>
  <c r="N495" i="36"/>
  <c r="N496" i="36"/>
  <c r="N497" i="36"/>
  <c r="N498" i="36"/>
  <c r="N499" i="36"/>
  <c r="N500" i="36"/>
  <c r="N501" i="36"/>
  <c r="N502" i="36"/>
  <c r="N503" i="36"/>
  <c r="N504" i="36"/>
  <c r="N505" i="36"/>
  <c r="N506" i="36"/>
  <c r="N507" i="36"/>
  <c r="N508" i="36"/>
  <c r="N509" i="36"/>
  <c r="N510" i="36"/>
  <c r="N511" i="36"/>
  <c r="N512" i="36"/>
  <c r="N513" i="36"/>
  <c r="N514" i="36"/>
  <c r="N515" i="36"/>
  <c r="N516" i="36"/>
  <c r="N517" i="36"/>
  <c r="N518" i="36"/>
  <c r="N519" i="36"/>
  <c r="N520" i="36"/>
  <c r="N521" i="36"/>
  <c r="N522" i="36"/>
  <c r="N523" i="36"/>
  <c r="N524" i="36"/>
  <c r="N525" i="36"/>
  <c r="N526" i="36"/>
  <c r="N527" i="36"/>
  <c r="N528" i="36"/>
  <c r="N529" i="36"/>
  <c r="N530" i="36"/>
  <c r="N531" i="36"/>
  <c r="N532" i="36"/>
  <c r="N533" i="36"/>
  <c r="N534" i="36"/>
  <c r="N535" i="36"/>
  <c r="N536" i="36"/>
  <c r="N537" i="36"/>
  <c r="N538" i="36"/>
  <c r="N539" i="36"/>
  <c r="N540" i="36"/>
  <c r="N541" i="36"/>
  <c r="N542" i="36"/>
  <c r="N543" i="36"/>
  <c r="N544" i="36"/>
  <c r="N545" i="36"/>
  <c r="N546" i="36"/>
  <c r="N547" i="36"/>
  <c r="N548" i="36"/>
  <c r="N549" i="36"/>
  <c r="N550" i="36"/>
  <c r="N551" i="36"/>
  <c r="N552" i="36"/>
  <c r="N553" i="36"/>
  <c r="N554" i="36"/>
  <c r="N555" i="36"/>
  <c r="N556" i="36"/>
  <c r="N557" i="36"/>
  <c r="N558" i="36"/>
  <c r="N559" i="36"/>
  <c r="N560" i="36"/>
  <c r="N561" i="36"/>
  <c r="N562" i="36"/>
  <c r="N563" i="36"/>
  <c r="N564" i="36"/>
  <c r="N565" i="36"/>
  <c r="N566" i="36"/>
  <c r="N567" i="36"/>
  <c r="N568" i="36"/>
  <c r="N569" i="36"/>
  <c r="N570" i="36"/>
  <c r="N571" i="36"/>
  <c r="N572" i="36"/>
  <c r="N573" i="36"/>
  <c r="N574" i="36"/>
  <c r="N575" i="36"/>
  <c r="N576" i="36"/>
  <c r="N577" i="36"/>
  <c r="N578" i="36"/>
  <c r="N579" i="36"/>
  <c r="N580" i="36"/>
  <c r="N581" i="36"/>
  <c r="N582" i="36"/>
  <c r="N583" i="36"/>
  <c r="N584" i="36"/>
  <c r="N585" i="36"/>
  <c r="N586" i="36"/>
  <c r="N587" i="36"/>
  <c r="N588" i="36"/>
  <c r="N589" i="36"/>
  <c r="N590" i="36"/>
  <c r="N591" i="36"/>
  <c r="N592" i="36"/>
  <c r="N593" i="36"/>
  <c r="N594" i="36"/>
  <c r="N595" i="36"/>
  <c r="N596" i="36"/>
  <c r="N597" i="36"/>
  <c r="N598" i="36"/>
  <c r="N599" i="36"/>
  <c r="N600" i="36"/>
  <c r="N601" i="36"/>
  <c r="N602" i="36"/>
  <c r="N603" i="36"/>
  <c r="N604" i="36"/>
  <c r="N605" i="36"/>
  <c r="N606" i="36"/>
  <c r="N607" i="36"/>
  <c r="N608" i="36"/>
  <c r="N609" i="36"/>
  <c r="N610" i="36"/>
  <c r="N611" i="36"/>
  <c r="N612" i="36"/>
  <c r="N613" i="36"/>
  <c r="N614" i="36"/>
  <c r="N615" i="36"/>
  <c r="N616" i="36"/>
  <c r="N617" i="36"/>
  <c r="N618" i="36"/>
  <c r="N619" i="36"/>
  <c r="N620" i="36"/>
  <c r="N621" i="36"/>
  <c r="N622" i="36"/>
  <c r="N623" i="36"/>
  <c r="N624" i="36"/>
  <c r="N625" i="36"/>
  <c r="N626" i="36"/>
  <c r="N627" i="36"/>
  <c r="N628" i="36"/>
  <c r="N629" i="36"/>
  <c r="N630" i="36"/>
  <c r="N631" i="36"/>
  <c r="N632" i="36"/>
  <c r="N633" i="36"/>
  <c r="N634" i="36"/>
  <c r="N635" i="36"/>
  <c r="N636" i="36"/>
  <c r="N637" i="36"/>
  <c r="N638" i="36"/>
  <c r="N639" i="36"/>
  <c r="N640" i="36"/>
  <c r="N641" i="36"/>
  <c r="N642" i="36"/>
  <c r="N643" i="36"/>
  <c r="N644" i="36"/>
  <c r="N645" i="36"/>
  <c r="N646" i="36"/>
  <c r="N647" i="36"/>
  <c r="N648" i="36"/>
  <c r="N649" i="36"/>
  <c r="N650" i="36"/>
  <c r="N651" i="36"/>
  <c r="N652" i="36"/>
  <c r="N653" i="36"/>
  <c r="N654" i="36"/>
  <c r="N655" i="36"/>
  <c r="N656" i="36"/>
  <c r="N657" i="36"/>
  <c r="N658" i="36"/>
  <c r="N659" i="36"/>
  <c r="N660" i="36"/>
  <c r="N661" i="36"/>
  <c r="N662" i="36"/>
  <c r="N663" i="36"/>
  <c r="N664" i="36"/>
  <c r="N665" i="36"/>
  <c r="N666" i="36"/>
  <c r="N667" i="36"/>
  <c r="N668" i="36"/>
  <c r="N669" i="36"/>
  <c r="N670" i="36"/>
  <c r="N671" i="36"/>
  <c r="N672" i="36"/>
  <c r="N673" i="36"/>
  <c r="N674" i="36"/>
  <c r="N675" i="36"/>
  <c r="N676" i="36"/>
  <c r="N677" i="36"/>
  <c r="N678" i="36"/>
  <c r="N679" i="36"/>
  <c r="N680" i="36"/>
  <c r="N681" i="36"/>
  <c r="N682" i="36"/>
  <c r="N683" i="36"/>
  <c r="N684" i="36"/>
  <c r="N685" i="36"/>
  <c r="N686" i="36"/>
  <c r="N687" i="36"/>
  <c r="N688" i="36"/>
  <c r="N689" i="36"/>
  <c r="N690" i="36"/>
  <c r="N691" i="36"/>
  <c r="N692" i="36"/>
  <c r="N693" i="36"/>
  <c r="N694" i="36"/>
  <c r="N695" i="36"/>
  <c r="N696" i="36"/>
  <c r="N697" i="36"/>
  <c r="N698" i="36"/>
  <c r="N699" i="36"/>
  <c r="N700" i="36"/>
  <c r="N701" i="36"/>
  <c r="N702" i="36"/>
  <c r="N703" i="36"/>
  <c r="N704" i="36"/>
  <c r="N705" i="36"/>
  <c r="N706" i="36"/>
  <c r="N707" i="36"/>
  <c r="N708" i="36"/>
  <c r="N709" i="36"/>
  <c r="N710" i="36"/>
  <c r="N711" i="36"/>
  <c r="N712" i="36"/>
  <c r="N713" i="36"/>
  <c r="N714" i="36"/>
  <c r="N715" i="36"/>
  <c r="N716" i="36"/>
  <c r="N717" i="36"/>
  <c r="N718" i="36"/>
  <c r="N719" i="36"/>
  <c r="N720" i="36"/>
  <c r="N721" i="36"/>
  <c r="N722" i="36"/>
  <c r="N723" i="36"/>
  <c r="N724" i="36"/>
  <c r="N725" i="36"/>
  <c r="N726" i="36"/>
  <c r="N727" i="36"/>
  <c r="N728" i="36"/>
  <c r="N729" i="36"/>
  <c r="N730" i="36"/>
  <c r="N731" i="36"/>
  <c r="N732" i="36"/>
  <c r="N733" i="36"/>
  <c r="N734" i="36"/>
  <c r="N735" i="36"/>
  <c r="N736" i="36"/>
  <c r="N737" i="36"/>
  <c r="N738" i="36"/>
  <c r="N739" i="36"/>
  <c r="N740" i="36"/>
  <c r="N741" i="36"/>
  <c r="N742" i="36"/>
  <c r="N743" i="36"/>
  <c r="N744" i="36"/>
  <c r="N745" i="36"/>
  <c r="N746" i="36"/>
  <c r="N747" i="36"/>
  <c r="N748" i="36"/>
  <c r="N749" i="36"/>
  <c r="N750" i="36"/>
  <c r="N751" i="36"/>
  <c r="N752" i="36"/>
  <c r="N753" i="36"/>
  <c r="N754" i="36"/>
  <c r="N755" i="36"/>
  <c r="N756" i="36"/>
  <c r="N757" i="36"/>
  <c r="N758" i="36"/>
  <c r="N759" i="36"/>
  <c r="N760" i="36"/>
  <c r="N761" i="36"/>
  <c r="N762" i="36"/>
  <c r="N763" i="36"/>
  <c r="N764" i="36"/>
  <c r="N765" i="36"/>
  <c r="N766" i="36"/>
  <c r="N767" i="36"/>
  <c r="N768" i="36"/>
  <c r="N769" i="36"/>
  <c r="N770" i="36"/>
  <c r="N771" i="36"/>
  <c r="N772" i="36"/>
  <c r="N773" i="36"/>
  <c r="N774" i="36"/>
  <c r="N775" i="36"/>
  <c r="N776" i="36"/>
  <c r="N777" i="36"/>
  <c r="N778" i="36"/>
  <c r="N779" i="36"/>
  <c r="N780" i="36"/>
  <c r="N781" i="36"/>
  <c r="N782" i="36"/>
  <c r="N783" i="36"/>
  <c r="N784" i="36"/>
  <c r="N785" i="36"/>
  <c r="N786" i="36"/>
  <c r="N787" i="36"/>
  <c r="N788" i="36"/>
  <c r="N789" i="36"/>
  <c r="N790" i="36"/>
  <c r="N791" i="36"/>
  <c r="N792" i="36"/>
  <c r="N793" i="36"/>
  <c r="N794" i="36"/>
  <c r="N795" i="36"/>
  <c r="N796" i="36"/>
  <c r="N797" i="36"/>
  <c r="N798" i="36"/>
  <c r="N799" i="36"/>
  <c r="N800" i="36"/>
  <c r="N801" i="36"/>
  <c r="N802" i="36"/>
  <c r="N803" i="36"/>
  <c r="N804" i="36"/>
  <c r="N805" i="36"/>
  <c r="N806" i="36"/>
  <c r="N807" i="36"/>
  <c r="N808" i="36"/>
  <c r="N809" i="36"/>
  <c r="N810" i="36"/>
  <c r="N811" i="36"/>
  <c r="N812" i="36"/>
  <c r="N813" i="36"/>
  <c r="N814" i="36"/>
  <c r="N815" i="36"/>
  <c r="N816" i="36"/>
  <c r="N817" i="36"/>
  <c r="N818" i="36"/>
  <c r="N819" i="36"/>
  <c r="N820" i="36"/>
  <c r="N821" i="36"/>
  <c r="N822" i="36"/>
  <c r="N823" i="36"/>
  <c r="N824" i="36"/>
  <c r="N825" i="36"/>
  <c r="N826" i="36"/>
  <c r="N827" i="36"/>
  <c r="N828" i="36"/>
  <c r="N829" i="36"/>
  <c r="N830" i="36"/>
  <c r="N831" i="36"/>
  <c r="N832" i="36"/>
  <c r="N833" i="36"/>
  <c r="N834" i="36"/>
  <c r="N835" i="36"/>
  <c r="N836" i="36"/>
  <c r="N837" i="36"/>
  <c r="N838" i="36"/>
  <c r="N839" i="36"/>
  <c r="N840" i="36"/>
  <c r="N841" i="36"/>
  <c r="N842" i="36"/>
  <c r="N843" i="36"/>
  <c r="N844" i="36"/>
  <c r="N845" i="36"/>
  <c r="N846" i="36"/>
  <c r="N847" i="36"/>
  <c r="N848" i="36"/>
  <c r="N849" i="36"/>
  <c r="N850" i="36"/>
  <c r="N851" i="36"/>
  <c r="N852" i="36"/>
  <c r="N853" i="36"/>
  <c r="N854" i="36"/>
  <c r="N855" i="36"/>
  <c r="N856" i="36"/>
  <c r="N857" i="36"/>
  <c r="N858" i="36"/>
  <c r="N859" i="36"/>
  <c r="N860" i="36"/>
  <c r="N861" i="36"/>
  <c r="N862" i="36"/>
  <c r="N863" i="36"/>
  <c r="N864" i="36"/>
  <c r="N865" i="36"/>
  <c r="N866" i="36"/>
  <c r="N867" i="36"/>
  <c r="N868" i="36"/>
  <c r="N869" i="36"/>
  <c r="N870" i="36"/>
  <c r="N871" i="36"/>
  <c r="N872" i="36"/>
  <c r="N873" i="36"/>
  <c r="N874" i="36"/>
  <c r="N875" i="36"/>
  <c r="N876" i="36"/>
  <c r="N877" i="36"/>
  <c r="N878" i="36"/>
  <c r="N879" i="36"/>
  <c r="N880" i="36"/>
  <c r="N881" i="36"/>
  <c r="N882" i="36"/>
  <c r="N883" i="36"/>
  <c r="N884" i="36"/>
  <c r="N885" i="36"/>
  <c r="N886" i="36"/>
  <c r="N887" i="36"/>
  <c r="N888" i="36"/>
  <c r="N889" i="36"/>
  <c r="N890" i="36"/>
  <c r="N891" i="36"/>
  <c r="N892" i="36"/>
  <c r="N893" i="36"/>
  <c r="N894" i="36"/>
  <c r="N895" i="36"/>
  <c r="N896" i="36"/>
  <c r="N897" i="36"/>
  <c r="N898" i="36"/>
  <c r="N899" i="36"/>
  <c r="N900" i="36"/>
  <c r="N901" i="36"/>
  <c r="N902" i="36"/>
  <c r="N903" i="36"/>
  <c r="N904" i="36"/>
  <c r="N905" i="36"/>
  <c r="N906" i="36"/>
  <c r="N907" i="36"/>
  <c r="N908" i="36"/>
  <c r="N909" i="36"/>
  <c r="N910" i="36"/>
  <c r="N911" i="36"/>
  <c r="N912" i="36"/>
  <c r="N913" i="36"/>
  <c r="N914" i="36"/>
  <c r="N915" i="36"/>
  <c r="N916" i="36"/>
  <c r="N917" i="36"/>
  <c r="N918" i="36"/>
  <c r="N919" i="36"/>
  <c r="N920" i="36"/>
  <c r="N921" i="36"/>
  <c r="N922" i="36"/>
  <c r="N923" i="36"/>
  <c r="N924" i="36"/>
  <c r="N925" i="36"/>
  <c r="N926" i="36"/>
  <c r="N927" i="36"/>
  <c r="N928" i="36"/>
  <c r="N929" i="36"/>
  <c r="N930" i="36"/>
  <c r="N931" i="36"/>
  <c r="N932" i="36"/>
  <c r="N933" i="36"/>
  <c r="N934" i="36"/>
  <c r="N935" i="36"/>
  <c r="N936" i="36"/>
  <c r="N937" i="36"/>
  <c r="N938" i="36"/>
  <c r="N939" i="36"/>
  <c r="N940" i="36"/>
  <c r="N941" i="36"/>
  <c r="N942" i="36"/>
  <c r="N943" i="36"/>
  <c r="N944" i="36"/>
  <c r="N945" i="36"/>
  <c r="N946" i="36"/>
  <c r="N947" i="36"/>
  <c r="N948" i="36"/>
  <c r="N949" i="36"/>
  <c r="N950" i="36"/>
  <c r="N951" i="36"/>
  <c r="N952" i="36"/>
  <c r="N953" i="36"/>
  <c r="N954" i="36"/>
  <c r="N955" i="36"/>
  <c r="N956" i="36"/>
  <c r="N957" i="36"/>
  <c r="N958" i="36"/>
  <c r="N959" i="36"/>
  <c r="N960" i="36"/>
  <c r="N961" i="36"/>
  <c r="N962" i="36"/>
  <c r="N963" i="36"/>
  <c r="N964" i="36"/>
  <c r="N965" i="36"/>
  <c r="N966" i="36"/>
  <c r="N967" i="36"/>
  <c r="N968" i="36"/>
  <c r="N969" i="36"/>
  <c r="N970" i="36"/>
  <c r="N971" i="36"/>
  <c r="N972" i="36"/>
  <c r="N973" i="36"/>
  <c r="N974" i="36"/>
  <c r="N975" i="36"/>
  <c r="N976" i="36"/>
  <c r="N977" i="36"/>
  <c r="N978" i="36"/>
  <c r="N979" i="36"/>
  <c r="N980" i="36"/>
  <c r="N981" i="36"/>
  <c r="N982" i="36"/>
  <c r="N983" i="36"/>
  <c r="N984" i="36"/>
  <c r="N985" i="36"/>
  <c r="N986" i="36"/>
  <c r="N987" i="36"/>
  <c r="N988" i="36"/>
  <c r="N989" i="36"/>
  <c r="N990" i="36"/>
  <c r="N991" i="36"/>
  <c r="N992" i="36"/>
  <c r="N993" i="36"/>
  <c r="N994" i="36"/>
  <c r="N995" i="36"/>
  <c r="N996" i="36"/>
  <c r="N997" i="36"/>
  <c r="N998" i="36"/>
  <c r="N999" i="36"/>
  <c r="N1000" i="36"/>
  <c r="N1001" i="36"/>
  <c r="N1002" i="36"/>
  <c r="N1003" i="36"/>
  <c r="N1004" i="36"/>
  <c r="N1005" i="36"/>
  <c r="N1006" i="36"/>
  <c r="N1007" i="36"/>
  <c r="N1008" i="36"/>
  <c r="N1009" i="36"/>
  <c r="N1010" i="36"/>
  <c r="N1011" i="36"/>
  <c r="N1012" i="36"/>
  <c r="N1013" i="36"/>
  <c r="N1014" i="36"/>
  <c r="N1015" i="36"/>
  <c r="N1016" i="36"/>
  <c r="N1017" i="36"/>
  <c r="N1018" i="36"/>
  <c r="N1019" i="36"/>
  <c r="N1020" i="36"/>
  <c r="N1021" i="36"/>
  <c r="N1022" i="36"/>
  <c r="N1023" i="36"/>
  <c r="N1024" i="36"/>
  <c r="N1025" i="36"/>
  <c r="N1026" i="36"/>
  <c r="N1027" i="36"/>
  <c r="N1028" i="36"/>
  <c r="N1029" i="36"/>
  <c r="N1030" i="36"/>
  <c r="N1031" i="36"/>
  <c r="N1032" i="36"/>
  <c r="N1033" i="36"/>
  <c r="N1034" i="36"/>
  <c r="N1035" i="36"/>
  <c r="N1036" i="36"/>
  <c r="N1037" i="36"/>
  <c r="N1038" i="36"/>
  <c r="N1039" i="36"/>
  <c r="N1040" i="36"/>
  <c r="N1041" i="36"/>
  <c r="N1042" i="36"/>
  <c r="N1043" i="36"/>
  <c r="N1044" i="36"/>
  <c r="N1045" i="36"/>
  <c r="N1046" i="36"/>
  <c r="N1047" i="36"/>
  <c r="N1048" i="36"/>
  <c r="N1049" i="36"/>
  <c r="N1050" i="36"/>
  <c r="N1051" i="36"/>
  <c r="N1052" i="36"/>
  <c r="N1053" i="36"/>
  <c r="N1054" i="36"/>
  <c r="N1055" i="36"/>
  <c r="N1056" i="36"/>
  <c r="N1057" i="36"/>
  <c r="N1058" i="36"/>
  <c r="N1059" i="36"/>
  <c r="N1060" i="36"/>
  <c r="N1061" i="36"/>
  <c r="N1062" i="36"/>
  <c r="N1063" i="36"/>
  <c r="N1064" i="36"/>
  <c r="N1065" i="36"/>
  <c r="N1066" i="36"/>
  <c r="N1067" i="36"/>
  <c r="N1068" i="36"/>
  <c r="N1069" i="36"/>
  <c r="N1070" i="36"/>
  <c r="N1071" i="36"/>
  <c r="N1072" i="36"/>
  <c r="N1073" i="36"/>
  <c r="N1074" i="36"/>
  <c r="N1075" i="36"/>
  <c r="N1076" i="36"/>
  <c r="N1077" i="36"/>
  <c r="N1078" i="36"/>
  <c r="N1079" i="36"/>
  <c r="N1080" i="36"/>
  <c r="N1081" i="36"/>
  <c r="N1082" i="36"/>
  <c r="N1083" i="36"/>
  <c r="N1084" i="36"/>
  <c r="N1085" i="36"/>
  <c r="N1086" i="36"/>
  <c r="N1087" i="36"/>
  <c r="N1088" i="36"/>
  <c r="N1089" i="36"/>
  <c r="N1090" i="36"/>
  <c r="N1091" i="36"/>
  <c r="N1092" i="36"/>
  <c r="N1093" i="36"/>
  <c r="N1094" i="36"/>
  <c r="N1095" i="36"/>
  <c r="N1096" i="36"/>
  <c r="N1097" i="36"/>
  <c r="N1098" i="36"/>
  <c r="N1099" i="36"/>
  <c r="N1100" i="36"/>
  <c r="N1101" i="36"/>
  <c r="N1102" i="36"/>
  <c r="N1103" i="36"/>
  <c r="N1104" i="36"/>
  <c r="N1105" i="36"/>
  <c r="N1106" i="36"/>
  <c r="N1107" i="36"/>
  <c r="N1108" i="36"/>
  <c r="N1109" i="36"/>
  <c r="N1110" i="36"/>
  <c r="N1111" i="36"/>
  <c r="N1112" i="36"/>
  <c r="N1113" i="36"/>
  <c r="N1114" i="36"/>
  <c r="N1115" i="36"/>
  <c r="N1116" i="36"/>
  <c r="N1117" i="36"/>
  <c r="N1118" i="36"/>
  <c r="N1119" i="36"/>
  <c r="N1120" i="36"/>
  <c r="N1121" i="36"/>
  <c r="N1122" i="36"/>
  <c r="N1123" i="36"/>
  <c r="N1124" i="36"/>
  <c r="N1125" i="36"/>
  <c r="N1126" i="36"/>
  <c r="N1127" i="36"/>
  <c r="N1128" i="36"/>
  <c r="N1129" i="36"/>
  <c r="N1130" i="36"/>
  <c r="N1131" i="36"/>
  <c r="N1132" i="36"/>
  <c r="N1133" i="36"/>
  <c r="N1134" i="36"/>
  <c r="N1135" i="36"/>
  <c r="N1136" i="36"/>
  <c r="N1137" i="36"/>
  <c r="N1138" i="36"/>
  <c r="N1139" i="36"/>
  <c r="N1140" i="36"/>
  <c r="N1141" i="36"/>
  <c r="N1142" i="36"/>
  <c r="N1143" i="36"/>
  <c r="N1144" i="36"/>
  <c r="N1145" i="36"/>
  <c r="N1146" i="36"/>
  <c r="N1147" i="36"/>
  <c r="N1148" i="36"/>
  <c r="N1149" i="36"/>
  <c r="N1150" i="36"/>
  <c r="N1151" i="36"/>
  <c r="N1152" i="36"/>
  <c r="N1153" i="36"/>
  <c r="N1154" i="36"/>
  <c r="N1155" i="36"/>
  <c r="N1156" i="36"/>
  <c r="N1157" i="36"/>
  <c r="N1158" i="36"/>
  <c r="N1159" i="36"/>
  <c r="N1160" i="36"/>
  <c r="N1161" i="36"/>
  <c r="N1162" i="36"/>
  <c r="N1163" i="36"/>
  <c r="N1164" i="36"/>
  <c r="N1165" i="36"/>
  <c r="N1166" i="36"/>
  <c r="N1167" i="36"/>
  <c r="N1168" i="36"/>
  <c r="N1169" i="36"/>
  <c r="N1170" i="36"/>
  <c r="N1171" i="36"/>
  <c r="N1172" i="36"/>
  <c r="N1173" i="36"/>
  <c r="N1174" i="36"/>
  <c r="N1175" i="36"/>
  <c r="N1176" i="36"/>
  <c r="N1177" i="36"/>
  <c r="N1178" i="36"/>
  <c r="N1179" i="36"/>
  <c r="N1180" i="36"/>
  <c r="N1181" i="36"/>
  <c r="N1182" i="36"/>
  <c r="N1183" i="36"/>
  <c r="N1184" i="36"/>
  <c r="N1185" i="36"/>
  <c r="N1186" i="36"/>
  <c r="N1187" i="36"/>
  <c r="N1188" i="36"/>
  <c r="N1189" i="36"/>
  <c r="N1190" i="36"/>
  <c r="N1191" i="36"/>
  <c r="N1192" i="36"/>
  <c r="N1193" i="36"/>
  <c r="N1194" i="36"/>
  <c r="N1195" i="36"/>
  <c r="N1196" i="36"/>
  <c r="N1197" i="36"/>
  <c r="N1198" i="36"/>
  <c r="N1199" i="36"/>
  <c r="N1200" i="36"/>
  <c r="N1201" i="36"/>
  <c r="N1202" i="36"/>
  <c r="N1203" i="36"/>
  <c r="N1204" i="36"/>
  <c r="N1205" i="36"/>
  <c r="N1206" i="36"/>
  <c r="N1207" i="36"/>
  <c r="N1208" i="36"/>
  <c r="N1209" i="36"/>
  <c r="N1210" i="36"/>
  <c r="N1211" i="36"/>
  <c r="N1212" i="36"/>
  <c r="N1213" i="36"/>
  <c r="N1214" i="36"/>
  <c r="N1215" i="36"/>
  <c r="N1216" i="36"/>
  <c r="N1217" i="36"/>
  <c r="N1218" i="36"/>
  <c r="N1219" i="36"/>
  <c r="N1220" i="36"/>
  <c r="N1221" i="36"/>
  <c r="N1222" i="36"/>
  <c r="N1223" i="36"/>
  <c r="N1224" i="36"/>
  <c r="N1225" i="36"/>
  <c r="N1226" i="36"/>
  <c r="N1227" i="36"/>
  <c r="N1228" i="36"/>
  <c r="N1229" i="36"/>
  <c r="N1230" i="36"/>
  <c r="N1231" i="36"/>
  <c r="N1232" i="36"/>
  <c r="N1233" i="36"/>
  <c r="N1234" i="36"/>
  <c r="N1235" i="36"/>
  <c r="N1236" i="36"/>
  <c r="N1237" i="36"/>
  <c r="N1238" i="36"/>
  <c r="N1239" i="36"/>
  <c r="N1240" i="36"/>
  <c r="N1241" i="36"/>
  <c r="N1242" i="36"/>
  <c r="N1243" i="36"/>
  <c r="N1244" i="36"/>
  <c r="N1245" i="36"/>
  <c r="N1246" i="36"/>
  <c r="N2" i="36" l="1"/>
  <c r="N3" i="35" l="1"/>
  <c r="N4" i="35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105" i="35"/>
  <c r="N106" i="35"/>
  <c r="N107" i="35"/>
  <c r="N108" i="35"/>
  <c r="N109" i="35"/>
  <c r="N110" i="35"/>
  <c r="N111" i="35"/>
  <c r="N112" i="35"/>
  <c r="N113" i="35"/>
  <c r="N114" i="35"/>
  <c r="N115" i="35"/>
  <c r="N116" i="35"/>
  <c r="N117" i="35"/>
  <c r="N118" i="35"/>
  <c r="N119" i="35"/>
  <c r="N120" i="35"/>
  <c r="N121" i="35"/>
  <c r="N122" i="35"/>
  <c r="N123" i="35"/>
  <c r="N124" i="35"/>
  <c r="N125" i="35"/>
  <c r="N126" i="35"/>
  <c r="N127" i="35"/>
  <c r="N128" i="35"/>
  <c r="N129" i="35"/>
  <c r="N130" i="35"/>
  <c r="N131" i="35"/>
  <c r="N132" i="35"/>
  <c r="N133" i="35"/>
  <c r="N134" i="35"/>
  <c r="N135" i="35"/>
  <c r="N136" i="35"/>
  <c r="N137" i="35"/>
  <c r="N138" i="35"/>
  <c r="N139" i="35"/>
  <c r="N140" i="35"/>
  <c r="N141" i="35"/>
  <c r="N142" i="35"/>
  <c r="N143" i="35"/>
  <c r="N144" i="35"/>
  <c r="N145" i="35"/>
  <c r="N146" i="35"/>
  <c r="N147" i="35"/>
  <c r="N148" i="35"/>
  <c r="N149" i="35"/>
  <c r="N150" i="35"/>
  <c r="N151" i="35"/>
  <c r="N152" i="35"/>
  <c r="N153" i="35"/>
  <c r="N154" i="35"/>
  <c r="N155" i="35"/>
  <c r="N156" i="35"/>
  <c r="N157" i="35"/>
  <c r="N158" i="35"/>
  <c r="N159" i="35"/>
  <c r="N160" i="35"/>
  <c r="N161" i="35"/>
  <c r="N162" i="35"/>
  <c r="N163" i="35"/>
  <c r="N164" i="35"/>
  <c r="N165" i="35"/>
  <c r="N166" i="35"/>
  <c r="N167" i="35"/>
  <c r="N168" i="35"/>
  <c r="N169" i="35"/>
  <c r="N170" i="35"/>
  <c r="N171" i="35"/>
  <c r="N172" i="35"/>
  <c r="N173" i="35"/>
  <c r="N174" i="35"/>
  <c r="N175" i="35"/>
  <c r="N176" i="35"/>
  <c r="N177" i="35"/>
  <c r="N178" i="35"/>
  <c r="N179" i="35"/>
  <c r="N180" i="35"/>
  <c r="N181" i="35"/>
  <c r="N182" i="35"/>
  <c r="N183" i="35"/>
  <c r="N184" i="35"/>
  <c r="N185" i="35"/>
  <c r="N186" i="35"/>
  <c r="N187" i="35"/>
  <c r="N188" i="35"/>
  <c r="N189" i="35"/>
  <c r="N190" i="35"/>
  <c r="N191" i="35"/>
  <c r="N192" i="35"/>
  <c r="N193" i="35"/>
  <c r="N194" i="35"/>
  <c r="N195" i="35"/>
  <c r="N196" i="35"/>
  <c r="N197" i="35"/>
  <c r="N198" i="35"/>
  <c r="N199" i="35"/>
  <c r="N200" i="35"/>
  <c r="N201" i="35"/>
  <c r="N202" i="35"/>
  <c r="N203" i="35"/>
  <c r="N204" i="35"/>
  <c r="N205" i="35"/>
  <c r="N206" i="35"/>
  <c r="N207" i="35"/>
  <c r="N208" i="35"/>
  <c r="N209" i="35"/>
  <c r="N210" i="35"/>
  <c r="N211" i="35"/>
  <c r="N212" i="35"/>
  <c r="N213" i="35"/>
  <c r="N214" i="35"/>
  <c r="N215" i="35"/>
  <c r="N216" i="35"/>
  <c r="N217" i="35"/>
  <c r="N218" i="35"/>
  <c r="N219" i="35"/>
  <c r="N220" i="35"/>
  <c r="N221" i="35"/>
  <c r="N222" i="35"/>
  <c r="N223" i="35"/>
  <c r="N224" i="35"/>
  <c r="N225" i="35"/>
  <c r="N226" i="35"/>
  <c r="N227" i="35"/>
  <c r="N228" i="35"/>
  <c r="N229" i="35"/>
  <c r="N230" i="35"/>
  <c r="N231" i="35"/>
  <c r="N232" i="35"/>
  <c r="N233" i="35"/>
  <c r="N234" i="35"/>
  <c r="N235" i="35"/>
  <c r="N236" i="35"/>
  <c r="N237" i="35"/>
  <c r="N238" i="35"/>
  <c r="N239" i="35"/>
  <c r="N240" i="35"/>
  <c r="N241" i="35"/>
  <c r="N242" i="35"/>
  <c r="N243" i="35"/>
  <c r="N244" i="35"/>
  <c r="N245" i="35"/>
  <c r="N246" i="35"/>
  <c r="N247" i="35"/>
  <c r="N248" i="35"/>
  <c r="N249" i="35"/>
  <c r="N250" i="35"/>
  <c r="N251" i="35"/>
  <c r="N252" i="35"/>
  <c r="N253" i="35"/>
  <c r="N254" i="35"/>
  <c r="N255" i="35"/>
  <c r="N256" i="35"/>
  <c r="N257" i="35"/>
  <c r="N258" i="35"/>
  <c r="N259" i="35"/>
  <c r="N260" i="35"/>
  <c r="N261" i="35"/>
  <c r="N262" i="35"/>
  <c r="N263" i="35"/>
  <c r="N264" i="35"/>
  <c r="N265" i="35"/>
  <c r="N266" i="35"/>
  <c r="N267" i="35"/>
  <c r="N268" i="35"/>
  <c r="N269" i="35"/>
  <c r="N270" i="35"/>
  <c r="N271" i="35"/>
  <c r="N272" i="35"/>
  <c r="N273" i="35"/>
  <c r="N274" i="35"/>
  <c r="N275" i="35"/>
  <c r="N276" i="35"/>
  <c r="N277" i="35"/>
  <c r="N278" i="35"/>
  <c r="N279" i="35"/>
  <c r="N280" i="35"/>
  <c r="N281" i="35"/>
  <c r="N282" i="35"/>
  <c r="N283" i="35"/>
  <c r="N284" i="35"/>
  <c r="N285" i="35"/>
  <c r="N286" i="35"/>
  <c r="N287" i="35"/>
  <c r="N288" i="35"/>
  <c r="N289" i="35"/>
  <c r="N290" i="35"/>
  <c r="N291" i="35"/>
  <c r="N292" i="35"/>
  <c r="N293" i="35"/>
  <c r="N294" i="35"/>
  <c r="N295" i="35"/>
  <c r="N296" i="35"/>
  <c r="N297" i="35"/>
  <c r="N298" i="35"/>
  <c r="N299" i="35"/>
  <c r="N300" i="35"/>
  <c r="N301" i="35"/>
  <c r="N302" i="35"/>
  <c r="N303" i="35"/>
  <c r="N304" i="35"/>
  <c r="N305" i="35"/>
  <c r="N306" i="35"/>
  <c r="N307" i="35"/>
  <c r="N308" i="35"/>
  <c r="N309" i="35"/>
  <c r="N310" i="35"/>
  <c r="N311" i="35"/>
  <c r="N312" i="35"/>
  <c r="N313" i="35"/>
  <c r="N314" i="35"/>
  <c r="N315" i="35"/>
  <c r="N316" i="35"/>
  <c r="N317" i="35"/>
  <c r="N318" i="35"/>
  <c r="N319" i="35"/>
  <c r="N320" i="35"/>
  <c r="N321" i="35"/>
  <c r="N322" i="35"/>
  <c r="N323" i="35"/>
  <c r="N324" i="35"/>
  <c r="N325" i="35"/>
  <c r="N326" i="35"/>
  <c r="N327" i="35"/>
  <c r="N328" i="35"/>
  <c r="N329" i="35"/>
  <c r="N330" i="35"/>
  <c r="N331" i="35"/>
  <c r="N332" i="35"/>
  <c r="N333" i="35"/>
  <c r="N334" i="35"/>
  <c r="N335" i="35"/>
  <c r="N336" i="35"/>
  <c r="N337" i="35"/>
  <c r="N338" i="35"/>
  <c r="N339" i="35"/>
  <c r="N340" i="35"/>
  <c r="N341" i="35"/>
  <c r="N342" i="35"/>
  <c r="N343" i="35"/>
  <c r="N344" i="35"/>
  <c r="N345" i="35"/>
  <c r="N346" i="35"/>
  <c r="N347" i="35"/>
  <c r="N348" i="35"/>
  <c r="N349" i="35"/>
  <c r="N350" i="35"/>
  <c r="N351" i="35"/>
  <c r="N352" i="35"/>
  <c r="N353" i="35"/>
  <c r="N354" i="35"/>
  <c r="N355" i="35"/>
  <c r="N356" i="35"/>
  <c r="N357" i="35"/>
  <c r="N358" i="35"/>
  <c r="N359" i="35"/>
  <c r="N360" i="35"/>
  <c r="N361" i="35"/>
  <c r="N362" i="35"/>
  <c r="N363" i="35"/>
  <c r="N364" i="35"/>
  <c r="N365" i="35"/>
  <c r="N366" i="35"/>
  <c r="N367" i="35"/>
  <c r="N368" i="35"/>
  <c r="N369" i="35"/>
  <c r="N370" i="35"/>
  <c r="N371" i="35"/>
  <c r="N372" i="35"/>
  <c r="N373" i="35"/>
  <c r="N374" i="35"/>
  <c r="N375" i="35"/>
  <c r="N376" i="35"/>
  <c r="N377" i="35"/>
  <c r="N378" i="35"/>
  <c r="N379" i="35"/>
  <c r="N380" i="35"/>
  <c r="N381" i="35"/>
  <c r="N382" i="35"/>
  <c r="N383" i="35"/>
  <c r="N384" i="35"/>
  <c r="N385" i="35"/>
  <c r="N386" i="35"/>
  <c r="N387" i="35"/>
  <c r="N388" i="35"/>
  <c r="N389" i="35"/>
  <c r="N390" i="35"/>
  <c r="N391" i="35"/>
  <c r="N392" i="35"/>
  <c r="N393" i="35"/>
  <c r="N394" i="35"/>
  <c r="N395" i="35"/>
  <c r="N396" i="35"/>
  <c r="N397" i="35"/>
  <c r="N398" i="35"/>
  <c r="N399" i="35"/>
  <c r="N400" i="35"/>
  <c r="N401" i="35"/>
  <c r="N402" i="35"/>
  <c r="N403" i="35"/>
  <c r="N404" i="35"/>
  <c r="N405" i="35"/>
  <c r="N406" i="35"/>
  <c r="N407" i="35"/>
  <c r="N408" i="35"/>
  <c r="N409" i="35"/>
  <c r="N410" i="35"/>
  <c r="N411" i="35"/>
  <c r="N412" i="35"/>
  <c r="N413" i="35"/>
  <c r="N414" i="35"/>
  <c r="N415" i="35"/>
  <c r="N416" i="35"/>
  <c r="N417" i="35"/>
  <c r="N418" i="35"/>
  <c r="N419" i="35"/>
  <c r="N420" i="35"/>
  <c r="N421" i="35"/>
  <c r="N422" i="35"/>
  <c r="N423" i="35"/>
  <c r="N424" i="35"/>
  <c r="N425" i="35"/>
  <c r="N426" i="35"/>
  <c r="N427" i="35"/>
  <c r="N428" i="35"/>
  <c r="N429" i="35"/>
  <c r="N430" i="35"/>
  <c r="N431" i="35"/>
  <c r="N432" i="35"/>
  <c r="N433" i="35"/>
  <c r="N434" i="35"/>
  <c r="N435" i="35"/>
  <c r="N436" i="35"/>
  <c r="N437" i="35"/>
  <c r="N438" i="35"/>
  <c r="N439" i="35"/>
  <c r="N440" i="35"/>
  <c r="N441" i="35"/>
  <c r="N442" i="35"/>
  <c r="N443" i="35"/>
  <c r="N444" i="35"/>
  <c r="N445" i="35"/>
  <c r="N446" i="35"/>
  <c r="N447" i="35"/>
  <c r="N448" i="35"/>
  <c r="N449" i="35"/>
  <c r="N450" i="35"/>
  <c r="N451" i="35"/>
  <c r="N452" i="35"/>
  <c r="N453" i="35"/>
  <c r="N454" i="35"/>
  <c r="N455" i="35"/>
  <c r="N456" i="35"/>
  <c r="N457" i="35"/>
  <c r="N458" i="35"/>
  <c r="N459" i="35"/>
  <c r="N460" i="35"/>
  <c r="N461" i="35"/>
  <c r="N462" i="35"/>
  <c r="N463" i="35"/>
  <c r="N464" i="35"/>
  <c r="N465" i="35"/>
  <c r="N466" i="35"/>
  <c r="N467" i="35"/>
  <c r="N468" i="35"/>
  <c r="N469" i="35"/>
  <c r="N470" i="35"/>
  <c r="N471" i="35"/>
  <c r="N472" i="35"/>
  <c r="N473" i="35"/>
  <c r="N474" i="35"/>
  <c r="N475" i="35"/>
  <c r="N476" i="35"/>
  <c r="N477" i="35"/>
  <c r="N478" i="35"/>
  <c r="N479" i="35"/>
  <c r="N480" i="35"/>
  <c r="N481" i="35"/>
  <c r="N482" i="35"/>
  <c r="N483" i="35"/>
  <c r="N484" i="35"/>
  <c r="N485" i="35"/>
  <c r="N486" i="35"/>
  <c r="N487" i="35"/>
  <c r="N488" i="35"/>
  <c r="N489" i="35"/>
  <c r="N490" i="35"/>
  <c r="N491" i="35"/>
  <c r="N492" i="35"/>
  <c r="N493" i="35"/>
  <c r="N494" i="35"/>
  <c r="N495" i="35"/>
  <c r="N496" i="35"/>
  <c r="N497" i="35"/>
  <c r="N498" i="35"/>
  <c r="N499" i="35"/>
  <c r="N500" i="35"/>
  <c r="N501" i="35"/>
  <c r="N502" i="35"/>
  <c r="N503" i="35"/>
  <c r="N504" i="35"/>
  <c r="N505" i="35"/>
  <c r="N506" i="35"/>
  <c r="N507" i="35"/>
  <c r="N508" i="35"/>
  <c r="N509" i="35"/>
  <c r="N510" i="35"/>
  <c r="N511" i="35"/>
  <c r="N512" i="35"/>
  <c r="N513" i="35"/>
  <c r="N514" i="35"/>
  <c r="N515" i="35"/>
  <c r="N516" i="35"/>
  <c r="N517" i="35"/>
  <c r="N518" i="35"/>
  <c r="N519" i="35"/>
  <c r="N520" i="35"/>
  <c r="N521" i="35"/>
  <c r="N522" i="35"/>
  <c r="N523" i="35"/>
  <c r="N524" i="35"/>
  <c r="N525" i="35"/>
  <c r="N526" i="35"/>
  <c r="N527" i="35"/>
  <c r="N528" i="35"/>
  <c r="N529" i="35"/>
  <c r="N530" i="35"/>
  <c r="N531" i="35"/>
  <c r="N532" i="35"/>
  <c r="N533" i="35"/>
  <c r="N534" i="35"/>
  <c r="N535" i="35"/>
  <c r="N536" i="35"/>
  <c r="N537" i="35"/>
  <c r="N538" i="35"/>
  <c r="N539" i="35"/>
  <c r="N540" i="35"/>
  <c r="N541" i="35"/>
  <c r="N542" i="35"/>
  <c r="N543" i="35"/>
  <c r="N544" i="35"/>
  <c r="N545" i="35"/>
  <c r="N546" i="35"/>
  <c r="N547" i="35"/>
  <c r="N548" i="35"/>
  <c r="N549" i="35"/>
  <c r="N550" i="35"/>
  <c r="N551" i="35"/>
  <c r="N552" i="35"/>
  <c r="N553" i="35"/>
  <c r="N554" i="35"/>
  <c r="N555" i="35"/>
  <c r="N556" i="35"/>
  <c r="N557" i="35"/>
  <c r="N558" i="35"/>
  <c r="N559" i="35"/>
  <c r="N560" i="35"/>
  <c r="N561" i="35"/>
  <c r="N562" i="35"/>
  <c r="N563" i="35"/>
  <c r="N564" i="35"/>
  <c r="N565" i="35"/>
  <c r="N566" i="35"/>
  <c r="N567" i="35"/>
  <c r="N568" i="35"/>
  <c r="N569" i="35"/>
  <c r="N570" i="35"/>
  <c r="N571" i="35"/>
  <c r="N572" i="35"/>
  <c r="N573" i="35"/>
  <c r="N574" i="35"/>
  <c r="N575" i="35"/>
  <c r="N576" i="35"/>
  <c r="N577" i="35"/>
  <c r="N578" i="35"/>
  <c r="N579" i="35"/>
  <c r="N580" i="35"/>
  <c r="N581" i="35"/>
  <c r="N582" i="35"/>
  <c r="N583" i="35"/>
  <c r="N584" i="35"/>
  <c r="N585" i="35"/>
  <c r="N586" i="35"/>
  <c r="N587" i="35"/>
  <c r="N588" i="35"/>
  <c r="N589" i="35"/>
  <c r="N590" i="35"/>
  <c r="N591" i="35"/>
  <c r="N592" i="35"/>
  <c r="N593" i="35"/>
  <c r="N594" i="35"/>
  <c r="N595" i="35"/>
  <c r="N596" i="35"/>
  <c r="N597" i="35"/>
  <c r="N598" i="35"/>
  <c r="N599" i="35"/>
  <c r="N600" i="35"/>
  <c r="N601" i="35"/>
  <c r="N602" i="35"/>
  <c r="N603" i="35"/>
  <c r="N604" i="35"/>
  <c r="N605" i="35"/>
  <c r="N606" i="35"/>
  <c r="N607" i="35"/>
  <c r="N608" i="35"/>
  <c r="N609" i="35"/>
  <c r="N610" i="35"/>
  <c r="N611" i="35"/>
  <c r="N612" i="35"/>
  <c r="N613" i="35"/>
  <c r="N614" i="35"/>
  <c r="N615" i="35"/>
  <c r="N616" i="35"/>
  <c r="N617" i="35"/>
  <c r="N618" i="35"/>
  <c r="N619" i="35"/>
  <c r="N620" i="35"/>
  <c r="N621" i="35"/>
  <c r="N622" i="35"/>
  <c r="N623" i="35"/>
  <c r="N624" i="35"/>
  <c r="N625" i="35"/>
  <c r="N626" i="35"/>
  <c r="N627" i="35"/>
  <c r="N628" i="35"/>
  <c r="N629" i="35"/>
  <c r="N630" i="35"/>
  <c r="N631" i="35"/>
  <c r="N632" i="35"/>
  <c r="N633" i="35"/>
  <c r="N634" i="35"/>
  <c r="N635" i="35"/>
  <c r="N636" i="35"/>
  <c r="N637" i="35"/>
  <c r="N638" i="35"/>
  <c r="N639" i="35"/>
  <c r="N640" i="35"/>
  <c r="N641" i="35"/>
  <c r="N642" i="35"/>
  <c r="N643" i="35"/>
  <c r="N644" i="35"/>
  <c r="N645" i="35"/>
  <c r="N646" i="35"/>
  <c r="N647" i="35"/>
  <c r="N648" i="35"/>
  <c r="N649" i="35"/>
  <c r="N650" i="35"/>
  <c r="N651" i="35"/>
  <c r="N652" i="35"/>
  <c r="N653" i="35"/>
  <c r="N654" i="35"/>
  <c r="N655" i="35"/>
  <c r="N656" i="35"/>
  <c r="N657" i="35"/>
  <c r="N658" i="35"/>
  <c r="N659" i="35"/>
  <c r="N660" i="35"/>
  <c r="N661" i="35"/>
  <c r="N662" i="35"/>
  <c r="N663" i="35"/>
  <c r="N664" i="35"/>
  <c r="N665" i="35"/>
  <c r="N666" i="35"/>
  <c r="N667" i="35"/>
  <c r="N668" i="35"/>
  <c r="N669" i="35"/>
  <c r="N670" i="35"/>
  <c r="N671" i="35"/>
  <c r="N672" i="35"/>
  <c r="N673" i="35"/>
  <c r="N674" i="35"/>
  <c r="N675" i="35"/>
  <c r="N676" i="35"/>
  <c r="N677" i="35"/>
  <c r="N678" i="35"/>
  <c r="N679" i="35"/>
  <c r="N680" i="35"/>
  <c r="N681" i="35"/>
  <c r="N682" i="35"/>
  <c r="N683" i="35"/>
  <c r="N684" i="35"/>
  <c r="N685" i="35"/>
  <c r="N686" i="35"/>
  <c r="N687" i="35"/>
  <c r="N688" i="35"/>
  <c r="N689" i="35"/>
  <c r="N690" i="35"/>
  <c r="N691" i="35"/>
  <c r="N692" i="35"/>
  <c r="N693" i="35"/>
  <c r="N694" i="35"/>
  <c r="N695" i="35"/>
  <c r="N696" i="35"/>
  <c r="N697" i="35"/>
  <c r="N698" i="35"/>
  <c r="N699" i="35"/>
  <c r="N700" i="35"/>
  <c r="N701" i="35"/>
  <c r="N702" i="35"/>
  <c r="N703" i="35"/>
  <c r="N704" i="35"/>
  <c r="N705" i="35"/>
  <c r="N706" i="35"/>
  <c r="N707" i="35"/>
  <c r="N708" i="35"/>
  <c r="N709" i="35"/>
  <c r="N710" i="35"/>
  <c r="N711" i="35"/>
  <c r="N712" i="35"/>
  <c r="N713" i="35"/>
  <c r="N714" i="35"/>
  <c r="N715" i="35"/>
  <c r="N716" i="35"/>
  <c r="N717" i="35"/>
  <c r="N718" i="35"/>
  <c r="N719" i="35"/>
  <c r="N720" i="35"/>
  <c r="N721" i="35"/>
  <c r="N722" i="35"/>
  <c r="N723" i="35"/>
  <c r="N724" i="35"/>
  <c r="N725" i="35"/>
  <c r="N726" i="35"/>
  <c r="N727" i="35"/>
  <c r="N728" i="35"/>
  <c r="N729" i="35"/>
  <c r="N730" i="35"/>
  <c r="N731" i="35"/>
  <c r="N732" i="35"/>
  <c r="N733" i="35"/>
  <c r="N734" i="35"/>
  <c r="N735" i="35"/>
  <c r="N736" i="35"/>
  <c r="N737" i="35"/>
  <c r="N738" i="35"/>
  <c r="N739" i="35"/>
  <c r="N740" i="35"/>
  <c r="N741" i="35"/>
  <c r="N742" i="35"/>
  <c r="N743" i="35"/>
  <c r="N744" i="35"/>
  <c r="N745" i="35"/>
  <c r="N746" i="35"/>
  <c r="N747" i="35"/>
  <c r="N748" i="35"/>
  <c r="N749" i="35"/>
  <c r="N750" i="35"/>
  <c r="N751" i="35"/>
  <c r="N752" i="35"/>
  <c r="N753" i="35"/>
  <c r="N754" i="35"/>
  <c r="N755" i="35"/>
  <c r="N756" i="35"/>
  <c r="N757" i="35"/>
  <c r="N758" i="35"/>
  <c r="N759" i="35"/>
  <c r="N760" i="35"/>
  <c r="N761" i="35"/>
  <c r="N762" i="35"/>
  <c r="N763" i="35"/>
  <c r="N764" i="35"/>
  <c r="N765" i="35"/>
  <c r="N766" i="35"/>
  <c r="N767" i="35"/>
  <c r="N768" i="35"/>
  <c r="N769" i="35"/>
  <c r="N770" i="35"/>
  <c r="N771" i="35"/>
  <c r="N772" i="35"/>
  <c r="N773" i="35"/>
  <c r="N774" i="35"/>
  <c r="N775" i="35"/>
  <c r="N776" i="35"/>
  <c r="N777" i="35"/>
  <c r="N778" i="35"/>
  <c r="N779" i="35"/>
  <c r="N780" i="35"/>
  <c r="N781" i="35"/>
  <c r="N782" i="35"/>
  <c r="N783" i="35"/>
  <c r="N784" i="35"/>
  <c r="N785" i="35"/>
  <c r="N786" i="35"/>
  <c r="N787" i="35"/>
  <c r="N788" i="35"/>
  <c r="N789" i="35"/>
  <c r="N790" i="35"/>
  <c r="N791" i="35"/>
  <c r="N792" i="35"/>
  <c r="N793" i="35"/>
  <c r="N794" i="35"/>
  <c r="N795" i="35"/>
  <c r="N796" i="35"/>
  <c r="N797" i="35"/>
  <c r="N798" i="35"/>
  <c r="N799" i="35"/>
  <c r="N800" i="35"/>
  <c r="N801" i="35"/>
  <c r="N802" i="35"/>
  <c r="N803" i="35"/>
  <c r="N804" i="35"/>
  <c r="N805" i="35"/>
  <c r="N806" i="35"/>
  <c r="N807" i="35"/>
  <c r="N808" i="35"/>
  <c r="N809" i="35"/>
  <c r="N810" i="35"/>
  <c r="N811" i="35"/>
  <c r="N812" i="35"/>
  <c r="N813" i="35"/>
  <c r="N814" i="35"/>
  <c r="N815" i="35"/>
  <c r="N816" i="35"/>
  <c r="N817" i="35"/>
  <c r="N818" i="35"/>
  <c r="N819" i="35"/>
  <c r="N820" i="35"/>
  <c r="N821" i="35"/>
  <c r="N822" i="35"/>
  <c r="N823" i="35"/>
  <c r="N824" i="35"/>
  <c r="N825" i="35"/>
  <c r="N826" i="35"/>
  <c r="N827" i="35"/>
  <c r="N828" i="35"/>
  <c r="N829" i="35"/>
  <c r="N830" i="35"/>
  <c r="N831" i="35"/>
  <c r="N832" i="35"/>
  <c r="N833" i="35"/>
  <c r="N834" i="35"/>
  <c r="N835" i="35"/>
  <c r="N836" i="35"/>
  <c r="N837" i="35"/>
  <c r="N838" i="35"/>
  <c r="N839" i="35"/>
  <c r="N840" i="35"/>
  <c r="N841" i="35"/>
  <c r="N842" i="35"/>
  <c r="N843" i="35"/>
  <c r="N844" i="35"/>
  <c r="N845" i="35"/>
  <c r="N846" i="35"/>
  <c r="N847" i="35"/>
  <c r="N848" i="35"/>
  <c r="N849" i="35"/>
  <c r="N850" i="35"/>
  <c r="N851" i="35"/>
  <c r="N852" i="35"/>
  <c r="N853" i="35"/>
  <c r="N854" i="35"/>
  <c r="N855" i="35"/>
  <c r="N856" i="35"/>
  <c r="N857" i="35"/>
  <c r="N858" i="35"/>
  <c r="N859" i="35"/>
  <c r="N860" i="35"/>
  <c r="N861" i="35"/>
  <c r="N862" i="35"/>
  <c r="N863" i="35"/>
  <c r="N864" i="35"/>
  <c r="N865" i="35"/>
  <c r="N866" i="35"/>
  <c r="N867" i="35"/>
  <c r="N868" i="35"/>
  <c r="N869" i="35"/>
  <c r="N870" i="35"/>
  <c r="N871" i="35"/>
  <c r="N872" i="35"/>
  <c r="N873" i="35"/>
  <c r="N874" i="35"/>
  <c r="N875" i="35"/>
  <c r="N876" i="35"/>
  <c r="N877" i="35"/>
  <c r="N878" i="35"/>
  <c r="N879" i="35"/>
  <c r="N880" i="35"/>
  <c r="N881" i="35"/>
  <c r="N882" i="35"/>
  <c r="N883" i="35"/>
  <c r="N884" i="35"/>
  <c r="N885" i="35"/>
  <c r="N886" i="35"/>
  <c r="N887" i="35"/>
  <c r="N888" i="35"/>
  <c r="N889" i="35"/>
  <c r="N890" i="35"/>
  <c r="N891" i="35"/>
  <c r="N892" i="35"/>
  <c r="N893" i="35"/>
  <c r="N894" i="35"/>
  <c r="N895" i="35"/>
  <c r="N896" i="35"/>
  <c r="N897" i="35"/>
  <c r="N898" i="35"/>
  <c r="N899" i="35"/>
  <c r="N900" i="35"/>
  <c r="N901" i="35"/>
  <c r="N902" i="35"/>
  <c r="N903" i="35"/>
  <c r="N904" i="35"/>
  <c r="N905" i="35"/>
  <c r="N906" i="35"/>
  <c r="N907" i="35"/>
  <c r="N908" i="35"/>
  <c r="N909" i="35"/>
  <c r="N910" i="35"/>
  <c r="N911" i="35"/>
  <c r="N912" i="35"/>
  <c r="N913" i="35"/>
  <c r="N914" i="35"/>
  <c r="N915" i="35"/>
  <c r="N916" i="35"/>
  <c r="N917" i="35"/>
  <c r="N918" i="35"/>
  <c r="N919" i="35"/>
  <c r="N920" i="35"/>
  <c r="N921" i="35"/>
  <c r="N922" i="35"/>
  <c r="N923" i="35"/>
  <c r="N924" i="35"/>
  <c r="N925" i="35"/>
  <c r="N926" i="35"/>
  <c r="N927" i="35"/>
  <c r="N928" i="35"/>
  <c r="N929" i="35"/>
  <c r="N930" i="35"/>
  <c r="N931" i="35"/>
  <c r="N932" i="35"/>
  <c r="N933" i="35"/>
  <c r="N934" i="35"/>
  <c r="N935" i="35"/>
  <c r="N936" i="35"/>
  <c r="N937" i="35"/>
  <c r="N938" i="35"/>
  <c r="N939" i="35"/>
  <c r="N940" i="35"/>
  <c r="N941" i="35"/>
  <c r="N942" i="35"/>
  <c r="N943" i="35"/>
  <c r="N944" i="35"/>
  <c r="N945" i="35"/>
  <c r="N946" i="35"/>
  <c r="N947" i="35"/>
  <c r="N948" i="35"/>
  <c r="N949" i="35"/>
  <c r="N950" i="35"/>
  <c r="N951" i="35"/>
  <c r="N952" i="35"/>
  <c r="N953" i="35"/>
  <c r="N954" i="35"/>
  <c r="N955" i="35"/>
  <c r="N956" i="35"/>
  <c r="N957" i="35"/>
  <c r="N958" i="35"/>
  <c r="N959" i="35"/>
  <c r="N960" i="35"/>
  <c r="N961" i="35"/>
  <c r="N962" i="35"/>
  <c r="N963" i="35"/>
  <c r="N964" i="35"/>
  <c r="N965" i="35"/>
  <c r="N966" i="35"/>
  <c r="N967" i="35"/>
  <c r="N968" i="35"/>
  <c r="N969" i="35"/>
  <c r="N970" i="35"/>
  <c r="N971" i="35"/>
  <c r="N972" i="35"/>
  <c r="N973" i="35"/>
  <c r="N974" i="35"/>
  <c r="N975" i="35"/>
  <c r="N976" i="35"/>
  <c r="N977" i="35"/>
  <c r="N978" i="35"/>
  <c r="N979" i="35"/>
  <c r="N980" i="35"/>
  <c r="N981" i="35"/>
  <c r="N982" i="35"/>
  <c r="N983" i="35"/>
  <c r="N984" i="35"/>
  <c r="N985" i="35"/>
  <c r="N986" i="35"/>
  <c r="N987" i="35"/>
  <c r="N988" i="35"/>
  <c r="N989" i="35"/>
  <c r="N990" i="35"/>
  <c r="N991" i="35"/>
  <c r="N992" i="35"/>
  <c r="N993" i="35"/>
  <c r="N994" i="35"/>
  <c r="N995" i="35"/>
  <c r="N996" i="35"/>
  <c r="N997" i="35"/>
  <c r="N998" i="35"/>
  <c r="N999" i="35"/>
  <c r="N1000" i="35"/>
  <c r="N1001" i="35"/>
  <c r="N1002" i="35"/>
  <c r="N1003" i="35"/>
  <c r="N1004" i="35"/>
  <c r="N1005" i="35"/>
  <c r="N1006" i="35"/>
  <c r="N1007" i="35"/>
  <c r="N1008" i="35"/>
  <c r="N1009" i="35"/>
  <c r="N1010" i="35"/>
  <c r="N1011" i="35"/>
  <c r="N1012" i="35"/>
  <c r="N1013" i="35"/>
  <c r="N1014" i="35"/>
  <c r="N1015" i="35"/>
  <c r="N1016" i="35"/>
  <c r="N1017" i="35"/>
  <c r="N1018" i="35"/>
  <c r="N1019" i="35"/>
  <c r="N1020" i="35"/>
  <c r="N1021" i="35"/>
  <c r="N1022" i="35"/>
  <c r="N1023" i="35"/>
  <c r="N1024" i="35"/>
  <c r="N1025" i="35"/>
  <c r="N1026" i="35"/>
  <c r="N1027" i="35"/>
  <c r="N1028" i="35"/>
  <c r="N1029" i="35"/>
  <c r="N1030" i="35"/>
  <c r="N1031" i="35"/>
  <c r="N1032" i="35"/>
  <c r="N1033" i="35"/>
  <c r="N1034" i="35"/>
  <c r="N1035" i="35"/>
  <c r="N1036" i="35"/>
  <c r="N1037" i="35"/>
  <c r="N1038" i="35"/>
  <c r="N1039" i="35"/>
  <c r="N1040" i="35"/>
  <c r="N1041" i="35"/>
  <c r="N1042" i="35"/>
  <c r="N1043" i="35"/>
  <c r="N1044" i="35"/>
  <c r="N1045" i="35"/>
  <c r="N1046" i="35"/>
  <c r="N1047" i="35"/>
  <c r="N1048" i="35"/>
  <c r="N1049" i="35"/>
  <c r="N1050" i="35"/>
  <c r="N1051" i="35"/>
  <c r="N1052" i="35"/>
  <c r="N1053" i="35"/>
  <c r="N1054" i="35"/>
  <c r="N1055" i="35"/>
  <c r="N1056" i="35"/>
  <c r="N1057" i="35"/>
  <c r="N1058" i="35"/>
  <c r="N1059" i="35"/>
  <c r="N1060" i="35"/>
  <c r="N1061" i="35"/>
  <c r="N1062" i="35"/>
  <c r="N1063" i="35"/>
  <c r="N1064" i="35"/>
  <c r="N1065" i="35"/>
  <c r="N1066" i="35"/>
  <c r="N1067" i="35"/>
  <c r="N1068" i="35"/>
  <c r="N1069" i="35"/>
  <c r="N1070" i="35"/>
  <c r="N1071" i="35"/>
  <c r="N1072" i="35"/>
  <c r="N1073" i="35"/>
  <c r="N1074" i="35"/>
  <c r="N1075" i="35"/>
  <c r="N1076" i="35"/>
  <c r="N1077" i="35"/>
  <c r="N1078" i="35"/>
  <c r="N1079" i="35"/>
  <c r="N1080" i="35"/>
  <c r="N1081" i="35"/>
  <c r="N1082" i="35"/>
  <c r="N1083" i="35"/>
  <c r="N1084" i="35"/>
  <c r="N1085" i="35"/>
  <c r="N1086" i="35"/>
  <c r="N1087" i="35"/>
  <c r="N1088" i="35"/>
  <c r="N1089" i="35"/>
  <c r="N1090" i="35"/>
  <c r="N1091" i="35"/>
  <c r="N1092" i="35"/>
  <c r="N1093" i="35"/>
  <c r="N1094" i="35"/>
  <c r="N1095" i="35"/>
  <c r="N1096" i="35"/>
  <c r="N1097" i="35"/>
  <c r="N1098" i="35"/>
  <c r="N1099" i="35"/>
  <c r="N1100" i="35"/>
  <c r="N1101" i="35"/>
  <c r="N1102" i="35"/>
  <c r="N1103" i="35"/>
  <c r="N1104" i="35"/>
  <c r="N1105" i="35"/>
  <c r="N1106" i="35"/>
  <c r="N1107" i="35"/>
  <c r="N1108" i="35"/>
  <c r="N1109" i="35"/>
  <c r="N1110" i="35"/>
  <c r="N1111" i="35"/>
  <c r="N1112" i="35"/>
  <c r="N1113" i="35"/>
  <c r="N1114" i="35"/>
  <c r="N1115" i="35"/>
  <c r="N1116" i="35"/>
  <c r="N1117" i="35"/>
  <c r="N1118" i="35"/>
  <c r="N1119" i="35"/>
  <c r="N1120" i="35"/>
  <c r="N1121" i="35"/>
  <c r="N1122" i="35"/>
  <c r="N1123" i="35"/>
  <c r="N1124" i="35"/>
  <c r="N1125" i="35"/>
  <c r="N1126" i="35"/>
  <c r="N1127" i="35"/>
  <c r="N1128" i="35"/>
  <c r="N1129" i="35"/>
  <c r="N1130" i="35"/>
  <c r="N1131" i="35"/>
  <c r="N1132" i="35"/>
  <c r="N1133" i="35"/>
  <c r="N1134" i="35"/>
  <c r="N1135" i="35"/>
  <c r="N1136" i="35"/>
  <c r="N1137" i="35"/>
  <c r="N1138" i="35"/>
  <c r="N1139" i="35"/>
  <c r="N1140" i="35"/>
  <c r="N1141" i="35"/>
  <c r="N1142" i="35"/>
  <c r="N1143" i="35"/>
  <c r="N1144" i="35"/>
  <c r="N1145" i="35"/>
  <c r="N1146" i="35"/>
  <c r="N1147" i="35"/>
  <c r="N1148" i="35"/>
  <c r="N1149" i="35"/>
  <c r="N1150" i="35"/>
  <c r="N1151" i="35"/>
  <c r="N1152" i="35"/>
  <c r="N1153" i="35"/>
  <c r="N1154" i="35"/>
  <c r="N1155" i="35"/>
  <c r="N1156" i="35"/>
  <c r="N1157" i="35"/>
  <c r="N1158" i="35"/>
  <c r="N1159" i="35"/>
  <c r="N1160" i="35"/>
  <c r="N1161" i="35"/>
  <c r="N1162" i="35"/>
  <c r="N1163" i="35"/>
  <c r="N1164" i="35"/>
  <c r="N1165" i="35"/>
  <c r="N1166" i="35"/>
  <c r="N1167" i="35"/>
  <c r="N1168" i="35"/>
  <c r="N1169" i="35"/>
  <c r="N2" i="35"/>
  <c r="M3" i="34" l="1"/>
  <c r="M4" i="34"/>
  <c r="N4" i="34" s="1"/>
  <c r="M8" i="34"/>
  <c r="N8" i="34" s="1"/>
  <c r="M9" i="34"/>
  <c r="N9" i="34" s="1"/>
  <c r="M10" i="34"/>
  <c r="N10" i="34" s="1"/>
  <c r="M12" i="34"/>
  <c r="N12" i="34" s="1"/>
  <c r="M13" i="34"/>
  <c r="N13" i="34" s="1"/>
  <c r="M15" i="34"/>
  <c r="N15" i="34" s="1"/>
  <c r="M16" i="34"/>
  <c r="N16" i="34" s="1"/>
  <c r="M18" i="34"/>
  <c r="N18" i="34" s="1"/>
  <c r="M22" i="34"/>
  <c r="N22" i="34" s="1"/>
  <c r="M26" i="34"/>
  <c r="N26" i="34" s="1"/>
  <c r="M27" i="34"/>
  <c r="M30" i="34"/>
  <c r="N30" i="34" s="1"/>
  <c r="M31" i="34"/>
  <c r="N31" i="34" s="1"/>
  <c r="M32" i="34"/>
  <c r="N32" i="34" s="1"/>
  <c r="M35" i="34"/>
  <c r="N35" i="34" s="1"/>
  <c r="M38" i="34"/>
  <c r="N38" i="34" s="1"/>
  <c r="M39" i="34"/>
  <c r="N39" i="34" s="1"/>
  <c r="M41" i="34"/>
  <c r="N41" i="34" s="1"/>
  <c r="M43" i="34"/>
  <c r="N43" i="34" s="1"/>
  <c r="M46" i="34"/>
  <c r="N46" i="34" s="1"/>
  <c r="M49" i="34"/>
  <c r="N49" i="34" s="1"/>
  <c r="M51" i="34"/>
  <c r="N51" i="34" s="1"/>
  <c r="M54" i="34"/>
  <c r="N54" i="34" s="1"/>
  <c r="M55" i="34"/>
  <c r="N55" i="34" s="1"/>
  <c r="M56" i="34"/>
  <c r="N56" i="34" s="1"/>
  <c r="M59" i="34"/>
  <c r="N59" i="34" s="1"/>
  <c r="M63" i="34"/>
  <c r="N63" i="34" s="1"/>
  <c r="M64" i="34"/>
  <c r="N64" i="34" s="1"/>
  <c r="M65" i="34"/>
  <c r="N65" i="34" s="1"/>
  <c r="M66" i="34"/>
  <c r="N66" i="34" s="1"/>
  <c r="M68" i="34"/>
  <c r="N68" i="34" s="1"/>
  <c r="M71" i="34"/>
  <c r="N71" i="34" s="1"/>
  <c r="M72" i="34"/>
  <c r="N72" i="34" s="1"/>
  <c r="M73" i="34"/>
  <c r="N73" i="34" s="1"/>
  <c r="M75" i="34"/>
  <c r="M76" i="34"/>
  <c r="N76" i="34" s="1"/>
  <c r="M79" i="34"/>
  <c r="N79" i="34" s="1"/>
  <c r="M80" i="34"/>
  <c r="N80" i="34" s="1"/>
  <c r="M81" i="34"/>
  <c r="N81" i="34" s="1"/>
  <c r="M82" i="34"/>
  <c r="N82" i="34" s="1"/>
  <c r="M84" i="34"/>
  <c r="N84" i="34" s="1"/>
  <c r="M85" i="34"/>
  <c r="N85" i="34" s="1"/>
  <c r="M86" i="34"/>
  <c r="N86" i="34" s="1"/>
  <c r="M87" i="34"/>
  <c r="N87" i="34" s="1"/>
  <c r="M88" i="34"/>
  <c r="N88" i="34" s="1"/>
  <c r="M89" i="34"/>
  <c r="N89" i="34" s="1"/>
  <c r="M90" i="34"/>
  <c r="M91" i="34"/>
  <c r="N91" i="34" s="1"/>
  <c r="M92" i="34"/>
  <c r="N92" i="34" s="1"/>
  <c r="M93" i="34"/>
  <c r="N93" i="34" s="1"/>
  <c r="M94" i="34"/>
  <c r="N94" i="34" s="1"/>
  <c r="M95" i="34"/>
  <c r="N95" i="34" s="1"/>
  <c r="M96" i="34"/>
  <c r="N96" i="34" s="1"/>
  <c r="M97" i="34"/>
  <c r="N97" i="34" s="1"/>
  <c r="M99" i="34"/>
  <c r="N99" i="34" s="1"/>
  <c r="M100" i="34"/>
  <c r="N100" i="34" s="1"/>
  <c r="M101" i="34"/>
  <c r="N101" i="34" s="1"/>
  <c r="M103" i="34"/>
  <c r="N103" i="34" s="1"/>
  <c r="M104" i="34"/>
  <c r="N104" i="34" s="1"/>
  <c r="M106" i="34"/>
  <c r="N106" i="34" s="1"/>
  <c r="M107" i="34"/>
  <c r="N107" i="34" s="1"/>
  <c r="M108" i="34"/>
  <c r="N108" i="34" s="1"/>
  <c r="M110" i="34"/>
  <c r="N110" i="34" s="1"/>
  <c r="M114" i="34"/>
  <c r="N114" i="34" s="1"/>
  <c r="M115" i="34"/>
  <c r="N115" i="34" s="1"/>
  <c r="M116" i="34"/>
  <c r="N116" i="34" s="1"/>
  <c r="M117" i="34"/>
  <c r="N117" i="34" s="1"/>
  <c r="M120" i="34"/>
  <c r="N120" i="34" s="1"/>
  <c r="M121" i="34"/>
  <c r="N121" i="34" s="1"/>
  <c r="M122" i="34"/>
  <c r="N122" i="34" s="1"/>
  <c r="M125" i="34"/>
  <c r="N125" i="34" s="1"/>
  <c r="M127" i="34"/>
  <c r="N127" i="34" s="1"/>
  <c r="M131" i="34"/>
  <c r="N131" i="34" s="1"/>
  <c r="M134" i="34"/>
  <c r="N134" i="34" s="1"/>
  <c r="M135" i="34"/>
  <c r="N135" i="34" s="1"/>
  <c r="M136" i="34"/>
  <c r="N136" i="34" s="1"/>
  <c r="M137" i="34"/>
  <c r="N137" i="34" s="1"/>
  <c r="M138" i="34"/>
  <c r="N138" i="34" s="1"/>
  <c r="M139" i="34"/>
  <c r="N139" i="34" s="1"/>
  <c r="M140" i="34"/>
  <c r="N140" i="34" s="1"/>
  <c r="M141" i="34"/>
  <c r="N141" i="34" s="1"/>
  <c r="M142" i="34"/>
  <c r="N142" i="34" s="1"/>
  <c r="M143" i="34"/>
  <c r="N143" i="34" s="1"/>
  <c r="M144" i="34"/>
  <c r="M145" i="34"/>
  <c r="N145" i="34" s="1"/>
  <c r="M147" i="34"/>
  <c r="N147" i="34" s="1"/>
  <c r="M148" i="34"/>
  <c r="N148" i="34" s="1"/>
  <c r="M150" i="34"/>
  <c r="N150" i="34" s="1"/>
  <c r="M151" i="34"/>
  <c r="N151" i="34" s="1"/>
  <c r="M152" i="34"/>
  <c r="N152" i="34" s="1"/>
  <c r="M154" i="34"/>
  <c r="N154" i="34" s="1"/>
  <c r="M158" i="34"/>
  <c r="N158" i="34" s="1"/>
  <c r="M161" i="34"/>
  <c r="N161" i="34" s="1"/>
  <c r="M165" i="34"/>
  <c r="N165" i="34" s="1"/>
  <c r="M169" i="34"/>
  <c r="N169" i="34" s="1"/>
  <c r="M171" i="34"/>
  <c r="N171" i="34" s="1"/>
  <c r="M173" i="34"/>
  <c r="N173" i="34" s="1"/>
  <c r="M175" i="34"/>
  <c r="N175" i="34" s="1"/>
  <c r="M176" i="34"/>
  <c r="N176" i="34" s="1"/>
  <c r="M178" i="34"/>
  <c r="N178" i="34" s="1"/>
  <c r="M179" i="34"/>
  <c r="N179" i="34" s="1"/>
  <c r="M180" i="34"/>
  <c r="N180" i="34" s="1"/>
  <c r="M181" i="34"/>
  <c r="N181" i="34" s="1"/>
  <c r="M183" i="34"/>
  <c r="N183" i="34" s="1"/>
  <c r="M184" i="34"/>
  <c r="N184" i="34" s="1"/>
  <c r="M185" i="34"/>
  <c r="N185" i="34" s="1"/>
  <c r="M189" i="34"/>
  <c r="M191" i="34"/>
  <c r="N191" i="34" s="1"/>
  <c r="M193" i="34"/>
  <c r="N193" i="34" s="1"/>
  <c r="M195" i="34"/>
  <c r="N195" i="34" s="1"/>
  <c r="M196" i="34"/>
  <c r="N196" i="34" s="1"/>
  <c r="M198" i="34"/>
  <c r="N198" i="34" s="1"/>
  <c r="M199" i="34"/>
  <c r="N199" i="34" s="1"/>
  <c r="M200" i="34"/>
  <c r="N200" i="34" s="1"/>
  <c r="M202" i="34"/>
  <c r="N202" i="34" s="1"/>
  <c r="M204" i="34"/>
  <c r="N204" i="34" s="1"/>
  <c r="M205" i="34"/>
  <c r="N205" i="34" s="1"/>
  <c r="M206" i="34"/>
  <c r="N206" i="34" s="1"/>
  <c r="M209" i="34"/>
  <c r="M210" i="34"/>
  <c r="N210" i="34" s="1"/>
  <c r="M213" i="34"/>
  <c r="N213" i="34" s="1"/>
  <c r="M216" i="34"/>
  <c r="N216" i="34" s="1"/>
  <c r="M217" i="34"/>
  <c r="N217" i="34" s="1"/>
  <c r="M219" i="34"/>
  <c r="N219" i="34" s="1"/>
  <c r="M220" i="34"/>
  <c r="N220" i="34" s="1"/>
  <c r="M221" i="34"/>
  <c r="N221" i="34" s="1"/>
  <c r="M222" i="34"/>
  <c r="N222" i="34" s="1"/>
  <c r="M223" i="34"/>
  <c r="N223" i="34" s="1"/>
  <c r="M226" i="34"/>
  <c r="N226" i="34" s="1"/>
  <c r="M228" i="34"/>
  <c r="N228" i="34" s="1"/>
  <c r="M229" i="34"/>
  <c r="N229" i="34" s="1"/>
  <c r="M232" i="34"/>
  <c r="N232" i="34" s="1"/>
  <c r="M234" i="34"/>
  <c r="N234" i="34" s="1"/>
  <c r="M236" i="34"/>
  <c r="N236" i="34" s="1"/>
  <c r="M237" i="34"/>
  <c r="N237" i="34" s="1"/>
  <c r="M238" i="34"/>
  <c r="N238" i="34" s="1"/>
  <c r="M241" i="34"/>
  <c r="N241" i="34" s="1"/>
  <c r="M242" i="34"/>
  <c r="N242" i="34" s="1"/>
  <c r="M243" i="34"/>
  <c r="N243" i="34" s="1"/>
  <c r="M244" i="34"/>
  <c r="N244" i="34" s="1"/>
  <c r="M245" i="34"/>
  <c r="N245" i="34" s="1"/>
  <c r="M246" i="34"/>
  <c r="N246" i="34" s="1"/>
  <c r="M247" i="34"/>
  <c r="N247" i="34" s="1"/>
  <c r="M249" i="34"/>
  <c r="N249" i="34" s="1"/>
  <c r="M254" i="34"/>
  <c r="N254" i="34" s="1"/>
  <c r="M255" i="34"/>
  <c r="N255" i="34" s="1"/>
  <c r="M256" i="34"/>
  <c r="N256" i="34" s="1"/>
  <c r="M257" i="34"/>
  <c r="N257" i="34" s="1"/>
  <c r="M258" i="34"/>
  <c r="N258" i="34" s="1"/>
  <c r="M259" i="34"/>
  <c r="N259" i="34" s="1"/>
  <c r="M261" i="34"/>
  <c r="N261" i="34" s="1"/>
  <c r="M262" i="34"/>
  <c r="N262" i="34" s="1"/>
  <c r="M263" i="34"/>
  <c r="N263" i="34" s="1"/>
  <c r="M267" i="34"/>
  <c r="N267" i="34" s="1"/>
  <c r="M268" i="34"/>
  <c r="N268" i="34" s="1"/>
  <c r="M269" i="34"/>
  <c r="N269" i="34" s="1"/>
  <c r="M270" i="34"/>
  <c r="N270" i="34" s="1"/>
  <c r="M271" i="34"/>
  <c r="N271" i="34" s="1"/>
  <c r="M273" i="34"/>
  <c r="N273" i="34" s="1"/>
  <c r="M274" i="34"/>
  <c r="N274" i="34" s="1"/>
  <c r="M275" i="34"/>
  <c r="N275" i="34" s="1"/>
  <c r="M276" i="34"/>
  <c r="N276" i="34" s="1"/>
  <c r="M277" i="34"/>
  <c r="N277" i="34" s="1"/>
  <c r="M278" i="34"/>
  <c r="N278" i="34" s="1"/>
  <c r="M280" i="34"/>
  <c r="N280" i="34" s="1"/>
  <c r="M281" i="34"/>
  <c r="N281" i="34" s="1"/>
  <c r="M282" i="34"/>
  <c r="N282" i="34" s="1"/>
  <c r="M283" i="34"/>
  <c r="N283" i="34" s="1"/>
  <c r="M284" i="34"/>
  <c r="N284" i="34" s="1"/>
  <c r="M285" i="34"/>
  <c r="N285" i="34" s="1"/>
  <c r="M286" i="34"/>
  <c r="N286" i="34" s="1"/>
  <c r="M291" i="34"/>
  <c r="N291" i="34" s="1"/>
  <c r="M292" i="34"/>
  <c r="N292" i="34" s="1"/>
  <c r="M293" i="34"/>
  <c r="N293" i="34" s="1"/>
  <c r="M296" i="34"/>
  <c r="N296" i="34" s="1"/>
  <c r="M297" i="34"/>
  <c r="N297" i="34" s="1"/>
  <c r="M300" i="34"/>
  <c r="N300" i="34" s="1"/>
  <c r="M301" i="34"/>
  <c r="N301" i="34" s="1"/>
  <c r="M302" i="34"/>
  <c r="N302" i="34" s="1"/>
  <c r="M305" i="34"/>
  <c r="N305" i="34" s="1"/>
  <c r="M307" i="34"/>
  <c r="N307" i="34" s="1"/>
  <c r="M308" i="34"/>
  <c r="N308" i="34" s="1"/>
  <c r="M310" i="34"/>
  <c r="N310" i="34" s="1"/>
  <c r="M311" i="34"/>
  <c r="N311" i="34" s="1"/>
  <c r="M312" i="34"/>
  <c r="N312" i="34" s="1"/>
  <c r="M315" i="34"/>
  <c r="N315" i="34" s="1"/>
  <c r="M316" i="34"/>
  <c r="N316" i="34" s="1"/>
  <c r="M318" i="34"/>
  <c r="N318" i="34" s="1"/>
  <c r="M319" i="34"/>
  <c r="N319" i="34" s="1"/>
  <c r="M321" i="34"/>
  <c r="N321" i="34" s="1"/>
  <c r="M323" i="34"/>
  <c r="N323" i="34" s="1"/>
  <c r="M327" i="34"/>
  <c r="N327" i="34" s="1"/>
  <c r="M328" i="34"/>
  <c r="N328" i="34" s="1"/>
  <c r="M329" i="34"/>
  <c r="N329" i="34" s="1"/>
  <c r="M330" i="34"/>
  <c r="N330" i="34" s="1"/>
  <c r="M331" i="34"/>
  <c r="N331" i="34" s="1"/>
  <c r="M333" i="34"/>
  <c r="N333" i="34" s="1"/>
  <c r="M335" i="34"/>
  <c r="N335" i="34" s="1"/>
  <c r="M338" i="34"/>
  <c r="N338" i="34" s="1"/>
  <c r="M340" i="34"/>
  <c r="N340" i="34" s="1"/>
  <c r="M348" i="34"/>
  <c r="N348" i="34" s="1"/>
  <c r="M349" i="34"/>
  <c r="N349" i="34" s="1"/>
  <c r="M350" i="34"/>
  <c r="N350" i="34" s="1"/>
  <c r="M353" i="34"/>
  <c r="N353" i="34" s="1"/>
  <c r="M354" i="34"/>
  <c r="N354" i="34" s="1"/>
  <c r="M357" i="34"/>
  <c r="N357" i="34" s="1"/>
  <c r="M358" i="34"/>
  <c r="N358" i="34" s="1"/>
  <c r="M359" i="34"/>
  <c r="N359" i="34" s="1"/>
  <c r="M360" i="34"/>
  <c r="N360" i="34" s="1"/>
  <c r="M361" i="34"/>
  <c r="N361" i="34" s="1"/>
  <c r="M363" i="34"/>
  <c r="N363" i="34" s="1"/>
  <c r="M366" i="34"/>
  <c r="N366" i="34" s="1"/>
  <c r="M367" i="34"/>
  <c r="N367" i="34" s="1"/>
  <c r="M369" i="34"/>
  <c r="N369" i="34" s="1"/>
  <c r="M372" i="34"/>
  <c r="N372" i="34" s="1"/>
  <c r="M373" i="34"/>
  <c r="N373" i="34" s="1"/>
  <c r="M374" i="34"/>
  <c r="N374" i="34" s="1"/>
  <c r="M375" i="34"/>
  <c r="N375" i="34" s="1"/>
  <c r="M376" i="34"/>
  <c r="N376" i="34" s="1"/>
  <c r="M377" i="34"/>
  <c r="N377" i="34" s="1"/>
  <c r="M379" i="34"/>
  <c r="N379" i="34" s="1"/>
  <c r="M381" i="34"/>
  <c r="N381" i="34" s="1"/>
  <c r="M382" i="34"/>
  <c r="N382" i="34" s="1"/>
  <c r="M384" i="34"/>
  <c r="N384" i="34" s="1"/>
  <c r="M385" i="34"/>
  <c r="N385" i="34" s="1"/>
  <c r="M386" i="34"/>
  <c r="N386" i="34" s="1"/>
  <c r="M387" i="34"/>
  <c r="N387" i="34" s="1"/>
  <c r="M388" i="34"/>
  <c r="N388" i="34" s="1"/>
  <c r="M389" i="34"/>
  <c r="N389" i="34" s="1"/>
  <c r="M390" i="34"/>
  <c r="N390" i="34" s="1"/>
  <c r="M391" i="34"/>
  <c r="N391" i="34" s="1"/>
  <c r="M392" i="34"/>
  <c r="N392" i="34" s="1"/>
  <c r="M395" i="34"/>
  <c r="N395" i="34" s="1"/>
  <c r="M397" i="34"/>
  <c r="N397" i="34" s="1"/>
  <c r="M398" i="34"/>
  <c r="N398" i="34" s="1"/>
  <c r="M399" i="34"/>
  <c r="N399" i="34" s="1"/>
  <c r="M400" i="34"/>
  <c r="N400" i="34" s="1"/>
  <c r="M402" i="34"/>
  <c r="N402" i="34" s="1"/>
  <c r="M403" i="34"/>
  <c r="N403" i="34" s="1"/>
  <c r="M404" i="34"/>
  <c r="N404" i="34" s="1"/>
  <c r="M406" i="34"/>
  <c r="N406" i="34" s="1"/>
  <c r="M408" i="34"/>
  <c r="N408" i="34" s="1"/>
  <c r="M410" i="34"/>
  <c r="N410" i="34" s="1"/>
  <c r="M411" i="34"/>
  <c r="N411" i="34" s="1"/>
  <c r="M412" i="34"/>
  <c r="N412" i="34" s="1"/>
  <c r="M414" i="34"/>
  <c r="N414" i="34" s="1"/>
  <c r="M417" i="34"/>
  <c r="N417" i="34" s="1"/>
  <c r="M419" i="34"/>
  <c r="N419" i="34" s="1"/>
  <c r="M420" i="34"/>
  <c r="N420" i="34" s="1"/>
  <c r="M421" i="34"/>
  <c r="N421" i="34" s="1"/>
  <c r="M422" i="34"/>
  <c r="N422" i="34" s="1"/>
  <c r="M424" i="34"/>
  <c r="N424" i="34" s="1"/>
  <c r="M425" i="34"/>
  <c r="N425" i="34" s="1"/>
  <c r="M426" i="34"/>
  <c r="N426" i="34" s="1"/>
  <c r="M428" i="34"/>
  <c r="N428" i="34" s="1"/>
  <c r="M432" i="34"/>
  <c r="N432" i="34" s="1"/>
  <c r="M433" i="34"/>
  <c r="N433" i="34" s="1"/>
  <c r="M437" i="34"/>
  <c r="N437" i="34" s="1"/>
  <c r="M441" i="34"/>
  <c r="N441" i="34" s="1"/>
  <c r="M442" i="34"/>
  <c r="N442" i="34" s="1"/>
  <c r="M446" i="34"/>
  <c r="N446" i="34" s="1"/>
  <c r="M450" i="34"/>
  <c r="N450" i="34" s="1"/>
  <c r="M453" i="34"/>
  <c r="M454" i="34"/>
  <c r="N454" i="34" s="1"/>
  <c r="M455" i="34"/>
  <c r="N455" i="34" s="1"/>
  <c r="M456" i="34"/>
  <c r="N456" i="34" s="1"/>
  <c r="M457" i="34"/>
  <c r="N457" i="34" s="1"/>
  <c r="M459" i="34"/>
  <c r="N459" i="34" s="1"/>
  <c r="M464" i="34"/>
  <c r="N464" i="34" s="1"/>
  <c r="M467" i="34"/>
  <c r="N467" i="34" s="1"/>
  <c r="M468" i="34"/>
  <c r="N468" i="34" s="1"/>
  <c r="M469" i="34"/>
  <c r="N469" i="34" s="1"/>
  <c r="M470" i="34"/>
  <c r="N470" i="34" s="1"/>
  <c r="M471" i="34"/>
  <c r="N471" i="34" s="1"/>
  <c r="M476" i="34"/>
  <c r="N476" i="34" s="1"/>
  <c r="M477" i="34"/>
  <c r="N477" i="34" s="1"/>
  <c r="M479" i="34"/>
  <c r="N479" i="34" s="1"/>
  <c r="M481" i="34"/>
  <c r="N481" i="34" s="1"/>
  <c r="M482" i="34"/>
  <c r="N482" i="34" s="1"/>
  <c r="M487" i="34"/>
  <c r="N487" i="34" s="1"/>
  <c r="M491" i="34"/>
  <c r="N491" i="34" s="1"/>
  <c r="M494" i="34"/>
  <c r="N494" i="34" s="1"/>
  <c r="M495" i="34"/>
  <c r="N495" i="34" s="1"/>
  <c r="M496" i="34"/>
  <c r="N496" i="34" s="1"/>
  <c r="M497" i="34"/>
  <c r="N497" i="34" s="1"/>
  <c r="M498" i="34"/>
  <c r="N498" i="34" s="1"/>
  <c r="M499" i="34"/>
  <c r="N499" i="34" s="1"/>
  <c r="M500" i="34"/>
  <c r="N500" i="34" s="1"/>
  <c r="M501" i="34"/>
  <c r="N501" i="34" s="1"/>
  <c r="M503" i="34"/>
  <c r="N503" i="34" s="1"/>
  <c r="M504" i="34"/>
  <c r="N504" i="34" s="1"/>
  <c r="M506" i="34"/>
  <c r="N506" i="34" s="1"/>
  <c r="M507" i="34"/>
  <c r="N507" i="34" s="1"/>
  <c r="M509" i="34"/>
  <c r="N509" i="34" s="1"/>
  <c r="M510" i="34"/>
  <c r="N510" i="34" s="1"/>
  <c r="M512" i="34"/>
  <c r="N512" i="34" s="1"/>
  <c r="M513" i="34"/>
  <c r="N513" i="34" s="1"/>
  <c r="M514" i="34"/>
  <c r="N514" i="34" s="1"/>
  <c r="M515" i="34"/>
  <c r="N515" i="34" s="1"/>
  <c r="M516" i="34"/>
  <c r="N516" i="34" s="1"/>
  <c r="M518" i="34"/>
  <c r="N518" i="34" s="1"/>
  <c r="M520" i="34"/>
  <c r="N520" i="34" s="1"/>
  <c r="M522" i="34"/>
  <c r="N522" i="34" s="1"/>
  <c r="M523" i="34"/>
  <c r="N523" i="34" s="1"/>
  <c r="M526" i="34"/>
  <c r="N526" i="34" s="1"/>
  <c r="M527" i="34"/>
  <c r="N527" i="34" s="1"/>
  <c r="M529" i="34"/>
  <c r="N529" i="34" s="1"/>
  <c r="M531" i="34"/>
  <c r="N531" i="34" s="1"/>
  <c r="M532" i="34"/>
  <c r="N532" i="34" s="1"/>
  <c r="M536" i="34"/>
  <c r="N536" i="34" s="1"/>
  <c r="M538" i="34"/>
  <c r="N538" i="34" s="1"/>
  <c r="M540" i="34"/>
  <c r="N540" i="34" s="1"/>
  <c r="M541" i="34"/>
  <c r="N541" i="34" s="1"/>
  <c r="M543" i="34"/>
  <c r="N543" i="34" s="1"/>
  <c r="M547" i="34"/>
  <c r="N547" i="34" s="1"/>
  <c r="M548" i="34"/>
  <c r="N548" i="34" s="1"/>
  <c r="M550" i="34"/>
  <c r="N550" i="34" s="1"/>
  <c r="M553" i="34"/>
  <c r="N553" i="34" s="1"/>
  <c r="M554" i="34"/>
  <c r="N554" i="34" s="1"/>
  <c r="M557" i="34"/>
  <c r="N557" i="34" s="1"/>
  <c r="M559" i="34"/>
  <c r="N559" i="34" s="1"/>
  <c r="M563" i="34"/>
  <c r="N563" i="34" s="1"/>
  <c r="M566" i="34"/>
  <c r="N566" i="34" s="1"/>
  <c r="M567" i="34"/>
  <c r="N567" i="34" s="1"/>
  <c r="M569" i="34"/>
  <c r="N569" i="34" s="1"/>
  <c r="M571" i="34"/>
  <c r="N571" i="34" s="1"/>
  <c r="M572" i="34"/>
  <c r="N572" i="34" s="1"/>
  <c r="M573" i="34"/>
  <c r="N573" i="34" s="1"/>
  <c r="M575" i="34"/>
  <c r="N575" i="34" s="1"/>
  <c r="M576" i="34"/>
  <c r="N576" i="34" s="1"/>
  <c r="M577" i="34"/>
  <c r="N577" i="34" s="1"/>
  <c r="M580" i="34"/>
  <c r="N580" i="34" s="1"/>
  <c r="M581" i="34"/>
  <c r="N581" i="34" s="1"/>
  <c r="M582" i="34"/>
  <c r="N582" i="34" s="1"/>
  <c r="M584" i="34"/>
  <c r="N584" i="34" s="1"/>
  <c r="M585" i="34"/>
  <c r="N585" i="34" s="1"/>
  <c r="M595" i="34"/>
  <c r="N595" i="34" s="1"/>
  <c r="M600" i="34"/>
  <c r="N600" i="34" s="1"/>
  <c r="M601" i="34"/>
  <c r="N601" i="34" s="1"/>
  <c r="M604" i="34"/>
  <c r="N604" i="34" s="1"/>
  <c r="M605" i="34"/>
  <c r="N605" i="34" s="1"/>
  <c r="M607" i="34"/>
  <c r="N607" i="34" s="1"/>
  <c r="M608" i="34"/>
  <c r="N608" i="34" s="1"/>
  <c r="M615" i="34"/>
  <c r="N615" i="34" s="1"/>
  <c r="M624" i="34"/>
  <c r="N624" i="34" s="1"/>
  <c r="M625" i="34"/>
  <c r="N625" i="34" s="1"/>
  <c r="M629" i="34"/>
  <c r="N629" i="34" s="1"/>
  <c r="M630" i="34"/>
  <c r="N630" i="34" s="1"/>
  <c r="M631" i="34"/>
  <c r="N631" i="34" s="1"/>
  <c r="M632" i="34"/>
  <c r="N632" i="34" s="1"/>
  <c r="M633" i="34"/>
  <c r="N633" i="34" s="1"/>
  <c r="M635" i="34"/>
  <c r="N635" i="34" s="1"/>
  <c r="M636" i="34"/>
  <c r="N636" i="34" s="1"/>
  <c r="M637" i="34"/>
  <c r="N637" i="34" s="1"/>
  <c r="M638" i="34"/>
  <c r="N638" i="34" s="1"/>
  <c r="M639" i="34"/>
  <c r="N639" i="34" s="1"/>
  <c r="M640" i="34"/>
  <c r="N640" i="34" s="1"/>
  <c r="M641" i="34"/>
  <c r="N641" i="34" s="1"/>
  <c r="M642" i="34"/>
  <c r="N642" i="34" s="1"/>
  <c r="M643" i="34"/>
  <c r="N643" i="34" s="1"/>
  <c r="M644" i="34"/>
  <c r="N644" i="34" s="1"/>
  <c r="M645" i="34"/>
  <c r="N645" i="34" s="1"/>
  <c r="M646" i="34"/>
  <c r="N646" i="34" s="1"/>
  <c r="M647" i="34"/>
  <c r="N647" i="34" s="1"/>
  <c r="M648" i="34"/>
  <c r="N648" i="34" s="1"/>
  <c r="M649" i="34"/>
  <c r="N649" i="34" s="1"/>
  <c r="M650" i="34"/>
  <c r="N650" i="34" s="1"/>
  <c r="M651" i="34"/>
  <c r="N651" i="34" s="1"/>
  <c r="M652" i="34"/>
  <c r="N652" i="34" s="1"/>
  <c r="M653" i="34"/>
  <c r="N653" i="34" s="1"/>
  <c r="M654" i="34"/>
  <c r="N654" i="34" s="1"/>
  <c r="M655" i="34"/>
  <c r="N655" i="34" s="1"/>
  <c r="M656" i="34"/>
  <c r="N656" i="34" s="1"/>
  <c r="M657" i="34"/>
  <c r="N657" i="34" s="1"/>
  <c r="M658" i="34"/>
  <c r="N658" i="34" s="1"/>
  <c r="M659" i="34"/>
  <c r="N659" i="34" s="1"/>
  <c r="M660" i="34"/>
  <c r="N660" i="34" s="1"/>
  <c r="M661" i="34"/>
  <c r="N661" i="34" s="1"/>
  <c r="M662" i="34"/>
  <c r="N662" i="34" s="1"/>
  <c r="M663" i="34"/>
  <c r="N663" i="34" s="1"/>
  <c r="M665" i="34"/>
  <c r="N665" i="34" s="1"/>
  <c r="M666" i="34"/>
  <c r="N666" i="34" s="1"/>
  <c r="M667" i="34"/>
  <c r="N667" i="34" s="1"/>
  <c r="M668" i="34"/>
  <c r="N668" i="34" s="1"/>
  <c r="M669" i="34"/>
  <c r="N669" i="34" s="1"/>
  <c r="M670" i="34"/>
  <c r="N670" i="34" s="1"/>
  <c r="M672" i="34"/>
  <c r="N672" i="34" s="1"/>
  <c r="M673" i="34"/>
  <c r="N673" i="34" s="1"/>
  <c r="M674" i="34"/>
  <c r="N674" i="34" s="1"/>
  <c r="M675" i="34"/>
  <c r="N675" i="34" s="1"/>
  <c r="M677" i="34"/>
  <c r="N677" i="34" s="1"/>
  <c r="M678" i="34"/>
  <c r="N678" i="34" s="1"/>
  <c r="M679" i="34"/>
  <c r="N679" i="34" s="1"/>
  <c r="M680" i="34"/>
  <c r="N680" i="34" s="1"/>
  <c r="M682" i="34"/>
  <c r="N682" i="34" s="1"/>
  <c r="M683" i="34"/>
  <c r="N683" i="34" s="1"/>
  <c r="M684" i="34"/>
  <c r="N684" i="34" s="1"/>
  <c r="M685" i="34"/>
  <c r="N685" i="34" s="1"/>
  <c r="M686" i="34"/>
  <c r="N686" i="34" s="1"/>
  <c r="M687" i="34"/>
  <c r="N687" i="34" s="1"/>
  <c r="M688" i="34"/>
  <c r="N688" i="34" s="1"/>
  <c r="M689" i="34"/>
  <c r="N689" i="34" s="1"/>
  <c r="M690" i="34"/>
  <c r="N690" i="34" s="1"/>
  <c r="M691" i="34"/>
  <c r="N691" i="34" s="1"/>
  <c r="M692" i="34"/>
  <c r="N692" i="34" s="1"/>
  <c r="M693" i="34"/>
  <c r="N693" i="34" s="1"/>
  <c r="M694" i="34"/>
  <c r="N694" i="34" s="1"/>
  <c r="M695" i="34"/>
  <c r="N695" i="34" s="1"/>
  <c r="M696" i="34"/>
  <c r="N696" i="34" s="1"/>
  <c r="M697" i="34"/>
  <c r="N697" i="34" s="1"/>
  <c r="M698" i="34"/>
  <c r="N698" i="34" s="1"/>
  <c r="M699" i="34"/>
  <c r="N699" i="34" s="1"/>
  <c r="M700" i="34"/>
  <c r="N700" i="34" s="1"/>
  <c r="M701" i="34"/>
  <c r="N701" i="34" s="1"/>
  <c r="M703" i="34"/>
  <c r="N703" i="34" s="1"/>
  <c r="M704" i="34"/>
  <c r="N704" i="34" s="1"/>
  <c r="M705" i="34"/>
  <c r="N705" i="34" s="1"/>
  <c r="M707" i="34"/>
  <c r="N707" i="34" s="1"/>
  <c r="M708" i="34"/>
  <c r="N708" i="34" s="1"/>
  <c r="M709" i="34"/>
  <c r="N709" i="34" s="1"/>
  <c r="M710" i="34"/>
  <c r="N710" i="34" s="1"/>
  <c r="M711" i="34"/>
  <c r="N711" i="34" s="1"/>
  <c r="M712" i="34"/>
  <c r="N712" i="34" s="1"/>
  <c r="M713" i="34"/>
  <c r="N713" i="34" s="1"/>
  <c r="M714" i="34"/>
  <c r="N714" i="34" s="1"/>
  <c r="M716" i="34"/>
  <c r="N716" i="34" s="1"/>
  <c r="M717" i="34"/>
  <c r="N717" i="34" s="1"/>
  <c r="M718" i="34"/>
  <c r="N718" i="34" s="1"/>
  <c r="M719" i="34"/>
  <c r="N719" i="34" s="1"/>
  <c r="M720" i="34"/>
  <c r="N720" i="34" s="1"/>
  <c r="M721" i="34"/>
  <c r="N721" i="34" s="1"/>
  <c r="M722" i="34"/>
  <c r="N722" i="34" s="1"/>
  <c r="M723" i="34"/>
  <c r="N723" i="34" s="1"/>
  <c r="M724" i="34"/>
  <c r="N724" i="34" s="1"/>
  <c r="M725" i="34"/>
  <c r="N725" i="34" s="1"/>
  <c r="M726" i="34"/>
  <c r="N726" i="34" s="1"/>
  <c r="M728" i="34"/>
  <c r="N728" i="34" s="1"/>
  <c r="M729" i="34"/>
  <c r="N729" i="34" s="1"/>
  <c r="M730" i="34"/>
  <c r="N730" i="34" s="1"/>
  <c r="M732" i="34"/>
  <c r="N732" i="34" s="1"/>
  <c r="M733" i="34"/>
  <c r="N733" i="34" s="1"/>
  <c r="M734" i="34"/>
  <c r="N734" i="34" s="1"/>
  <c r="M735" i="34"/>
  <c r="N735" i="34" s="1"/>
  <c r="M736" i="34"/>
  <c r="N736" i="34" s="1"/>
  <c r="M737" i="34"/>
  <c r="N737" i="34" s="1"/>
  <c r="M738" i="34"/>
  <c r="N738" i="34" s="1"/>
  <c r="M739" i="34"/>
  <c r="N739" i="34" s="1"/>
  <c r="M741" i="34"/>
  <c r="N741" i="34" s="1"/>
  <c r="M742" i="34"/>
  <c r="N742" i="34" s="1"/>
  <c r="M743" i="34"/>
  <c r="N743" i="34" s="1"/>
  <c r="M744" i="34"/>
  <c r="N744" i="34" s="1"/>
  <c r="M745" i="34"/>
  <c r="N745" i="34" s="1"/>
  <c r="M746" i="34"/>
  <c r="N746" i="34" s="1"/>
  <c r="M747" i="34"/>
  <c r="N747" i="34" s="1"/>
  <c r="M748" i="34"/>
  <c r="N748" i="34" s="1"/>
  <c r="M749" i="34"/>
  <c r="N749" i="34" s="1"/>
  <c r="M750" i="34"/>
  <c r="N750" i="34" s="1"/>
  <c r="M751" i="34"/>
  <c r="N751" i="34" s="1"/>
  <c r="M752" i="34"/>
  <c r="N752" i="34" s="1"/>
  <c r="M754" i="34"/>
  <c r="N754" i="34" s="1"/>
  <c r="M755" i="34"/>
  <c r="N755" i="34" s="1"/>
  <c r="M756" i="34"/>
  <c r="N756" i="34" s="1"/>
  <c r="M757" i="34"/>
  <c r="N757" i="34" s="1"/>
  <c r="M759" i="34"/>
  <c r="N759" i="34" s="1"/>
  <c r="M760" i="34"/>
  <c r="N760" i="34" s="1"/>
  <c r="M761" i="34"/>
  <c r="N761" i="34" s="1"/>
  <c r="M762" i="34"/>
  <c r="N762" i="34" s="1"/>
  <c r="M765" i="34"/>
  <c r="N765" i="34" s="1"/>
  <c r="M766" i="34"/>
  <c r="N766" i="34" s="1"/>
  <c r="M767" i="34"/>
  <c r="N767" i="34" s="1"/>
  <c r="M768" i="34"/>
  <c r="N768" i="34" s="1"/>
  <c r="M769" i="34"/>
  <c r="N769" i="34" s="1"/>
  <c r="M770" i="34"/>
  <c r="N770" i="34" s="1"/>
  <c r="M771" i="34"/>
  <c r="N771" i="34" s="1"/>
  <c r="M772" i="34"/>
  <c r="N772" i="34" s="1"/>
  <c r="M773" i="34"/>
  <c r="N773" i="34" s="1"/>
  <c r="M774" i="34"/>
  <c r="N774" i="34" s="1"/>
  <c r="M775" i="34"/>
  <c r="N775" i="34" s="1"/>
  <c r="M776" i="34"/>
  <c r="N776" i="34" s="1"/>
  <c r="M777" i="34"/>
  <c r="N777" i="34" s="1"/>
  <c r="M778" i="34"/>
  <c r="N778" i="34" s="1"/>
  <c r="M781" i="34"/>
  <c r="N781" i="34" s="1"/>
  <c r="M782" i="34"/>
  <c r="N782" i="34" s="1"/>
  <c r="M783" i="34"/>
  <c r="N783" i="34" s="1"/>
  <c r="M784" i="34"/>
  <c r="N784" i="34" s="1"/>
  <c r="M786" i="34"/>
  <c r="N786" i="34" s="1"/>
  <c r="M788" i="34"/>
  <c r="N788" i="34" s="1"/>
  <c r="M789" i="34"/>
  <c r="N789" i="34" s="1"/>
  <c r="M790" i="34"/>
  <c r="N790" i="34" s="1"/>
  <c r="M791" i="34"/>
  <c r="N791" i="34" s="1"/>
  <c r="M792" i="34"/>
  <c r="N792" i="34" s="1"/>
  <c r="M793" i="34"/>
  <c r="N793" i="34" s="1"/>
  <c r="M795" i="34"/>
  <c r="N795" i="34" s="1"/>
  <c r="M796" i="34"/>
  <c r="N796" i="34" s="1"/>
  <c r="M797" i="34"/>
  <c r="N797" i="34" s="1"/>
  <c r="M798" i="34"/>
  <c r="N798" i="34" s="1"/>
  <c r="M799" i="34"/>
  <c r="N799" i="34" s="1"/>
  <c r="M800" i="34"/>
  <c r="N800" i="34" s="1"/>
  <c r="M801" i="34"/>
  <c r="N801" i="34" s="1"/>
  <c r="M802" i="34"/>
  <c r="N802" i="34" s="1"/>
  <c r="M803" i="34"/>
  <c r="N803" i="34" s="1"/>
  <c r="M804" i="34"/>
  <c r="N804" i="34" s="1"/>
  <c r="M806" i="34"/>
  <c r="N806" i="34" s="1"/>
  <c r="M807" i="34"/>
  <c r="N807" i="34" s="1"/>
  <c r="M808" i="34"/>
  <c r="N808" i="34" s="1"/>
  <c r="M809" i="34"/>
  <c r="N809" i="34" s="1"/>
  <c r="M810" i="34"/>
  <c r="N810" i="34" s="1"/>
  <c r="M811" i="34"/>
  <c r="N811" i="34" s="1"/>
  <c r="M812" i="34"/>
  <c r="N812" i="34" s="1"/>
  <c r="M813" i="34"/>
  <c r="N813" i="34" s="1"/>
  <c r="M814" i="34"/>
  <c r="N814" i="34" s="1"/>
  <c r="M815" i="34"/>
  <c r="N815" i="34" s="1"/>
  <c r="M816" i="34"/>
  <c r="N816" i="34" s="1"/>
  <c r="M817" i="34"/>
  <c r="N817" i="34" s="1"/>
  <c r="M818" i="34"/>
  <c r="N818" i="34" s="1"/>
  <c r="M819" i="34"/>
  <c r="N819" i="34" s="1"/>
  <c r="M820" i="34"/>
  <c r="N820" i="34" s="1"/>
  <c r="M821" i="34"/>
  <c r="N821" i="34" s="1"/>
  <c r="M823" i="34"/>
  <c r="N823" i="34" s="1"/>
  <c r="M825" i="34"/>
  <c r="N825" i="34" s="1"/>
  <c r="M826" i="34"/>
  <c r="N826" i="34" s="1"/>
  <c r="M827" i="34"/>
  <c r="N827" i="34" s="1"/>
  <c r="M829" i="34"/>
  <c r="N829" i="34" s="1"/>
  <c r="M830" i="34"/>
  <c r="N830" i="34" s="1"/>
  <c r="M831" i="34"/>
  <c r="N831" i="34" s="1"/>
  <c r="M832" i="34"/>
  <c r="N832" i="34" s="1"/>
  <c r="M833" i="34"/>
  <c r="N833" i="34" s="1"/>
  <c r="M834" i="34"/>
  <c r="N834" i="34" s="1"/>
  <c r="M835" i="34"/>
  <c r="N835" i="34" s="1"/>
  <c r="M836" i="34"/>
  <c r="N836" i="34" s="1"/>
  <c r="M837" i="34"/>
  <c r="N837" i="34" s="1"/>
  <c r="M839" i="34"/>
  <c r="N839" i="34" s="1"/>
  <c r="M840" i="34"/>
  <c r="N840" i="34" s="1"/>
  <c r="M841" i="34"/>
  <c r="N841" i="34" s="1"/>
  <c r="M842" i="34"/>
  <c r="N842" i="34" s="1"/>
  <c r="M843" i="34"/>
  <c r="N843" i="34" s="1"/>
  <c r="M844" i="34"/>
  <c r="N844" i="34" s="1"/>
  <c r="M845" i="34"/>
  <c r="N845" i="34" s="1"/>
  <c r="M846" i="34"/>
  <c r="N846" i="34" s="1"/>
  <c r="M847" i="34"/>
  <c r="N847" i="34" s="1"/>
  <c r="M848" i="34"/>
  <c r="N848" i="34" s="1"/>
  <c r="M849" i="34"/>
  <c r="N849" i="34" s="1"/>
  <c r="M850" i="34"/>
  <c r="N850" i="34" s="1"/>
  <c r="M851" i="34"/>
  <c r="N851" i="34" s="1"/>
  <c r="M852" i="34"/>
  <c r="N852" i="34" s="1"/>
  <c r="M853" i="34"/>
  <c r="N853" i="34" s="1"/>
  <c r="M854" i="34"/>
  <c r="N854" i="34" s="1"/>
  <c r="M855" i="34"/>
  <c r="N855" i="34" s="1"/>
  <c r="M856" i="34"/>
  <c r="N856" i="34" s="1"/>
  <c r="M857" i="34"/>
  <c r="N857" i="34" s="1"/>
  <c r="M858" i="34"/>
  <c r="N858" i="34" s="1"/>
  <c r="M859" i="34"/>
  <c r="N859" i="34" s="1"/>
  <c r="M862" i="34"/>
  <c r="N862" i="34" s="1"/>
  <c r="M863" i="34"/>
  <c r="N863" i="34" s="1"/>
  <c r="M864" i="34"/>
  <c r="N864" i="34" s="1"/>
  <c r="M865" i="34"/>
  <c r="N865" i="34" s="1"/>
  <c r="M866" i="34"/>
  <c r="N866" i="34" s="1"/>
  <c r="M867" i="34"/>
  <c r="N867" i="34" s="1"/>
  <c r="M868" i="34"/>
  <c r="N868" i="34" s="1"/>
  <c r="M869" i="34"/>
  <c r="N869" i="34" s="1"/>
  <c r="M870" i="34"/>
  <c r="N870" i="34" s="1"/>
  <c r="M871" i="34"/>
  <c r="N871" i="34" s="1"/>
  <c r="M872" i="34"/>
  <c r="N872" i="34" s="1"/>
  <c r="M873" i="34"/>
  <c r="N873" i="34" s="1"/>
  <c r="M874" i="34"/>
  <c r="N874" i="34" s="1"/>
  <c r="M875" i="34"/>
  <c r="N875" i="34" s="1"/>
  <c r="M876" i="34"/>
  <c r="N876" i="34" s="1"/>
  <c r="M877" i="34"/>
  <c r="N877" i="34" s="1"/>
  <c r="M878" i="34"/>
  <c r="N878" i="34" s="1"/>
  <c r="M879" i="34"/>
  <c r="N879" i="34" s="1"/>
  <c r="M881" i="34"/>
  <c r="N881" i="34" s="1"/>
  <c r="M882" i="34"/>
  <c r="N882" i="34" s="1"/>
  <c r="M884" i="34"/>
  <c r="N884" i="34" s="1"/>
  <c r="M885" i="34"/>
  <c r="N885" i="34" s="1"/>
  <c r="M886" i="34"/>
  <c r="N886" i="34" s="1"/>
  <c r="M887" i="34"/>
  <c r="N887" i="34" s="1"/>
  <c r="M889" i="34"/>
  <c r="N889" i="34" s="1"/>
  <c r="M890" i="34"/>
  <c r="N890" i="34" s="1"/>
  <c r="M891" i="34"/>
  <c r="N891" i="34" s="1"/>
  <c r="M892" i="34"/>
  <c r="N892" i="34" s="1"/>
  <c r="M893" i="34"/>
  <c r="N893" i="34" s="1"/>
  <c r="M894" i="34"/>
  <c r="N894" i="34" s="1"/>
  <c r="M895" i="34"/>
  <c r="N895" i="34" s="1"/>
  <c r="M896" i="34"/>
  <c r="N896" i="34" s="1"/>
  <c r="M899" i="34"/>
  <c r="N899" i="34" s="1"/>
  <c r="M901" i="34"/>
  <c r="N901" i="34" s="1"/>
  <c r="M902" i="34"/>
  <c r="N902" i="34" s="1"/>
  <c r="M903" i="34"/>
  <c r="N903" i="34" s="1"/>
  <c r="M904" i="34"/>
  <c r="N904" i="34" s="1"/>
  <c r="M905" i="34"/>
  <c r="N905" i="34" s="1"/>
  <c r="M906" i="34"/>
  <c r="N906" i="34" s="1"/>
  <c r="M907" i="34"/>
  <c r="N907" i="34" s="1"/>
  <c r="M908" i="34"/>
  <c r="N908" i="34" s="1"/>
  <c r="M909" i="34"/>
  <c r="N909" i="34" s="1"/>
  <c r="M910" i="34"/>
  <c r="N910" i="34" s="1"/>
  <c r="M912" i="34"/>
  <c r="N912" i="34" s="1"/>
  <c r="M913" i="34"/>
  <c r="N913" i="34" s="1"/>
  <c r="M914" i="34"/>
  <c r="N914" i="34" s="1"/>
  <c r="M916" i="34"/>
  <c r="N916" i="34" s="1"/>
  <c r="M917" i="34"/>
  <c r="N917" i="34" s="1"/>
  <c r="M918" i="34"/>
  <c r="N918" i="34" s="1"/>
  <c r="M919" i="34"/>
  <c r="N919" i="34" s="1"/>
  <c r="M920" i="34"/>
  <c r="N920" i="34" s="1"/>
  <c r="M921" i="34"/>
  <c r="N921" i="34" s="1"/>
  <c r="M922" i="34"/>
  <c r="N922" i="34" s="1"/>
  <c r="M923" i="34"/>
  <c r="N923" i="34" s="1"/>
  <c r="M924" i="34"/>
  <c r="N924" i="34" s="1"/>
  <c r="M925" i="34"/>
  <c r="N925" i="34" s="1"/>
  <c r="M926" i="34"/>
  <c r="N926" i="34" s="1"/>
  <c r="M927" i="34"/>
  <c r="N927" i="34" s="1"/>
  <c r="M928" i="34"/>
  <c r="N928" i="34" s="1"/>
  <c r="M929" i="34"/>
  <c r="N929" i="34" s="1"/>
  <c r="M930" i="34"/>
  <c r="N930" i="34" s="1"/>
  <c r="M931" i="34"/>
  <c r="N931" i="34" s="1"/>
  <c r="M933" i="34"/>
  <c r="N933" i="34" s="1"/>
  <c r="M934" i="34"/>
  <c r="N934" i="34" s="1"/>
  <c r="M935" i="34"/>
  <c r="N935" i="34" s="1"/>
  <c r="M936" i="34"/>
  <c r="N936" i="34" s="1"/>
  <c r="M937" i="34"/>
  <c r="N937" i="34" s="1"/>
  <c r="M938" i="34"/>
  <c r="N938" i="34" s="1"/>
  <c r="M939" i="34"/>
  <c r="N939" i="34" s="1"/>
  <c r="M940" i="34"/>
  <c r="N940" i="34" s="1"/>
  <c r="M941" i="34"/>
  <c r="N941" i="34" s="1"/>
  <c r="M942" i="34"/>
  <c r="N942" i="34" s="1"/>
  <c r="M943" i="34"/>
  <c r="N943" i="34" s="1"/>
  <c r="M944" i="34"/>
  <c r="N944" i="34" s="1"/>
  <c r="M945" i="34"/>
  <c r="N945" i="34" s="1"/>
  <c r="M946" i="34"/>
  <c r="N946" i="34" s="1"/>
  <c r="M947" i="34"/>
  <c r="N947" i="34" s="1"/>
  <c r="M948" i="34"/>
  <c r="N948" i="34" s="1"/>
  <c r="M949" i="34"/>
  <c r="N949" i="34" s="1"/>
  <c r="M950" i="34"/>
  <c r="N950" i="34" s="1"/>
  <c r="M951" i="34"/>
  <c r="N951" i="34" s="1"/>
  <c r="M952" i="34"/>
  <c r="N952" i="34" s="1"/>
  <c r="M953" i="34"/>
  <c r="N953" i="34" s="1"/>
  <c r="M954" i="34"/>
  <c r="N954" i="34" s="1"/>
  <c r="M955" i="34"/>
  <c r="N955" i="34" s="1"/>
  <c r="M956" i="34"/>
  <c r="N956" i="34" s="1"/>
  <c r="M957" i="34"/>
  <c r="N957" i="34" s="1"/>
  <c r="M958" i="34"/>
  <c r="N958" i="34" s="1"/>
  <c r="M959" i="34"/>
  <c r="N959" i="34" s="1"/>
  <c r="M960" i="34"/>
  <c r="N960" i="34" s="1"/>
  <c r="M961" i="34"/>
  <c r="N961" i="34" s="1"/>
  <c r="M962" i="34"/>
  <c r="N962" i="34" s="1"/>
  <c r="M963" i="34"/>
  <c r="N963" i="34" s="1"/>
  <c r="M964" i="34"/>
  <c r="N964" i="34" s="1"/>
  <c r="M965" i="34"/>
  <c r="N965" i="34" s="1"/>
  <c r="M966" i="34"/>
  <c r="N966" i="34" s="1"/>
  <c r="M967" i="34"/>
  <c r="N967" i="34" s="1"/>
  <c r="M968" i="34"/>
  <c r="N968" i="34" s="1"/>
  <c r="M969" i="34"/>
  <c r="N969" i="34" s="1"/>
  <c r="M970" i="34"/>
  <c r="N970" i="34" s="1"/>
  <c r="M971" i="34"/>
  <c r="N971" i="34" s="1"/>
  <c r="M972" i="34"/>
  <c r="N972" i="34" s="1"/>
  <c r="M974" i="34"/>
  <c r="N974" i="34" s="1"/>
  <c r="M975" i="34"/>
  <c r="N975" i="34" s="1"/>
  <c r="M976" i="34"/>
  <c r="N976" i="34" s="1"/>
  <c r="M977" i="34"/>
  <c r="N977" i="34" s="1"/>
  <c r="M978" i="34"/>
  <c r="N978" i="34" s="1"/>
  <c r="M979" i="34"/>
  <c r="N979" i="34" s="1"/>
  <c r="M980" i="34"/>
  <c r="N980" i="34" s="1"/>
  <c r="M981" i="34"/>
  <c r="N981" i="34" s="1"/>
  <c r="M982" i="34"/>
  <c r="N982" i="34" s="1"/>
  <c r="M984" i="34"/>
  <c r="N984" i="34" s="1"/>
  <c r="M985" i="34"/>
  <c r="N985" i="34" s="1"/>
  <c r="M986" i="34"/>
  <c r="N986" i="34" s="1"/>
  <c r="M987" i="34"/>
  <c r="N987" i="34" s="1"/>
  <c r="M988" i="34"/>
  <c r="N988" i="34" s="1"/>
  <c r="M989" i="34"/>
  <c r="N989" i="34" s="1"/>
  <c r="M990" i="34"/>
  <c r="N990" i="34" s="1"/>
  <c r="M991" i="34"/>
  <c r="N991" i="34" s="1"/>
  <c r="M993" i="34"/>
  <c r="N993" i="34" s="1"/>
  <c r="M994" i="34"/>
  <c r="N994" i="34" s="1"/>
  <c r="M995" i="34"/>
  <c r="N995" i="34" s="1"/>
  <c r="M996" i="34"/>
  <c r="N996" i="34" s="1"/>
  <c r="M997" i="34"/>
  <c r="N997" i="34" s="1"/>
  <c r="M998" i="34"/>
  <c r="N998" i="34" s="1"/>
  <c r="M999" i="34"/>
  <c r="N999" i="34" s="1"/>
  <c r="M1000" i="34"/>
  <c r="N1000" i="34" s="1"/>
  <c r="M1001" i="34"/>
  <c r="N1001" i="34" s="1"/>
  <c r="M1002" i="34"/>
  <c r="N1002" i="34" s="1"/>
  <c r="M1003" i="34"/>
  <c r="N1003" i="34" s="1"/>
  <c r="M1004" i="34"/>
  <c r="N1004" i="34" s="1"/>
  <c r="M1005" i="34"/>
  <c r="N1005" i="34" s="1"/>
  <c r="M1006" i="34"/>
  <c r="N1006" i="34" s="1"/>
  <c r="M1007" i="34"/>
  <c r="N1007" i="34" s="1"/>
  <c r="M1008" i="34"/>
  <c r="N1008" i="34" s="1"/>
  <c r="M1009" i="34"/>
  <c r="N1009" i="34" s="1"/>
  <c r="M1010" i="34"/>
  <c r="N1010" i="34" s="1"/>
  <c r="M1012" i="34"/>
  <c r="N1012" i="34" s="1"/>
  <c r="M1013" i="34"/>
  <c r="N1013" i="34" s="1"/>
  <c r="M1014" i="34"/>
  <c r="N1014" i="34" s="1"/>
  <c r="M1015" i="34"/>
  <c r="N1015" i="34" s="1"/>
  <c r="M1016" i="34"/>
  <c r="N1016" i="34" s="1"/>
  <c r="M1017" i="34"/>
  <c r="N1017" i="34" s="1"/>
  <c r="M1018" i="34"/>
  <c r="N1018" i="34" s="1"/>
  <c r="M1019" i="34"/>
  <c r="N1019" i="34" s="1"/>
  <c r="M1020" i="34"/>
  <c r="N1020" i="34" s="1"/>
  <c r="M1021" i="34"/>
  <c r="N1021" i="34" s="1"/>
  <c r="M1022" i="34"/>
  <c r="N1022" i="34" s="1"/>
  <c r="M1023" i="34"/>
  <c r="N1023" i="34" s="1"/>
  <c r="M1025" i="34"/>
  <c r="N1025" i="34" s="1"/>
  <c r="M1026" i="34"/>
  <c r="N1026" i="34" s="1"/>
  <c r="M1027" i="34"/>
  <c r="N1027" i="34" s="1"/>
  <c r="M1028" i="34"/>
  <c r="N1028" i="34" s="1"/>
  <c r="M1030" i="34"/>
  <c r="N1030" i="34" s="1"/>
  <c r="M1032" i="34"/>
  <c r="N1032" i="34" s="1"/>
  <c r="M1033" i="34"/>
  <c r="N1033" i="34" s="1"/>
  <c r="M1034" i="34"/>
  <c r="N1034" i="34" s="1"/>
  <c r="M1035" i="34"/>
  <c r="N1035" i="34" s="1"/>
  <c r="M1036" i="34"/>
  <c r="N1036" i="34" s="1"/>
  <c r="M1037" i="34"/>
  <c r="N1037" i="34" s="1"/>
  <c r="M1038" i="34"/>
  <c r="N1038" i="34" s="1"/>
  <c r="M1039" i="34"/>
  <c r="N1039" i="34" s="1"/>
  <c r="M1041" i="34"/>
  <c r="N1041" i="34" s="1"/>
  <c r="M1042" i="34"/>
  <c r="N1042" i="34" s="1"/>
  <c r="M1043" i="34"/>
  <c r="N1043" i="34" s="1"/>
  <c r="M1044" i="34"/>
  <c r="N1044" i="34" s="1"/>
  <c r="M1045" i="34"/>
  <c r="N1045" i="34" s="1"/>
  <c r="M1046" i="34"/>
  <c r="N1046" i="34" s="1"/>
  <c r="M1047" i="34"/>
  <c r="N1047" i="34" s="1"/>
  <c r="M1048" i="34"/>
  <c r="N1048" i="34" s="1"/>
  <c r="M1049" i="34"/>
  <c r="N1049" i="34" s="1"/>
  <c r="M1050" i="34"/>
  <c r="N1050" i="34" s="1"/>
  <c r="M1052" i="34"/>
  <c r="N1052" i="34" s="1"/>
  <c r="M1053" i="34"/>
  <c r="N1053" i="34" s="1"/>
  <c r="M1054" i="34"/>
  <c r="N1054" i="34" s="1"/>
  <c r="M1056" i="34"/>
  <c r="N1056" i="34" s="1"/>
  <c r="M1057" i="34"/>
  <c r="N1057" i="34" s="1"/>
  <c r="M1058" i="34"/>
  <c r="N1058" i="34" s="1"/>
  <c r="M1059" i="34"/>
  <c r="N1059" i="34" s="1"/>
  <c r="M1060" i="34"/>
  <c r="N1060" i="34" s="1"/>
  <c r="M1061" i="34"/>
  <c r="N1061" i="34" s="1"/>
  <c r="M1062" i="34"/>
  <c r="N1062" i="34" s="1"/>
  <c r="M1064" i="34"/>
  <c r="N1064" i="34" s="1"/>
  <c r="M1065" i="34"/>
  <c r="N1065" i="34" s="1"/>
  <c r="M1066" i="34"/>
  <c r="N1066" i="34" s="1"/>
  <c r="M1067" i="34"/>
  <c r="N1067" i="34" s="1"/>
  <c r="M1068" i="34"/>
  <c r="N1068" i="34" s="1"/>
  <c r="M1070" i="34"/>
  <c r="N1070" i="34" s="1"/>
  <c r="M1072" i="34"/>
  <c r="N1072" i="34" s="1"/>
  <c r="M1073" i="34"/>
  <c r="N1073" i="34" s="1"/>
  <c r="M1074" i="34"/>
  <c r="N1074" i="34" s="1"/>
  <c r="M1076" i="34"/>
  <c r="N1076" i="34" s="1"/>
  <c r="M1077" i="34"/>
  <c r="N1077" i="34" s="1"/>
  <c r="M1078" i="34"/>
  <c r="N1078" i="34" s="1"/>
  <c r="M1079" i="34"/>
  <c r="N1079" i="34" s="1"/>
  <c r="M1080" i="34"/>
  <c r="N1080" i="34" s="1"/>
  <c r="M1081" i="34"/>
  <c r="N1081" i="34" s="1"/>
  <c r="M1083" i="34"/>
  <c r="N1083" i="34" s="1"/>
  <c r="M1084" i="34"/>
  <c r="N1084" i="34" s="1"/>
  <c r="M1085" i="34"/>
  <c r="N1085" i="34" s="1"/>
  <c r="M1086" i="34"/>
  <c r="N1086" i="34" s="1"/>
  <c r="M1087" i="34"/>
  <c r="N1087" i="34" s="1"/>
  <c r="M1088" i="34"/>
  <c r="N1088" i="34" s="1"/>
  <c r="M1089" i="34"/>
  <c r="N1089" i="34" s="1"/>
  <c r="M1090" i="34"/>
  <c r="N1090" i="34" s="1"/>
  <c r="M1091" i="34"/>
  <c r="N1091" i="34" s="1"/>
  <c r="M1092" i="34"/>
  <c r="N1092" i="34" s="1"/>
  <c r="M1093" i="34"/>
  <c r="N1093" i="34" s="1"/>
  <c r="M1094" i="34"/>
  <c r="N1094" i="34" s="1"/>
  <c r="M1095" i="34"/>
  <c r="N1095" i="34" s="1"/>
  <c r="M1096" i="34"/>
  <c r="N1096" i="34" s="1"/>
  <c r="M1097" i="34"/>
  <c r="N1097" i="34" s="1"/>
  <c r="M1098" i="34"/>
  <c r="N1098" i="34" s="1"/>
  <c r="M1099" i="34"/>
  <c r="N1099" i="34" s="1"/>
  <c r="M1100" i="34"/>
  <c r="N1100" i="34" s="1"/>
  <c r="M1101" i="34"/>
  <c r="N1101" i="34" s="1"/>
  <c r="M1102" i="34"/>
  <c r="N1102" i="34" s="1"/>
  <c r="M1103" i="34"/>
  <c r="N1103" i="34" s="1"/>
  <c r="M1105" i="34"/>
  <c r="N1105" i="34" s="1"/>
  <c r="M1106" i="34"/>
  <c r="N1106" i="34" s="1"/>
  <c r="M1107" i="34"/>
  <c r="N1107" i="34" s="1"/>
  <c r="M1108" i="34"/>
  <c r="N1108" i="34" s="1"/>
  <c r="M1109" i="34"/>
  <c r="N1109" i="34" s="1"/>
  <c r="M1110" i="34"/>
  <c r="N1110" i="34" s="1"/>
  <c r="M1111" i="34"/>
  <c r="N1111" i="34" s="1"/>
  <c r="M1112" i="34"/>
  <c r="N1112" i="34" s="1"/>
  <c r="M1113" i="34"/>
  <c r="N1113" i="34" s="1"/>
  <c r="M1114" i="34"/>
  <c r="N1114" i="34" s="1"/>
  <c r="M1116" i="34"/>
  <c r="N1116" i="34" s="1"/>
  <c r="M1117" i="34"/>
  <c r="N1117" i="34" s="1"/>
  <c r="M1118" i="34"/>
  <c r="N1118" i="34" s="1"/>
  <c r="M1119" i="34"/>
  <c r="N1119" i="34" s="1"/>
  <c r="M1120" i="34"/>
  <c r="N1120" i="34" s="1"/>
  <c r="M1121" i="34"/>
  <c r="N1121" i="34" s="1"/>
  <c r="M1122" i="34"/>
  <c r="N1122" i="34" s="1"/>
  <c r="M1123" i="34"/>
  <c r="N1123" i="34" s="1"/>
  <c r="M1124" i="34"/>
  <c r="N1124" i="34" s="1"/>
  <c r="M1125" i="34"/>
  <c r="N1125" i="34" s="1"/>
  <c r="M1126" i="34"/>
  <c r="N1126" i="34" s="1"/>
  <c r="M1127" i="34"/>
  <c r="N1127" i="34" s="1"/>
  <c r="M1128" i="34"/>
  <c r="N1128" i="34" s="1"/>
  <c r="M1129" i="34"/>
  <c r="N1129" i="34" s="1"/>
  <c r="M1130" i="34"/>
  <c r="N1130" i="34" s="1"/>
  <c r="M1133" i="34"/>
  <c r="N1133" i="34" s="1"/>
  <c r="M1134" i="34"/>
  <c r="N1134" i="34" s="1"/>
  <c r="M1135" i="34"/>
  <c r="N1135" i="34" s="1"/>
  <c r="M1136" i="34"/>
  <c r="N1136" i="34" s="1"/>
  <c r="M1138" i="34"/>
  <c r="N1138" i="34" s="1"/>
  <c r="M1139" i="34"/>
  <c r="N1139" i="34" s="1"/>
  <c r="M1140" i="34"/>
  <c r="N1140" i="34" s="1"/>
  <c r="M1141" i="34"/>
  <c r="N1141" i="34" s="1"/>
  <c r="M1142" i="34"/>
  <c r="N1142" i="34" s="1"/>
  <c r="M1143" i="34"/>
  <c r="N1143" i="34" s="1"/>
  <c r="M1145" i="34"/>
  <c r="N1145" i="34" s="1"/>
  <c r="M1146" i="34"/>
  <c r="N1146" i="34" s="1"/>
  <c r="M1148" i="34"/>
  <c r="N1148" i="34" s="1"/>
  <c r="M1149" i="34"/>
  <c r="N1149" i="34" s="1"/>
  <c r="M1150" i="34"/>
  <c r="N1150" i="34" s="1"/>
  <c r="M1151" i="34"/>
  <c r="N1151" i="34" s="1"/>
  <c r="M1152" i="34"/>
  <c r="N1152" i="34" s="1"/>
  <c r="M1153" i="34"/>
  <c r="N1153" i="34" s="1"/>
  <c r="M1154" i="34"/>
  <c r="N1154" i="34" s="1"/>
  <c r="M1155" i="34"/>
  <c r="N1155" i="34" s="1"/>
  <c r="M1156" i="34"/>
  <c r="N1156" i="34" s="1"/>
  <c r="M1157" i="34"/>
  <c r="N1157" i="34" s="1"/>
  <c r="M1158" i="34"/>
  <c r="N1158" i="34" s="1"/>
  <c r="M1159" i="34"/>
  <c r="N1159" i="34" s="1"/>
  <c r="M1160" i="34"/>
  <c r="N1160" i="34" s="1"/>
  <c r="M1161" i="34"/>
  <c r="N1161" i="34" s="1"/>
  <c r="M1162" i="34"/>
  <c r="N1162" i="34" s="1"/>
  <c r="M1164" i="34"/>
  <c r="N1164" i="34" s="1"/>
  <c r="M1165" i="34"/>
  <c r="N1165" i="34" s="1"/>
  <c r="M1166" i="34"/>
  <c r="N1166" i="34" s="1"/>
  <c r="M1167" i="34"/>
  <c r="N1167" i="34" s="1"/>
  <c r="M1168" i="34"/>
  <c r="N1168" i="34" s="1"/>
  <c r="M1169" i="34"/>
  <c r="N1169" i="34" s="1"/>
  <c r="M1170" i="34"/>
  <c r="N1170" i="34" s="1"/>
  <c r="M1171" i="34"/>
  <c r="N1171" i="34" s="1"/>
  <c r="M1172" i="34"/>
  <c r="N1172" i="34" s="1"/>
  <c r="M1174" i="34"/>
  <c r="N1174" i="34" s="1"/>
  <c r="M1175" i="34"/>
  <c r="N1175" i="34" s="1"/>
  <c r="M1176" i="34"/>
  <c r="N1176" i="34" s="1"/>
  <c r="M1178" i="34"/>
  <c r="N1178" i="34" s="1"/>
  <c r="M1181" i="34"/>
  <c r="N1181" i="34" s="1"/>
  <c r="M1182" i="34"/>
  <c r="N1182" i="34" s="1"/>
  <c r="M1183" i="34"/>
  <c r="N1183" i="34" s="1"/>
  <c r="M1184" i="34"/>
  <c r="N1184" i="34" s="1"/>
  <c r="M1185" i="34"/>
  <c r="N1185" i="34" s="1"/>
  <c r="M1186" i="34"/>
  <c r="N1186" i="34" s="1"/>
  <c r="M1187" i="34"/>
  <c r="N1187" i="34" s="1"/>
  <c r="M1189" i="34"/>
  <c r="N1189" i="34" s="1"/>
  <c r="M1190" i="34"/>
  <c r="N1190" i="34" s="1"/>
  <c r="M1191" i="34"/>
  <c r="N1191" i="34" s="1"/>
  <c r="M1192" i="34"/>
  <c r="N1192" i="34" s="1"/>
  <c r="M1193" i="34"/>
  <c r="N1193" i="34" s="1"/>
  <c r="M1195" i="34"/>
  <c r="N1195" i="34" s="1"/>
  <c r="M1196" i="34"/>
  <c r="N1196" i="34" s="1"/>
  <c r="M1197" i="34"/>
  <c r="N1197" i="34" s="1"/>
  <c r="M1200" i="34"/>
  <c r="N1200" i="34" s="1"/>
  <c r="M1201" i="34"/>
  <c r="N1201" i="34" s="1"/>
  <c r="M1202" i="34"/>
  <c r="N1202" i="34" s="1"/>
  <c r="M1203" i="34"/>
  <c r="N1203" i="34" s="1"/>
  <c r="M1204" i="34"/>
  <c r="N1204" i="34" s="1"/>
  <c r="N3" i="34"/>
  <c r="N27" i="34"/>
  <c r="N75" i="34"/>
  <c r="N90" i="34"/>
  <c r="N144" i="34"/>
  <c r="N189" i="34"/>
  <c r="N209" i="34"/>
  <c r="N453" i="34"/>
  <c r="L3" i="34"/>
  <c r="L4" i="34"/>
  <c r="L5" i="34"/>
  <c r="N5" i="34" s="1"/>
  <c r="L6" i="34"/>
  <c r="N6" i="34" s="1"/>
  <c r="L7" i="34"/>
  <c r="N7" i="34" s="1"/>
  <c r="L8" i="34"/>
  <c r="L9" i="34"/>
  <c r="L10" i="34"/>
  <c r="L11" i="34"/>
  <c r="N11" i="34" s="1"/>
  <c r="L12" i="34"/>
  <c r="L13" i="34"/>
  <c r="L14" i="34"/>
  <c r="N14" i="34" s="1"/>
  <c r="L15" i="34"/>
  <c r="L16" i="34"/>
  <c r="L17" i="34"/>
  <c r="N17" i="34" s="1"/>
  <c r="L18" i="34"/>
  <c r="L19" i="34"/>
  <c r="N19" i="34" s="1"/>
  <c r="L20" i="34"/>
  <c r="N20" i="34" s="1"/>
  <c r="L21" i="34"/>
  <c r="N21" i="34" s="1"/>
  <c r="L22" i="34"/>
  <c r="L23" i="34"/>
  <c r="N23" i="34" s="1"/>
  <c r="L24" i="34"/>
  <c r="N24" i="34" s="1"/>
  <c r="L25" i="34"/>
  <c r="N25" i="34" s="1"/>
  <c r="L26" i="34"/>
  <c r="L27" i="34"/>
  <c r="L28" i="34"/>
  <c r="N28" i="34" s="1"/>
  <c r="L29" i="34"/>
  <c r="N29" i="34" s="1"/>
  <c r="L30" i="34"/>
  <c r="L31" i="34"/>
  <c r="L32" i="34"/>
  <c r="L33" i="34"/>
  <c r="N33" i="34" s="1"/>
  <c r="L34" i="34"/>
  <c r="N34" i="34" s="1"/>
  <c r="L35" i="34"/>
  <c r="L36" i="34"/>
  <c r="N36" i="34" s="1"/>
  <c r="L37" i="34"/>
  <c r="N37" i="34" s="1"/>
  <c r="L38" i="34"/>
  <c r="L39" i="34"/>
  <c r="L40" i="34"/>
  <c r="N40" i="34" s="1"/>
  <c r="L41" i="34"/>
  <c r="L42" i="34"/>
  <c r="N42" i="34" s="1"/>
  <c r="L43" i="34"/>
  <c r="L44" i="34"/>
  <c r="N44" i="34" s="1"/>
  <c r="L45" i="34"/>
  <c r="N45" i="34" s="1"/>
  <c r="L46" i="34"/>
  <c r="L47" i="34"/>
  <c r="N47" i="34" s="1"/>
  <c r="L48" i="34"/>
  <c r="N48" i="34" s="1"/>
  <c r="L49" i="34"/>
  <c r="L50" i="34"/>
  <c r="N50" i="34" s="1"/>
  <c r="L51" i="34"/>
  <c r="L52" i="34"/>
  <c r="N52" i="34" s="1"/>
  <c r="L53" i="34"/>
  <c r="N53" i="34" s="1"/>
  <c r="L54" i="34"/>
  <c r="L55" i="34"/>
  <c r="L56" i="34"/>
  <c r="L57" i="34"/>
  <c r="N57" i="34" s="1"/>
  <c r="L58" i="34"/>
  <c r="N58" i="34" s="1"/>
  <c r="L59" i="34"/>
  <c r="L60" i="34"/>
  <c r="N60" i="34" s="1"/>
  <c r="L61" i="34"/>
  <c r="N61" i="34" s="1"/>
  <c r="L62" i="34"/>
  <c r="N62" i="34" s="1"/>
  <c r="L63" i="34"/>
  <c r="L64" i="34"/>
  <c r="L65" i="34"/>
  <c r="L66" i="34"/>
  <c r="L67" i="34"/>
  <c r="N67" i="34" s="1"/>
  <c r="L68" i="34"/>
  <c r="L69" i="34"/>
  <c r="N69" i="34" s="1"/>
  <c r="L70" i="34"/>
  <c r="N70" i="34" s="1"/>
  <c r="L71" i="34"/>
  <c r="L72" i="34"/>
  <c r="L73" i="34"/>
  <c r="L74" i="34"/>
  <c r="N74" i="34" s="1"/>
  <c r="L75" i="34"/>
  <c r="L76" i="34"/>
  <c r="L77" i="34"/>
  <c r="N77" i="34" s="1"/>
  <c r="L78" i="34"/>
  <c r="N78" i="34" s="1"/>
  <c r="L79" i="34"/>
  <c r="L80" i="34"/>
  <c r="L81" i="34"/>
  <c r="L82" i="34"/>
  <c r="L83" i="34"/>
  <c r="N83" i="34" s="1"/>
  <c r="L84" i="34"/>
  <c r="L85" i="34"/>
  <c r="L86" i="34"/>
  <c r="L87" i="34"/>
  <c r="L88" i="34"/>
  <c r="L89" i="34"/>
  <c r="L90" i="34"/>
  <c r="L91" i="34"/>
  <c r="L92" i="34"/>
  <c r="L93" i="34"/>
  <c r="L94" i="34"/>
  <c r="L95" i="34"/>
  <c r="L96" i="34"/>
  <c r="L97" i="34"/>
  <c r="L98" i="34"/>
  <c r="N98" i="34" s="1"/>
  <c r="L99" i="34"/>
  <c r="L100" i="34"/>
  <c r="L101" i="34"/>
  <c r="L102" i="34"/>
  <c r="N102" i="34" s="1"/>
  <c r="L103" i="34"/>
  <c r="L104" i="34"/>
  <c r="L105" i="34"/>
  <c r="N105" i="34" s="1"/>
  <c r="L106" i="34"/>
  <c r="L107" i="34"/>
  <c r="L108" i="34"/>
  <c r="L109" i="34"/>
  <c r="N109" i="34" s="1"/>
  <c r="L110" i="34"/>
  <c r="L111" i="34"/>
  <c r="N111" i="34" s="1"/>
  <c r="L112" i="34"/>
  <c r="N112" i="34" s="1"/>
  <c r="L113" i="34"/>
  <c r="N113" i="34" s="1"/>
  <c r="L114" i="34"/>
  <c r="L115" i="34"/>
  <c r="L116" i="34"/>
  <c r="L117" i="34"/>
  <c r="L118" i="34"/>
  <c r="N118" i="34" s="1"/>
  <c r="L119" i="34"/>
  <c r="N119" i="34" s="1"/>
  <c r="L120" i="34"/>
  <c r="L121" i="34"/>
  <c r="L122" i="34"/>
  <c r="L123" i="34"/>
  <c r="N123" i="34" s="1"/>
  <c r="L124" i="34"/>
  <c r="N124" i="34" s="1"/>
  <c r="L125" i="34"/>
  <c r="L126" i="34"/>
  <c r="N126" i="34" s="1"/>
  <c r="L127" i="34"/>
  <c r="L128" i="34"/>
  <c r="N128" i="34" s="1"/>
  <c r="L129" i="34"/>
  <c r="N129" i="34" s="1"/>
  <c r="L130" i="34"/>
  <c r="N130" i="34" s="1"/>
  <c r="L131" i="34"/>
  <c r="L132" i="34"/>
  <c r="N132" i="34" s="1"/>
  <c r="L133" i="34"/>
  <c r="N133" i="34" s="1"/>
  <c r="L134" i="34"/>
  <c r="L135" i="34"/>
  <c r="L136" i="34"/>
  <c r="L137" i="34"/>
  <c r="L138" i="34"/>
  <c r="L139" i="34"/>
  <c r="L140" i="34"/>
  <c r="L141" i="34"/>
  <c r="L142" i="34"/>
  <c r="L143" i="34"/>
  <c r="L144" i="34"/>
  <c r="L145" i="34"/>
  <c r="L146" i="34"/>
  <c r="N146" i="34" s="1"/>
  <c r="L147" i="34"/>
  <c r="L148" i="34"/>
  <c r="L149" i="34"/>
  <c r="N149" i="34" s="1"/>
  <c r="L150" i="34"/>
  <c r="L151" i="34"/>
  <c r="L152" i="34"/>
  <c r="L153" i="34"/>
  <c r="N153" i="34" s="1"/>
  <c r="L154" i="34"/>
  <c r="L155" i="34"/>
  <c r="N155" i="34" s="1"/>
  <c r="L156" i="34"/>
  <c r="N156" i="34" s="1"/>
  <c r="L157" i="34"/>
  <c r="N157" i="34" s="1"/>
  <c r="L158" i="34"/>
  <c r="L159" i="34"/>
  <c r="N159" i="34" s="1"/>
  <c r="L160" i="34"/>
  <c r="N160" i="34" s="1"/>
  <c r="L161" i="34"/>
  <c r="L162" i="34"/>
  <c r="N162" i="34" s="1"/>
  <c r="L163" i="34"/>
  <c r="N163" i="34" s="1"/>
  <c r="L164" i="34"/>
  <c r="N164" i="34" s="1"/>
  <c r="L165" i="34"/>
  <c r="L166" i="34"/>
  <c r="N166" i="34" s="1"/>
  <c r="L167" i="34"/>
  <c r="N167" i="34" s="1"/>
  <c r="L168" i="34"/>
  <c r="N168" i="34" s="1"/>
  <c r="L169" i="34"/>
  <c r="L170" i="34"/>
  <c r="N170" i="34" s="1"/>
  <c r="L171" i="34"/>
  <c r="L172" i="34"/>
  <c r="N172" i="34" s="1"/>
  <c r="L173" i="34"/>
  <c r="L174" i="34"/>
  <c r="N174" i="34" s="1"/>
  <c r="L175" i="34"/>
  <c r="L176" i="34"/>
  <c r="L177" i="34"/>
  <c r="N177" i="34" s="1"/>
  <c r="L178" i="34"/>
  <c r="L179" i="34"/>
  <c r="L180" i="34"/>
  <c r="L181" i="34"/>
  <c r="L182" i="34"/>
  <c r="N182" i="34" s="1"/>
  <c r="L183" i="34"/>
  <c r="L184" i="34"/>
  <c r="L185" i="34"/>
  <c r="L186" i="34"/>
  <c r="N186" i="34" s="1"/>
  <c r="L187" i="34"/>
  <c r="N187" i="34" s="1"/>
  <c r="L188" i="34"/>
  <c r="N188" i="34" s="1"/>
  <c r="L189" i="34"/>
  <c r="L190" i="34"/>
  <c r="N190" i="34" s="1"/>
  <c r="L191" i="34"/>
  <c r="L192" i="34"/>
  <c r="N192" i="34" s="1"/>
  <c r="L193" i="34"/>
  <c r="L194" i="34"/>
  <c r="N194" i="34" s="1"/>
  <c r="L195" i="34"/>
  <c r="L196" i="34"/>
  <c r="L198" i="34"/>
  <c r="L199" i="34"/>
  <c r="L200" i="34"/>
  <c r="L201" i="34"/>
  <c r="N201" i="34" s="1"/>
  <c r="L202" i="34"/>
  <c r="L203" i="34"/>
  <c r="N203" i="34" s="1"/>
  <c r="L204" i="34"/>
  <c r="L205" i="34"/>
  <c r="L206" i="34"/>
  <c r="L207" i="34"/>
  <c r="N207" i="34" s="1"/>
  <c r="L208" i="34"/>
  <c r="N208" i="34" s="1"/>
  <c r="L209" i="34"/>
  <c r="L210" i="34"/>
  <c r="L211" i="34"/>
  <c r="N211" i="34" s="1"/>
  <c r="L212" i="34"/>
  <c r="N212" i="34" s="1"/>
  <c r="L213" i="34"/>
  <c r="L214" i="34"/>
  <c r="N214" i="34" s="1"/>
  <c r="L215" i="34"/>
  <c r="N215" i="34" s="1"/>
  <c r="L216" i="34"/>
  <c r="L217" i="34"/>
  <c r="L218" i="34"/>
  <c r="N218" i="34" s="1"/>
  <c r="L219" i="34"/>
  <c r="L220" i="34"/>
  <c r="L221" i="34"/>
  <c r="L222" i="34"/>
  <c r="L223" i="34"/>
  <c r="L224" i="34"/>
  <c r="N224" i="34" s="1"/>
  <c r="L225" i="34"/>
  <c r="N225" i="34" s="1"/>
  <c r="L226" i="34"/>
  <c r="L227" i="34"/>
  <c r="N227" i="34" s="1"/>
  <c r="L228" i="34"/>
  <c r="L229" i="34"/>
  <c r="L230" i="34"/>
  <c r="N230" i="34" s="1"/>
  <c r="L231" i="34"/>
  <c r="N231" i="34" s="1"/>
  <c r="L232" i="34"/>
  <c r="L233" i="34"/>
  <c r="N233" i="34" s="1"/>
  <c r="L234" i="34"/>
  <c r="L235" i="34"/>
  <c r="N235" i="34" s="1"/>
  <c r="L236" i="34"/>
  <c r="L237" i="34"/>
  <c r="L238" i="34"/>
  <c r="L239" i="34"/>
  <c r="N239" i="34" s="1"/>
  <c r="L240" i="34"/>
  <c r="N240" i="34" s="1"/>
  <c r="L241" i="34"/>
  <c r="L242" i="34"/>
  <c r="L243" i="34"/>
  <c r="L244" i="34"/>
  <c r="L245" i="34"/>
  <c r="L246" i="34"/>
  <c r="L247" i="34"/>
  <c r="L248" i="34"/>
  <c r="N248" i="34" s="1"/>
  <c r="L249" i="34"/>
  <c r="L250" i="34"/>
  <c r="N250" i="34" s="1"/>
  <c r="L252" i="34"/>
  <c r="N252" i="34" s="1"/>
  <c r="L253" i="34"/>
  <c r="N253" i="34" s="1"/>
  <c r="L254" i="34"/>
  <c r="L255" i="34"/>
  <c r="L256" i="34"/>
  <c r="L257" i="34"/>
  <c r="L258" i="34"/>
  <c r="L259" i="34"/>
  <c r="L260" i="34"/>
  <c r="N260" i="34" s="1"/>
  <c r="L261" i="34"/>
  <c r="L262" i="34"/>
  <c r="L263" i="34"/>
  <c r="L264" i="34"/>
  <c r="N264" i="34" s="1"/>
  <c r="L265" i="34"/>
  <c r="N265" i="34" s="1"/>
  <c r="L266" i="34"/>
  <c r="N266" i="34" s="1"/>
  <c r="L267" i="34"/>
  <c r="L268" i="34"/>
  <c r="L269" i="34"/>
  <c r="L270" i="34"/>
  <c r="L271" i="34"/>
  <c r="L272" i="34"/>
  <c r="N272" i="34" s="1"/>
  <c r="L273" i="34"/>
  <c r="L274" i="34"/>
  <c r="L275" i="34"/>
  <c r="L276" i="34"/>
  <c r="L277" i="34"/>
  <c r="L278" i="34"/>
  <c r="L279" i="34"/>
  <c r="N279" i="34" s="1"/>
  <c r="L280" i="34"/>
  <c r="L281" i="34"/>
  <c r="L282" i="34"/>
  <c r="L283" i="34"/>
  <c r="L284" i="34"/>
  <c r="L285" i="34"/>
  <c r="L286" i="34"/>
  <c r="L287" i="34"/>
  <c r="N287" i="34" s="1"/>
  <c r="L288" i="34"/>
  <c r="N288" i="34" s="1"/>
  <c r="L289" i="34"/>
  <c r="N289" i="34" s="1"/>
  <c r="L290" i="34"/>
  <c r="N290" i="34" s="1"/>
  <c r="L291" i="34"/>
  <c r="L292" i="34"/>
  <c r="L293" i="34"/>
  <c r="L294" i="34"/>
  <c r="N294" i="34" s="1"/>
  <c r="L295" i="34"/>
  <c r="N295" i="34" s="1"/>
  <c r="L296" i="34"/>
  <c r="L297" i="34"/>
  <c r="L298" i="34"/>
  <c r="N298" i="34" s="1"/>
  <c r="L299" i="34"/>
  <c r="N299" i="34" s="1"/>
  <c r="L300" i="34"/>
  <c r="L301" i="34"/>
  <c r="L302" i="34"/>
  <c r="L303" i="34"/>
  <c r="N303" i="34" s="1"/>
  <c r="L304" i="34"/>
  <c r="N304" i="34" s="1"/>
  <c r="L305" i="34"/>
  <c r="L306" i="34"/>
  <c r="N306" i="34" s="1"/>
  <c r="L307" i="34"/>
  <c r="L308" i="34"/>
  <c r="L309" i="34"/>
  <c r="N309" i="34" s="1"/>
  <c r="L310" i="34"/>
  <c r="L311" i="34"/>
  <c r="L312" i="34"/>
  <c r="L313" i="34"/>
  <c r="N313" i="34" s="1"/>
  <c r="L314" i="34"/>
  <c r="N314" i="34" s="1"/>
  <c r="L315" i="34"/>
  <c r="L316" i="34"/>
  <c r="L317" i="34"/>
  <c r="N317" i="34" s="1"/>
  <c r="L318" i="34"/>
  <c r="L319" i="34"/>
  <c r="L320" i="34"/>
  <c r="N320" i="34" s="1"/>
  <c r="L321" i="34"/>
  <c r="L322" i="34"/>
  <c r="N322" i="34" s="1"/>
  <c r="L323" i="34"/>
  <c r="L324" i="34"/>
  <c r="N324" i="34" s="1"/>
  <c r="L325" i="34"/>
  <c r="N325" i="34" s="1"/>
  <c r="L326" i="34"/>
  <c r="N326" i="34" s="1"/>
  <c r="L327" i="34"/>
  <c r="L328" i="34"/>
  <c r="L329" i="34"/>
  <c r="L330" i="34"/>
  <c r="L331" i="34"/>
  <c r="L332" i="34"/>
  <c r="N332" i="34" s="1"/>
  <c r="L333" i="34"/>
  <c r="L334" i="34"/>
  <c r="N334" i="34" s="1"/>
  <c r="L335" i="34"/>
  <c r="L336" i="34"/>
  <c r="N336" i="34" s="1"/>
  <c r="L337" i="34"/>
  <c r="N337" i="34" s="1"/>
  <c r="L338" i="34"/>
  <c r="L339" i="34"/>
  <c r="N339" i="34" s="1"/>
  <c r="L340" i="34"/>
  <c r="L341" i="34"/>
  <c r="N341" i="34" s="1"/>
  <c r="L342" i="34"/>
  <c r="N342" i="34" s="1"/>
  <c r="L343" i="34"/>
  <c r="N343" i="34" s="1"/>
  <c r="L344" i="34"/>
  <c r="N344" i="34" s="1"/>
  <c r="L345" i="34"/>
  <c r="N345" i="34" s="1"/>
  <c r="L346" i="34"/>
  <c r="N346" i="34" s="1"/>
  <c r="L347" i="34"/>
  <c r="N347" i="34" s="1"/>
  <c r="L348" i="34"/>
  <c r="L349" i="34"/>
  <c r="L350" i="34"/>
  <c r="L351" i="34"/>
  <c r="N351" i="34" s="1"/>
  <c r="L352" i="34"/>
  <c r="N352" i="34" s="1"/>
  <c r="L353" i="34"/>
  <c r="L354" i="34"/>
  <c r="L355" i="34"/>
  <c r="N355" i="34" s="1"/>
  <c r="L356" i="34"/>
  <c r="N356" i="34" s="1"/>
  <c r="L357" i="34"/>
  <c r="L358" i="34"/>
  <c r="L359" i="34"/>
  <c r="L360" i="34"/>
  <c r="L361" i="34"/>
  <c r="L362" i="34"/>
  <c r="N362" i="34" s="1"/>
  <c r="L363" i="34"/>
  <c r="L365" i="34"/>
  <c r="N365" i="34" s="1"/>
  <c r="L366" i="34"/>
  <c r="L367" i="34"/>
  <c r="L368" i="34"/>
  <c r="N368" i="34" s="1"/>
  <c r="L369" i="34"/>
  <c r="L370" i="34"/>
  <c r="N370" i="34" s="1"/>
  <c r="L371" i="34"/>
  <c r="N371" i="34" s="1"/>
  <c r="L372" i="34"/>
  <c r="L373" i="34"/>
  <c r="L374" i="34"/>
  <c r="L375" i="34"/>
  <c r="L376" i="34"/>
  <c r="L377" i="34"/>
  <c r="L378" i="34"/>
  <c r="N378" i="34" s="1"/>
  <c r="L379" i="34"/>
  <c r="L380" i="34"/>
  <c r="N380" i="34" s="1"/>
  <c r="L381" i="34"/>
  <c r="L382" i="34"/>
  <c r="L383" i="34"/>
  <c r="N383" i="34" s="1"/>
  <c r="L384" i="34"/>
  <c r="L385" i="34"/>
  <c r="L386" i="34"/>
  <c r="L387" i="34"/>
  <c r="L388" i="34"/>
  <c r="L389" i="34"/>
  <c r="L390" i="34"/>
  <c r="L391" i="34"/>
  <c r="L392" i="34"/>
  <c r="L393" i="34"/>
  <c r="N393" i="34" s="1"/>
  <c r="L394" i="34"/>
  <c r="N394" i="34" s="1"/>
  <c r="L395" i="34"/>
  <c r="L396" i="34"/>
  <c r="N396" i="34" s="1"/>
  <c r="L397" i="34"/>
  <c r="L398" i="34"/>
  <c r="L399" i="34"/>
  <c r="L400" i="34"/>
  <c r="L401" i="34"/>
  <c r="N401" i="34" s="1"/>
  <c r="L402" i="34"/>
  <c r="L403" i="34"/>
  <c r="L404" i="34"/>
  <c r="L405" i="34"/>
  <c r="N405" i="34" s="1"/>
  <c r="L406" i="34"/>
  <c r="L407" i="34"/>
  <c r="N407" i="34" s="1"/>
  <c r="L408" i="34"/>
  <c r="L409" i="34"/>
  <c r="N409" i="34" s="1"/>
  <c r="L410" i="34"/>
  <c r="L411" i="34"/>
  <c r="L412" i="34"/>
  <c r="L413" i="34"/>
  <c r="N413" i="34" s="1"/>
  <c r="L414" i="34"/>
  <c r="L415" i="34"/>
  <c r="N415" i="34" s="1"/>
  <c r="L416" i="34"/>
  <c r="N416" i="34" s="1"/>
  <c r="L417" i="34"/>
  <c r="L418" i="34"/>
  <c r="N418" i="34" s="1"/>
  <c r="L419" i="34"/>
  <c r="L420" i="34"/>
  <c r="L421" i="34"/>
  <c r="L422" i="34"/>
  <c r="L423" i="34"/>
  <c r="N423" i="34" s="1"/>
  <c r="L424" i="34"/>
  <c r="L425" i="34"/>
  <c r="L426" i="34"/>
  <c r="L427" i="34"/>
  <c r="N427" i="34" s="1"/>
  <c r="L428" i="34"/>
  <c r="L429" i="34"/>
  <c r="N429" i="34" s="1"/>
  <c r="L430" i="34"/>
  <c r="N430" i="34" s="1"/>
  <c r="L431" i="34"/>
  <c r="N431" i="34" s="1"/>
  <c r="L432" i="34"/>
  <c r="L433" i="34"/>
  <c r="L434" i="34"/>
  <c r="N434" i="34" s="1"/>
  <c r="L435" i="34"/>
  <c r="N435" i="34" s="1"/>
  <c r="L436" i="34"/>
  <c r="N436" i="34" s="1"/>
  <c r="L437" i="34"/>
  <c r="L438" i="34"/>
  <c r="N438" i="34" s="1"/>
  <c r="L439" i="34"/>
  <c r="N439" i="34" s="1"/>
  <c r="L440" i="34"/>
  <c r="N440" i="34" s="1"/>
  <c r="L441" i="34"/>
  <c r="L442" i="34"/>
  <c r="L443" i="34"/>
  <c r="N443" i="34" s="1"/>
  <c r="L444" i="34"/>
  <c r="N444" i="34" s="1"/>
  <c r="L445" i="34"/>
  <c r="N445" i="34" s="1"/>
  <c r="L446" i="34"/>
  <c r="L447" i="34"/>
  <c r="N447" i="34" s="1"/>
  <c r="L448" i="34"/>
  <c r="N448" i="34" s="1"/>
  <c r="L449" i="34"/>
  <c r="N449" i="34" s="1"/>
  <c r="L450" i="34"/>
  <c r="L451" i="34"/>
  <c r="N451" i="34" s="1"/>
  <c r="L452" i="34"/>
  <c r="N452" i="34" s="1"/>
  <c r="L453" i="34"/>
  <c r="L454" i="34"/>
  <c r="L455" i="34"/>
  <c r="L456" i="34"/>
  <c r="L457" i="34"/>
  <c r="L458" i="34"/>
  <c r="N458" i="34" s="1"/>
  <c r="L459" i="34"/>
  <c r="L460" i="34"/>
  <c r="N460" i="34" s="1"/>
  <c r="L461" i="34"/>
  <c r="N461" i="34" s="1"/>
  <c r="L462" i="34"/>
  <c r="N462" i="34" s="1"/>
  <c r="L463" i="34"/>
  <c r="N463" i="34" s="1"/>
  <c r="L464" i="34"/>
  <c r="L465" i="34"/>
  <c r="N465" i="34" s="1"/>
  <c r="L466" i="34"/>
  <c r="N466" i="34" s="1"/>
  <c r="L467" i="34"/>
  <c r="L468" i="34"/>
  <c r="L469" i="34"/>
  <c r="L470" i="34"/>
  <c r="L471" i="34"/>
  <c r="L472" i="34"/>
  <c r="N472" i="34" s="1"/>
  <c r="L473" i="34"/>
  <c r="N473" i="34" s="1"/>
  <c r="L474" i="34"/>
  <c r="N474" i="34" s="1"/>
  <c r="L475" i="34"/>
  <c r="N475" i="34" s="1"/>
  <c r="L476" i="34"/>
  <c r="L477" i="34"/>
  <c r="L478" i="34"/>
  <c r="N478" i="34" s="1"/>
  <c r="L479" i="34"/>
  <c r="L480" i="34"/>
  <c r="N480" i="34" s="1"/>
  <c r="L481" i="34"/>
  <c r="L482" i="34"/>
  <c r="L483" i="34"/>
  <c r="N483" i="34" s="1"/>
  <c r="L484" i="34"/>
  <c r="N484" i="34" s="1"/>
  <c r="L485" i="34"/>
  <c r="N485" i="34" s="1"/>
  <c r="L486" i="34"/>
  <c r="N486" i="34" s="1"/>
  <c r="L487" i="34"/>
  <c r="L488" i="34"/>
  <c r="N488" i="34" s="1"/>
  <c r="L489" i="34"/>
  <c r="N489" i="34" s="1"/>
  <c r="L490" i="34"/>
  <c r="N490" i="34" s="1"/>
  <c r="L491" i="34"/>
  <c r="L492" i="34"/>
  <c r="N492" i="34" s="1"/>
  <c r="L493" i="34"/>
  <c r="N493" i="34" s="1"/>
  <c r="L494" i="34"/>
  <c r="L495" i="34"/>
  <c r="L496" i="34"/>
  <c r="L497" i="34"/>
  <c r="L498" i="34"/>
  <c r="L499" i="34"/>
  <c r="L500" i="34"/>
  <c r="L501" i="34"/>
  <c r="L502" i="34"/>
  <c r="N502" i="34" s="1"/>
  <c r="L503" i="34"/>
  <c r="L504" i="34"/>
  <c r="L505" i="34"/>
  <c r="N505" i="34" s="1"/>
  <c r="L506" i="34"/>
  <c r="L507" i="34"/>
  <c r="L508" i="34"/>
  <c r="N508" i="34" s="1"/>
  <c r="L509" i="34"/>
  <c r="L510" i="34"/>
  <c r="L511" i="34"/>
  <c r="N511" i="34" s="1"/>
  <c r="L512" i="34"/>
  <c r="L513" i="34"/>
  <c r="L514" i="34"/>
  <c r="L515" i="34"/>
  <c r="L516" i="34"/>
  <c r="L517" i="34"/>
  <c r="N517" i="34" s="1"/>
  <c r="L518" i="34"/>
  <c r="L519" i="34"/>
  <c r="N519" i="34" s="1"/>
  <c r="L520" i="34"/>
  <c r="L521" i="34"/>
  <c r="N521" i="34" s="1"/>
  <c r="L522" i="34"/>
  <c r="L523" i="34"/>
  <c r="L524" i="34"/>
  <c r="N524" i="34" s="1"/>
  <c r="L525" i="34"/>
  <c r="N525" i="34" s="1"/>
  <c r="L526" i="34"/>
  <c r="L527" i="34"/>
  <c r="L528" i="34"/>
  <c r="N528" i="34" s="1"/>
  <c r="L529" i="34"/>
  <c r="L530" i="34"/>
  <c r="N530" i="34" s="1"/>
  <c r="L531" i="34"/>
  <c r="L532" i="34"/>
  <c r="L533" i="34"/>
  <c r="N533" i="34" s="1"/>
  <c r="L534" i="34"/>
  <c r="N534" i="34" s="1"/>
  <c r="L535" i="34"/>
  <c r="N535" i="34" s="1"/>
  <c r="L536" i="34"/>
  <c r="L537" i="34"/>
  <c r="N537" i="34" s="1"/>
  <c r="L538" i="34"/>
  <c r="L539" i="34"/>
  <c r="N539" i="34" s="1"/>
  <c r="L540" i="34"/>
  <c r="L541" i="34"/>
  <c r="L542" i="34"/>
  <c r="N542" i="34" s="1"/>
  <c r="L543" i="34"/>
  <c r="L544" i="34"/>
  <c r="N544" i="34" s="1"/>
  <c r="L545" i="34"/>
  <c r="N545" i="34" s="1"/>
  <c r="L546" i="34"/>
  <c r="N546" i="34" s="1"/>
  <c r="L547" i="34"/>
  <c r="L548" i="34"/>
  <c r="L549" i="34"/>
  <c r="N549" i="34" s="1"/>
  <c r="L550" i="34"/>
  <c r="L551" i="34"/>
  <c r="N551" i="34" s="1"/>
  <c r="L552" i="34"/>
  <c r="N552" i="34" s="1"/>
  <c r="L553" i="34"/>
  <c r="L554" i="34"/>
  <c r="L555" i="34"/>
  <c r="N555" i="34" s="1"/>
  <c r="L556" i="34"/>
  <c r="N556" i="34" s="1"/>
  <c r="L557" i="34"/>
  <c r="L558" i="34"/>
  <c r="N558" i="34" s="1"/>
  <c r="L559" i="34"/>
  <c r="L560" i="34"/>
  <c r="N560" i="34" s="1"/>
  <c r="L561" i="34"/>
  <c r="N561" i="34" s="1"/>
  <c r="L562" i="34"/>
  <c r="N562" i="34" s="1"/>
  <c r="L563" i="34"/>
  <c r="L564" i="34"/>
  <c r="N564" i="34" s="1"/>
  <c r="L565" i="34"/>
  <c r="N565" i="34" s="1"/>
  <c r="L566" i="34"/>
  <c r="L567" i="34"/>
  <c r="L568" i="34"/>
  <c r="N568" i="34" s="1"/>
  <c r="L569" i="34"/>
  <c r="L570" i="34"/>
  <c r="N570" i="34" s="1"/>
  <c r="L571" i="34"/>
  <c r="L572" i="34"/>
  <c r="L573" i="34"/>
  <c r="L574" i="34"/>
  <c r="N574" i="34" s="1"/>
  <c r="L575" i="34"/>
  <c r="L576" i="34"/>
  <c r="L577" i="34"/>
  <c r="L578" i="34"/>
  <c r="N578" i="34" s="1"/>
  <c r="L579" i="34"/>
  <c r="N579" i="34" s="1"/>
  <c r="L580" i="34"/>
  <c r="L581" i="34"/>
  <c r="L582" i="34"/>
  <c r="L583" i="34"/>
  <c r="N583" i="34" s="1"/>
  <c r="L584" i="34"/>
  <c r="L585" i="34"/>
  <c r="L586" i="34"/>
  <c r="N586" i="34" s="1"/>
  <c r="L587" i="34"/>
  <c r="N587" i="34" s="1"/>
  <c r="L588" i="34"/>
  <c r="N588" i="34" s="1"/>
  <c r="L590" i="34"/>
  <c r="N590" i="34" s="1"/>
  <c r="L591" i="34"/>
  <c r="N591" i="34" s="1"/>
  <c r="L592" i="34"/>
  <c r="N592" i="34" s="1"/>
  <c r="L594" i="34"/>
  <c r="N594" i="34" s="1"/>
  <c r="L595" i="34"/>
  <c r="L596" i="34"/>
  <c r="N596" i="34" s="1"/>
  <c r="L597" i="34"/>
  <c r="N597" i="34" s="1"/>
  <c r="L598" i="34"/>
  <c r="N598" i="34" s="1"/>
  <c r="L600" i="34"/>
  <c r="L601" i="34"/>
  <c r="L602" i="34"/>
  <c r="N602" i="34" s="1"/>
  <c r="L604" i="34"/>
  <c r="L605" i="34"/>
  <c r="L606" i="34"/>
  <c r="N606" i="34" s="1"/>
  <c r="L607" i="34"/>
  <c r="L608" i="34"/>
  <c r="L609" i="34"/>
  <c r="N609" i="34" s="1"/>
  <c r="L610" i="34"/>
  <c r="N610" i="34" s="1"/>
  <c r="L611" i="34"/>
  <c r="N611" i="34" s="1"/>
  <c r="L613" i="34"/>
  <c r="N613" i="34" s="1"/>
  <c r="L614" i="34"/>
  <c r="N614" i="34" s="1"/>
  <c r="L615" i="34"/>
  <c r="L616" i="34"/>
  <c r="N616" i="34" s="1"/>
  <c r="L617" i="34"/>
  <c r="N617" i="34" s="1"/>
  <c r="L619" i="34"/>
  <c r="N619" i="34" s="1"/>
  <c r="L621" i="34"/>
  <c r="N621" i="34" s="1"/>
  <c r="L623" i="34"/>
  <c r="N623" i="34" s="1"/>
  <c r="L624" i="34"/>
  <c r="L625" i="34"/>
  <c r="L626" i="34"/>
  <c r="N626" i="34" s="1"/>
  <c r="L627" i="34"/>
  <c r="N627" i="34" s="1"/>
  <c r="L628" i="34"/>
  <c r="N628" i="34" s="1"/>
  <c r="L629" i="34"/>
  <c r="L630" i="34"/>
  <c r="L631" i="34"/>
  <c r="L632" i="34"/>
  <c r="L633" i="34"/>
  <c r="L634" i="34"/>
  <c r="N634" i="34" s="1"/>
  <c r="L635" i="34"/>
  <c r="L636" i="34"/>
  <c r="L637" i="34"/>
  <c r="L638" i="34"/>
  <c r="L639" i="34"/>
  <c r="L640" i="34"/>
  <c r="L641" i="34"/>
  <c r="L642" i="34"/>
  <c r="L643" i="34"/>
  <c r="L644" i="34"/>
  <c r="L645" i="34"/>
  <c r="L646" i="34"/>
  <c r="L647" i="34"/>
  <c r="L648" i="34"/>
  <c r="L649" i="34"/>
  <c r="L650" i="34"/>
  <c r="L651" i="34"/>
  <c r="L652" i="34"/>
  <c r="L653" i="34"/>
  <c r="L654" i="34"/>
  <c r="L655" i="34"/>
  <c r="L656" i="34"/>
  <c r="L657" i="34"/>
  <c r="L658" i="34"/>
  <c r="L659" i="34"/>
  <c r="L660" i="34"/>
  <c r="L661" i="34"/>
  <c r="L662" i="34"/>
  <c r="L663" i="34"/>
  <c r="L664" i="34"/>
  <c r="N664" i="34" s="1"/>
  <c r="L665" i="34"/>
  <c r="L666" i="34"/>
  <c r="L667" i="34"/>
  <c r="L668" i="34"/>
  <c r="L669" i="34"/>
  <c r="L670" i="34"/>
  <c r="L671" i="34"/>
  <c r="N671" i="34" s="1"/>
  <c r="L672" i="34"/>
  <c r="L673" i="34"/>
  <c r="L674" i="34"/>
  <c r="L675" i="34"/>
  <c r="L676" i="34"/>
  <c r="N676" i="34" s="1"/>
  <c r="L677" i="34"/>
  <c r="L678" i="34"/>
  <c r="L679" i="34"/>
  <c r="L680" i="34"/>
  <c r="L681" i="34"/>
  <c r="N681" i="34" s="1"/>
  <c r="L682" i="34"/>
  <c r="L683" i="34"/>
  <c r="L684" i="34"/>
  <c r="L685" i="34"/>
  <c r="L686" i="34"/>
  <c r="L687" i="34"/>
  <c r="L688" i="34"/>
  <c r="L689" i="34"/>
  <c r="L690" i="34"/>
  <c r="L691" i="34"/>
  <c r="L692" i="34"/>
  <c r="L693" i="34"/>
  <c r="L694" i="34"/>
  <c r="L695" i="34"/>
  <c r="L696" i="34"/>
  <c r="L697" i="34"/>
  <c r="L698" i="34"/>
  <c r="L699" i="34"/>
  <c r="L700" i="34"/>
  <c r="L701" i="34"/>
  <c r="L702" i="34"/>
  <c r="N702" i="34" s="1"/>
  <c r="L703" i="34"/>
  <c r="L704" i="34"/>
  <c r="L705" i="34"/>
  <c r="L707" i="34"/>
  <c r="L708" i="34"/>
  <c r="L709" i="34"/>
  <c r="L710" i="34"/>
  <c r="L711" i="34"/>
  <c r="L712" i="34"/>
  <c r="L713" i="34"/>
  <c r="L714" i="34"/>
  <c r="L715" i="34"/>
  <c r="N715" i="34" s="1"/>
  <c r="L716" i="34"/>
  <c r="L717" i="34"/>
  <c r="L718" i="34"/>
  <c r="L719" i="34"/>
  <c r="L720" i="34"/>
  <c r="L721" i="34"/>
  <c r="L722" i="34"/>
  <c r="L723" i="34"/>
  <c r="L724" i="34"/>
  <c r="L725" i="34"/>
  <c r="L726" i="34"/>
  <c r="L727" i="34"/>
  <c r="N727" i="34" s="1"/>
  <c r="L728" i="34"/>
  <c r="L729" i="34"/>
  <c r="L730" i="34"/>
  <c r="L731" i="34"/>
  <c r="N731" i="34" s="1"/>
  <c r="L732" i="34"/>
  <c r="L733" i="34"/>
  <c r="L734" i="34"/>
  <c r="L735" i="34"/>
  <c r="L736" i="34"/>
  <c r="L737" i="34"/>
  <c r="L738" i="34"/>
  <c r="L739" i="34"/>
  <c r="L740" i="34"/>
  <c r="N740" i="34" s="1"/>
  <c r="L741" i="34"/>
  <c r="L742" i="34"/>
  <c r="L743" i="34"/>
  <c r="L744" i="34"/>
  <c r="L745" i="34"/>
  <c r="L746" i="34"/>
  <c r="L747" i="34"/>
  <c r="L748" i="34"/>
  <c r="L749" i="34"/>
  <c r="L750" i="34"/>
  <c r="L751" i="34"/>
  <c r="L752" i="34"/>
  <c r="L753" i="34"/>
  <c r="N753" i="34" s="1"/>
  <c r="L754" i="34"/>
  <c r="L755" i="34"/>
  <c r="L756" i="34"/>
  <c r="L757" i="34"/>
  <c r="L758" i="34"/>
  <c r="N758" i="34" s="1"/>
  <c r="L759" i="34"/>
  <c r="L760" i="34"/>
  <c r="L761" i="34"/>
  <c r="L762" i="34"/>
  <c r="L763" i="34"/>
  <c r="N763" i="34" s="1"/>
  <c r="L764" i="34"/>
  <c r="N764" i="34" s="1"/>
  <c r="L765" i="34"/>
  <c r="L766" i="34"/>
  <c r="L767" i="34"/>
  <c r="L768" i="34"/>
  <c r="L769" i="34"/>
  <c r="L770" i="34"/>
  <c r="L771" i="34"/>
  <c r="L772" i="34"/>
  <c r="L773" i="34"/>
  <c r="L774" i="34"/>
  <c r="L775" i="34"/>
  <c r="L776" i="34"/>
  <c r="L777" i="34"/>
  <c r="L778" i="34"/>
  <c r="L779" i="34"/>
  <c r="N779" i="34" s="1"/>
  <c r="L780" i="34"/>
  <c r="N780" i="34" s="1"/>
  <c r="L781" i="34"/>
  <c r="L782" i="34"/>
  <c r="L783" i="34"/>
  <c r="L784" i="34"/>
  <c r="L785" i="34"/>
  <c r="N785" i="34" s="1"/>
  <c r="L786" i="34"/>
  <c r="L787" i="34"/>
  <c r="N787" i="34" s="1"/>
  <c r="L788" i="34"/>
  <c r="L789" i="34"/>
  <c r="L790" i="34"/>
  <c r="L791" i="34"/>
  <c r="L792" i="34"/>
  <c r="L793" i="34"/>
  <c r="L794" i="34"/>
  <c r="N794" i="34" s="1"/>
  <c r="L795" i="34"/>
  <c r="L796" i="34"/>
  <c r="L797" i="34"/>
  <c r="L798" i="34"/>
  <c r="L799" i="34"/>
  <c r="L800" i="34"/>
  <c r="L801" i="34"/>
  <c r="L802" i="34"/>
  <c r="L803" i="34"/>
  <c r="L804" i="34"/>
  <c r="L805" i="34"/>
  <c r="N805" i="34" s="1"/>
  <c r="L806" i="34"/>
  <c r="L807" i="34"/>
  <c r="L808" i="34"/>
  <c r="L809" i="34"/>
  <c r="L810" i="34"/>
  <c r="L811" i="34"/>
  <c r="L812" i="34"/>
  <c r="L813" i="34"/>
  <c r="L814" i="34"/>
  <c r="L815" i="34"/>
  <c r="L816" i="34"/>
  <c r="L817" i="34"/>
  <c r="L818" i="34"/>
  <c r="L819" i="34"/>
  <c r="L820" i="34"/>
  <c r="L821" i="34"/>
  <c r="L822" i="34"/>
  <c r="N822" i="34" s="1"/>
  <c r="L823" i="34"/>
  <c r="L824" i="34"/>
  <c r="N824" i="34" s="1"/>
  <c r="L825" i="34"/>
  <c r="L826" i="34"/>
  <c r="L827" i="34"/>
  <c r="L828" i="34"/>
  <c r="N828" i="34" s="1"/>
  <c r="L829" i="34"/>
  <c r="L830" i="34"/>
  <c r="L831" i="34"/>
  <c r="L832" i="34"/>
  <c r="L833" i="34"/>
  <c r="L834" i="34"/>
  <c r="L835" i="34"/>
  <c r="L836" i="34"/>
  <c r="L837" i="34"/>
  <c r="L838" i="34"/>
  <c r="N838" i="34" s="1"/>
  <c r="L839" i="34"/>
  <c r="L840" i="34"/>
  <c r="L841" i="34"/>
  <c r="L842" i="34"/>
  <c r="L843" i="34"/>
  <c r="L844" i="34"/>
  <c r="L845" i="34"/>
  <c r="L846" i="34"/>
  <c r="L847" i="34"/>
  <c r="L848" i="34"/>
  <c r="L849" i="34"/>
  <c r="L850" i="34"/>
  <c r="L851" i="34"/>
  <c r="L852" i="34"/>
  <c r="L853" i="34"/>
  <c r="L854" i="34"/>
  <c r="L855" i="34"/>
  <c r="L856" i="34"/>
  <c r="L857" i="34"/>
  <c r="L858" i="34"/>
  <c r="L859" i="34"/>
  <c r="L860" i="34"/>
  <c r="N860" i="34" s="1"/>
  <c r="L861" i="34"/>
  <c r="N861" i="34" s="1"/>
  <c r="L862" i="34"/>
  <c r="L863" i="34"/>
  <c r="L864" i="34"/>
  <c r="L865" i="34"/>
  <c r="L866" i="34"/>
  <c r="L867" i="34"/>
  <c r="L868" i="34"/>
  <c r="L869" i="34"/>
  <c r="L870" i="34"/>
  <c r="L871" i="34"/>
  <c r="L872" i="34"/>
  <c r="L873" i="34"/>
  <c r="L874" i="34"/>
  <c r="L875" i="34"/>
  <c r="L876" i="34"/>
  <c r="L877" i="34"/>
  <c r="L878" i="34"/>
  <c r="L879" i="34"/>
  <c r="L880" i="34"/>
  <c r="N880" i="34" s="1"/>
  <c r="L881" i="34"/>
  <c r="L882" i="34"/>
  <c r="L883" i="34"/>
  <c r="N883" i="34" s="1"/>
  <c r="L884" i="34"/>
  <c r="L885" i="34"/>
  <c r="L886" i="34"/>
  <c r="L887" i="34"/>
  <c r="L888" i="34"/>
  <c r="N888" i="34" s="1"/>
  <c r="L889" i="34"/>
  <c r="L890" i="34"/>
  <c r="L891" i="34"/>
  <c r="L892" i="34"/>
  <c r="L893" i="34"/>
  <c r="L894" i="34"/>
  <c r="L895" i="34"/>
  <c r="L896" i="34"/>
  <c r="L897" i="34"/>
  <c r="N897" i="34" s="1"/>
  <c r="L898" i="34"/>
  <c r="N898" i="34" s="1"/>
  <c r="L899" i="34"/>
  <c r="L901" i="34"/>
  <c r="L902" i="34"/>
  <c r="L903" i="34"/>
  <c r="L904" i="34"/>
  <c r="L905" i="34"/>
  <c r="L906" i="34"/>
  <c r="L907" i="34"/>
  <c r="L908" i="34"/>
  <c r="L909" i="34"/>
  <c r="L910" i="34"/>
  <c r="L911" i="34"/>
  <c r="N911" i="34" s="1"/>
  <c r="L912" i="34"/>
  <c r="L913" i="34"/>
  <c r="L914" i="34"/>
  <c r="L915" i="34"/>
  <c r="N915" i="34" s="1"/>
  <c r="L916" i="34"/>
  <c r="L917" i="34"/>
  <c r="L918" i="34"/>
  <c r="L919" i="34"/>
  <c r="L920" i="34"/>
  <c r="L921" i="34"/>
  <c r="L922" i="34"/>
  <c r="L923" i="34"/>
  <c r="L924" i="34"/>
  <c r="L925" i="34"/>
  <c r="L926" i="34"/>
  <c r="L927" i="34"/>
  <c r="L928" i="34"/>
  <c r="L929" i="34"/>
  <c r="L930" i="34"/>
  <c r="L931" i="34"/>
  <c r="L932" i="34"/>
  <c r="N932" i="34" s="1"/>
  <c r="L933" i="34"/>
  <c r="L934" i="34"/>
  <c r="L935" i="34"/>
  <c r="L936" i="34"/>
  <c r="L937" i="34"/>
  <c r="L938" i="34"/>
  <c r="L939" i="34"/>
  <c r="L940" i="34"/>
  <c r="L941" i="34"/>
  <c r="L942" i="34"/>
  <c r="L943" i="34"/>
  <c r="L944" i="34"/>
  <c r="L945" i="34"/>
  <c r="L946" i="34"/>
  <c r="L947" i="34"/>
  <c r="L948" i="34"/>
  <c r="L949" i="34"/>
  <c r="L950" i="34"/>
  <c r="L951" i="34"/>
  <c r="L952" i="34"/>
  <c r="L953" i="34"/>
  <c r="L954" i="34"/>
  <c r="L955" i="34"/>
  <c r="L956" i="34"/>
  <c r="L957" i="34"/>
  <c r="L958" i="34"/>
  <c r="L959" i="34"/>
  <c r="L960" i="34"/>
  <c r="L961" i="34"/>
  <c r="L962" i="34"/>
  <c r="L963" i="34"/>
  <c r="L964" i="34"/>
  <c r="L965" i="34"/>
  <c r="L966" i="34"/>
  <c r="L967" i="34"/>
  <c r="L968" i="34"/>
  <c r="L969" i="34"/>
  <c r="L970" i="34"/>
  <c r="L971" i="34"/>
  <c r="L972" i="34"/>
  <c r="L973" i="34"/>
  <c r="N973" i="34" s="1"/>
  <c r="L974" i="34"/>
  <c r="L975" i="34"/>
  <c r="L976" i="34"/>
  <c r="L977" i="34"/>
  <c r="L978" i="34"/>
  <c r="L979" i="34"/>
  <c r="L980" i="34"/>
  <c r="L981" i="34"/>
  <c r="L982" i="34"/>
  <c r="L983" i="34"/>
  <c r="N983" i="34" s="1"/>
  <c r="L984" i="34"/>
  <c r="L985" i="34"/>
  <c r="L986" i="34"/>
  <c r="L987" i="34"/>
  <c r="L988" i="34"/>
  <c r="L989" i="34"/>
  <c r="L990" i="34"/>
  <c r="L991" i="34"/>
  <c r="L992" i="34"/>
  <c r="N992" i="34" s="1"/>
  <c r="L993" i="34"/>
  <c r="L994" i="34"/>
  <c r="L995" i="34"/>
  <c r="L996" i="34"/>
  <c r="L997" i="34"/>
  <c r="L998" i="34"/>
  <c r="L999" i="34"/>
  <c r="L1000" i="34"/>
  <c r="L1001" i="34"/>
  <c r="L1002" i="34"/>
  <c r="L1003" i="34"/>
  <c r="L1004" i="34"/>
  <c r="L1005" i="34"/>
  <c r="L1006" i="34"/>
  <c r="L1007" i="34"/>
  <c r="L1008" i="34"/>
  <c r="L1009" i="34"/>
  <c r="L1010" i="34"/>
  <c r="L1011" i="34"/>
  <c r="N1011" i="34" s="1"/>
  <c r="L1012" i="34"/>
  <c r="L1013" i="34"/>
  <c r="L1014" i="34"/>
  <c r="L1015" i="34"/>
  <c r="L1016" i="34"/>
  <c r="L1017" i="34"/>
  <c r="L1018" i="34"/>
  <c r="L1019" i="34"/>
  <c r="L1020" i="34"/>
  <c r="L1021" i="34"/>
  <c r="L1022" i="34"/>
  <c r="L1023" i="34"/>
  <c r="L1024" i="34"/>
  <c r="N1024" i="34" s="1"/>
  <c r="L1025" i="34"/>
  <c r="L1026" i="34"/>
  <c r="L1027" i="34"/>
  <c r="L1028" i="34"/>
  <c r="L1029" i="34"/>
  <c r="N1029" i="34" s="1"/>
  <c r="L1030" i="34"/>
  <c r="L1032" i="34"/>
  <c r="L1033" i="34"/>
  <c r="L1034" i="34"/>
  <c r="L1035" i="34"/>
  <c r="L1036" i="34"/>
  <c r="L1037" i="34"/>
  <c r="L1038" i="34"/>
  <c r="L1039" i="34"/>
  <c r="L1040" i="34"/>
  <c r="N1040" i="34" s="1"/>
  <c r="L1041" i="34"/>
  <c r="L1042" i="34"/>
  <c r="L1043" i="34"/>
  <c r="L1044" i="34"/>
  <c r="L1045" i="34"/>
  <c r="L1046" i="34"/>
  <c r="L1047" i="34"/>
  <c r="L1048" i="34"/>
  <c r="L1049" i="34"/>
  <c r="L1050" i="34"/>
  <c r="L1051" i="34"/>
  <c r="N1051" i="34" s="1"/>
  <c r="L1052" i="34"/>
  <c r="L1053" i="34"/>
  <c r="L1054" i="34"/>
  <c r="L1055" i="34"/>
  <c r="N1055" i="34" s="1"/>
  <c r="L1056" i="34"/>
  <c r="L1057" i="34"/>
  <c r="L1058" i="34"/>
  <c r="L1059" i="34"/>
  <c r="L1060" i="34"/>
  <c r="L1061" i="34"/>
  <c r="L1062" i="34"/>
  <c r="L1063" i="34"/>
  <c r="N1063" i="34" s="1"/>
  <c r="L1064" i="34"/>
  <c r="L1065" i="34"/>
  <c r="L1066" i="34"/>
  <c r="L1067" i="34"/>
  <c r="L1068" i="34"/>
  <c r="L1069" i="34"/>
  <c r="N1069" i="34" s="1"/>
  <c r="L1070" i="34"/>
  <c r="L1071" i="34"/>
  <c r="N1071" i="34" s="1"/>
  <c r="L1072" i="34"/>
  <c r="L1073" i="34"/>
  <c r="L1074" i="34"/>
  <c r="L1075" i="34"/>
  <c r="N1075" i="34" s="1"/>
  <c r="L1076" i="34"/>
  <c r="L1077" i="34"/>
  <c r="L1078" i="34"/>
  <c r="L1079" i="34"/>
  <c r="L1080" i="34"/>
  <c r="L1081" i="34"/>
  <c r="L1082" i="34"/>
  <c r="N1082" i="34" s="1"/>
  <c r="L1083" i="34"/>
  <c r="L1084" i="34"/>
  <c r="L1085" i="34"/>
  <c r="L1086" i="34"/>
  <c r="L1087" i="34"/>
  <c r="L1088" i="34"/>
  <c r="L1089" i="34"/>
  <c r="L1090" i="34"/>
  <c r="L1091" i="34"/>
  <c r="L1092" i="34"/>
  <c r="L1093" i="34"/>
  <c r="L1094" i="34"/>
  <c r="L1095" i="34"/>
  <c r="L1096" i="34"/>
  <c r="L1097" i="34"/>
  <c r="L1098" i="34"/>
  <c r="L1099" i="34"/>
  <c r="L1100" i="34"/>
  <c r="L1101" i="34"/>
  <c r="L1102" i="34"/>
  <c r="L1103" i="34"/>
  <c r="L1104" i="34"/>
  <c r="N1104" i="34" s="1"/>
  <c r="L1105" i="34"/>
  <c r="L1106" i="34"/>
  <c r="L1107" i="34"/>
  <c r="L1108" i="34"/>
  <c r="L1109" i="34"/>
  <c r="L1110" i="34"/>
  <c r="L1111" i="34"/>
  <c r="L1112" i="34"/>
  <c r="L1113" i="34"/>
  <c r="L1114" i="34"/>
  <c r="L1115" i="34"/>
  <c r="N1115" i="34" s="1"/>
  <c r="L1116" i="34"/>
  <c r="L1117" i="34"/>
  <c r="L1118" i="34"/>
  <c r="L1119" i="34"/>
  <c r="L1120" i="34"/>
  <c r="L1121" i="34"/>
  <c r="L1122" i="34"/>
  <c r="L1123" i="34"/>
  <c r="L1124" i="34"/>
  <c r="L1125" i="34"/>
  <c r="L1126" i="34"/>
  <c r="L1127" i="34"/>
  <c r="L1128" i="34"/>
  <c r="L1129" i="34"/>
  <c r="L1130" i="34"/>
  <c r="L1131" i="34"/>
  <c r="N1131" i="34" s="1"/>
  <c r="L1132" i="34"/>
  <c r="N1132" i="34" s="1"/>
  <c r="L1133" i="34"/>
  <c r="L1134" i="34"/>
  <c r="L1135" i="34"/>
  <c r="L1136" i="34"/>
  <c r="L1137" i="34"/>
  <c r="N1137" i="34" s="1"/>
  <c r="L1138" i="34"/>
  <c r="L1139" i="34"/>
  <c r="L1140" i="34"/>
  <c r="L1141" i="34"/>
  <c r="L1142" i="34"/>
  <c r="L1143" i="34"/>
  <c r="L1144" i="34"/>
  <c r="N1144" i="34" s="1"/>
  <c r="L1145" i="34"/>
  <c r="L1146" i="34"/>
  <c r="L1147" i="34"/>
  <c r="N1147" i="34" s="1"/>
  <c r="L1148" i="34"/>
  <c r="L1149" i="34"/>
  <c r="L1150" i="34"/>
  <c r="L1151" i="34"/>
  <c r="L1152" i="34"/>
  <c r="L1153" i="34"/>
  <c r="L1154" i="34"/>
  <c r="L1155" i="34"/>
  <c r="L1156" i="34"/>
  <c r="L1157" i="34"/>
  <c r="L1158" i="34"/>
  <c r="L1159" i="34"/>
  <c r="L1160" i="34"/>
  <c r="L1161" i="34"/>
  <c r="L1162" i="34"/>
  <c r="L1163" i="34"/>
  <c r="N1163" i="34" s="1"/>
  <c r="L1164" i="34"/>
  <c r="L1165" i="34"/>
  <c r="L1166" i="34"/>
  <c r="L1167" i="34"/>
  <c r="L1168" i="34"/>
  <c r="L1169" i="34"/>
  <c r="L1170" i="34"/>
  <c r="L1171" i="34"/>
  <c r="L1172" i="34"/>
  <c r="L1173" i="34"/>
  <c r="N1173" i="34" s="1"/>
  <c r="L1174" i="34"/>
  <c r="L1175" i="34"/>
  <c r="L1176" i="34"/>
  <c r="L1177" i="34"/>
  <c r="N1177" i="34" s="1"/>
  <c r="L1178" i="34"/>
  <c r="L1179" i="34"/>
  <c r="N1179" i="34" s="1"/>
  <c r="L1180" i="34"/>
  <c r="N1180" i="34" s="1"/>
  <c r="L1181" i="34"/>
  <c r="L1182" i="34"/>
  <c r="L1183" i="34"/>
  <c r="L1184" i="34"/>
  <c r="L1185" i="34"/>
  <c r="L1186" i="34"/>
  <c r="L1187" i="34"/>
  <c r="L1188" i="34"/>
  <c r="N1188" i="34" s="1"/>
  <c r="L1189" i="34"/>
  <c r="L1190" i="34"/>
  <c r="L1191" i="34"/>
  <c r="L1192" i="34"/>
  <c r="L1193" i="34"/>
  <c r="L1194" i="34"/>
  <c r="N1194" i="34" s="1"/>
  <c r="L1195" i="34"/>
  <c r="L1196" i="34"/>
  <c r="L1197" i="34"/>
  <c r="L1199" i="34"/>
  <c r="N1199" i="34" s="1"/>
  <c r="L1200" i="34"/>
  <c r="L1201" i="34"/>
  <c r="L1202" i="34"/>
  <c r="L1203" i="34"/>
  <c r="L1204" i="34"/>
  <c r="L2" i="34"/>
  <c r="N2" i="34" s="1"/>
  <c r="K3" i="34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165" i="34"/>
  <c r="K166" i="34"/>
  <c r="K167" i="34"/>
  <c r="K168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8" i="34"/>
  <c r="K189" i="34"/>
  <c r="K190" i="34"/>
  <c r="K191" i="34"/>
  <c r="K192" i="34"/>
  <c r="K193" i="34"/>
  <c r="K194" i="34"/>
  <c r="K195" i="34"/>
  <c r="K196" i="34"/>
  <c r="K197" i="34"/>
  <c r="N197" i="34" s="1"/>
  <c r="K198" i="34"/>
  <c r="K199" i="34"/>
  <c r="K200" i="34"/>
  <c r="K201" i="34"/>
  <c r="K202" i="34"/>
  <c r="K203" i="34"/>
  <c r="K204" i="34"/>
  <c r="K205" i="34"/>
  <c r="K206" i="34"/>
  <c r="K207" i="34"/>
  <c r="K208" i="34"/>
  <c r="K209" i="34"/>
  <c r="K210" i="34"/>
  <c r="K211" i="34"/>
  <c r="K212" i="34"/>
  <c r="K213" i="34"/>
  <c r="K214" i="34"/>
  <c r="K215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K228" i="34"/>
  <c r="K229" i="34"/>
  <c r="K230" i="34"/>
  <c r="K231" i="34"/>
  <c r="K232" i="34"/>
  <c r="K233" i="34"/>
  <c r="K234" i="34"/>
  <c r="K235" i="34"/>
  <c r="K236" i="34"/>
  <c r="K237" i="34"/>
  <c r="K238" i="34"/>
  <c r="K239" i="34"/>
  <c r="K240" i="34"/>
  <c r="K241" i="34"/>
  <c r="K242" i="34"/>
  <c r="K243" i="34"/>
  <c r="K244" i="34"/>
  <c r="K245" i="34"/>
  <c r="K246" i="34"/>
  <c r="K247" i="34"/>
  <c r="K248" i="34"/>
  <c r="K249" i="34"/>
  <c r="K250" i="34"/>
  <c r="K251" i="34"/>
  <c r="N251" i="34" s="1"/>
  <c r="K252" i="34"/>
  <c r="K253" i="34"/>
  <c r="K254" i="34"/>
  <c r="K255" i="34"/>
  <c r="K256" i="34"/>
  <c r="K257" i="34"/>
  <c r="K258" i="34"/>
  <c r="K259" i="34"/>
  <c r="K260" i="34"/>
  <c r="K261" i="34"/>
  <c r="K262" i="34"/>
  <c r="K263" i="34"/>
  <c r="K264" i="34"/>
  <c r="K265" i="34"/>
  <c r="K266" i="34"/>
  <c r="K267" i="34"/>
  <c r="K268" i="34"/>
  <c r="K269" i="34"/>
  <c r="K270" i="34"/>
  <c r="K271" i="34"/>
  <c r="K272" i="34"/>
  <c r="K273" i="34"/>
  <c r="K274" i="34"/>
  <c r="K275" i="34"/>
  <c r="K276" i="34"/>
  <c r="K277" i="34"/>
  <c r="K278" i="34"/>
  <c r="K279" i="34"/>
  <c r="K280" i="34"/>
  <c r="K281" i="34"/>
  <c r="K282" i="34"/>
  <c r="K283" i="34"/>
  <c r="K284" i="34"/>
  <c r="K285" i="34"/>
  <c r="K286" i="34"/>
  <c r="K287" i="34"/>
  <c r="K288" i="34"/>
  <c r="K289" i="34"/>
  <c r="K290" i="34"/>
  <c r="K291" i="34"/>
  <c r="K292" i="34"/>
  <c r="K293" i="34"/>
  <c r="K294" i="34"/>
  <c r="K295" i="34"/>
  <c r="K296" i="34"/>
  <c r="K297" i="34"/>
  <c r="K298" i="34"/>
  <c r="K299" i="34"/>
  <c r="K300" i="34"/>
  <c r="K301" i="34"/>
  <c r="K302" i="34"/>
  <c r="K303" i="34"/>
  <c r="K304" i="34"/>
  <c r="K305" i="34"/>
  <c r="K306" i="34"/>
  <c r="K307" i="34"/>
  <c r="K308" i="34"/>
  <c r="K309" i="34"/>
  <c r="K310" i="34"/>
  <c r="K311" i="34"/>
  <c r="K312" i="34"/>
  <c r="K313" i="34"/>
  <c r="K314" i="34"/>
  <c r="K315" i="34"/>
  <c r="K316" i="34"/>
  <c r="K317" i="34"/>
  <c r="K318" i="34"/>
  <c r="K319" i="34"/>
  <c r="K320" i="34"/>
  <c r="K321" i="34"/>
  <c r="K322" i="34"/>
  <c r="K323" i="34"/>
  <c r="K324" i="34"/>
  <c r="K325" i="34"/>
  <c r="K326" i="34"/>
  <c r="K327" i="34"/>
  <c r="K328" i="34"/>
  <c r="K329" i="34"/>
  <c r="K330" i="34"/>
  <c r="K331" i="34"/>
  <c r="K332" i="34"/>
  <c r="K333" i="34"/>
  <c r="K334" i="34"/>
  <c r="K335" i="34"/>
  <c r="K336" i="34"/>
  <c r="K337" i="34"/>
  <c r="K338" i="34"/>
  <c r="K339" i="34"/>
  <c r="K340" i="34"/>
  <c r="K341" i="34"/>
  <c r="K342" i="34"/>
  <c r="K343" i="34"/>
  <c r="K344" i="34"/>
  <c r="K345" i="34"/>
  <c r="K346" i="34"/>
  <c r="K347" i="34"/>
  <c r="K348" i="34"/>
  <c r="K349" i="34"/>
  <c r="K350" i="34"/>
  <c r="K351" i="34"/>
  <c r="K352" i="34"/>
  <c r="K353" i="34"/>
  <c r="K354" i="34"/>
  <c r="K355" i="34"/>
  <c r="K356" i="34"/>
  <c r="K357" i="34"/>
  <c r="K358" i="34"/>
  <c r="K359" i="34"/>
  <c r="K360" i="34"/>
  <c r="K361" i="34"/>
  <c r="K362" i="34"/>
  <c r="K363" i="34"/>
  <c r="K364" i="34"/>
  <c r="N364" i="34" s="1"/>
  <c r="K365" i="34"/>
  <c r="K366" i="34"/>
  <c r="K367" i="34"/>
  <c r="K368" i="34"/>
  <c r="K369" i="34"/>
  <c r="K370" i="34"/>
  <c r="K371" i="34"/>
  <c r="K372" i="34"/>
  <c r="K373" i="34"/>
  <c r="K374" i="34"/>
  <c r="K375" i="34"/>
  <c r="K376" i="34"/>
  <c r="K377" i="34"/>
  <c r="K378" i="34"/>
  <c r="K379" i="34"/>
  <c r="K380" i="34"/>
  <c r="K381" i="34"/>
  <c r="K382" i="34"/>
  <c r="K383" i="34"/>
  <c r="K384" i="34"/>
  <c r="K385" i="34"/>
  <c r="K386" i="34"/>
  <c r="K387" i="34"/>
  <c r="K388" i="34"/>
  <c r="K389" i="34"/>
  <c r="K390" i="34"/>
  <c r="K391" i="34"/>
  <c r="K392" i="34"/>
  <c r="K393" i="34"/>
  <c r="K394" i="34"/>
  <c r="K395" i="34"/>
  <c r="K396" i="34"/>
  <c r="K397" i="34"/>
  <c r="K398" i="34"/>
  <c r="K399" i="34"/>
  <c r="K400" i="34"/>
  <c r="K401" i="34"/>
  <c r="K402" i="34"/>
  <c r="K403" i="34"/>
  <c r="K404" i="34"/>
  <c r="K405" i="34"/>
  <c r="K406" i="34"/>
  <c r="K407" i="34"/>
  <c r="K408" i="34"/>
  <c r="K409" i="34"/>
  <c r="K410" i="34"/>
  <c r="K411" i="34"/>
  <c r="K412" i="34"/>
  <c r="K413" i="34"/>
  <c r="K414" i="34"/>
  <c r="K415" i="34"/>
  <c r="K416" i="34"/>
  <c r="K417" i="34"/>
  <c r="K418" i="34"/>
  <c r="K419" i="34"/>
  <c r="K420" i="34"/>
  <c r="K421" i="34"/>
  <c r="K422" i="34"/>
  <c r="K423" i="34"/>
  <c r="K424" i="34"/>
  <c r="K425" i="34"/>
  <c r="K426" i="34"/>
  <c r="K427" i="34"/>
  <c r="K428" i="34"/>
  <c r="K429" i="34"/>
  <c r="K430" i="34"/>
  <c r="K431" i="34"/>
  <c r="K432" i="34"/>
  <c r="K433" i="34"/>
  <c r="K434" i="34"/>
  <c r="K435" i="34"/>
  <c r="K436" i="34"/>
  <c r="K437" i="34"/>
  <c r="K438" i="34"/>
  <c r="K439" i="34"/>
  <c r="K440" i="34"/>
  <c r="K441" i="34"/>
  <c r="K442" i="34"/>
  <c r="K443" i="34"/>
  <c r="K444" i="34"/>
  <c r="K445" i="34"/>
  <c r="K446" i="34"/>
  <c r="K447" i="34"/>
  <c r="K448" i="34"/>
  <c r="K449" i="34"/>
  <c r="K450" i="34"/>
  <c r="K451" i="34"/>
  <c r="K452" i="34"/>
  <c r="K453" i="34"/>
  <c r="K454" i="34"/>
  <c r="K455" i="34"/>
  <c r="K456" i="34"/>
  <c r="K457" i="34"/>
  <c r="K458" i="34"/>
  <c r="K459" i="34"/>
  <c r="K460" i="34"/>
  <c r="K461" i="34"/>
  <c r="K462" i="34"/>
  <c r="K463" i="34"/>
  <c r="K464" i="34"/>
  <c r="K465" i="34"/>
  <c r="K466" i="34"/>
  <c r="K467" i="34"/>
  <c r="K468" i="34"/>
  <c r="K469" i="34"/>
  <c r="K470" i="34"/>
  <c r="K471" i="34"/>
  <c r="K472" i="34"/>
  <c r="K473" i="34"/>
  <c r="K474" i="34"/>
  <c r="K475" i="34"/>
  <c r="K476" i="34"/>
  <c r="K477" i="34"/>
  <c r="K478" i="34"/>
  <c r="K479" i="34"/>
  <c r="K480" i="34"/>
  <c r="K481" i="34"/>
  <c r="K482" i="34"/>
  <c r="K483" i="34"/>
  <c r="K484" i="34"/>
  <c r="K485" i="34"/>
  <c r="K486" i="34"/>
  <c r="K487" i="34"/>
  <c r="K488" i="34"/>
  <c r="K489" i="34"/>
  <c r="K490" i="34"/>
  <c r="K491" i="34"/>
  <c r="K492" i="34"/>
  <c r="K493" i="34"/>
  <c r="K494" i="34"/>
  <c r="K495" i="34"/>
  <c r="K496" i="34"/>
  <c r="K497" i="34"/>
  <c r="K498" i="34"/>
  <c r="K499" i="34"/>
  <c r="K500" i="34"/>
  <c r="K501" i="34"/>
  <c r="K502" i="34"/>
  <c r="K503" i="34"/>
  <c r="K504" i="34"/>
  <c r="K505" i="34"/>
  <c r="K506" i="34"/>
  <c r="K507" i="34"/>
  <c r="K508" i="34"/>
  <c r="K509" i="34"/>
  <c r="K510" i="34"/>
  <c r="K511" i="34"/>
  <c r="K512" i="34"/>
  <c r="K513" i="34"/>
  <c r="K514" i="34"/>
  <c r="K515" i="34"/>
  <c r="K516" i="34"/>
  <c r="K517" i="34"/>
  <c r="K518" i="34"/>
  <c r="K519" i="34"/>
  <c r="K520" i="34"/>
  <c r="K521" i="34"/>
  <c r="K522" i="34"/>
  <c r="K523" i="34"/>
  <c r="K524" i="34"/>
  <c r="K525" i="34"/>
  <c r="K526" i="34"/>
  <c r="K527" i="34"/>
  <c r="K528" i="34"/>
  <c r="K529" i="34"/>
  <c r="K530" i="34"/>
  <c r="K531" i="34"/>
  <c r="K532" i="34"/>
  <c r="K533" i="34"/>
  <c r="K534" i="34"/>
  <c r="K535" i="34"/>
  <c r="K536" i="34"/>
  <c r="K537" i="34"/>
  <c r="K538" i="34"/>
  <c r="K539" i="34"/>
  <c r="K540" i="34"/>
  <c r="K541" i="34"/>
  <c r="K542" i="34"/>
  <c r="K543" i="34"/>
  <c r="K544" i="34"/>
  <c r="K545" i="34"/>
  <c r="K546" i="34"/>
  <c r="K547" i="34"/>
  <c r="K548" i="34"/>
  <c r="K549" i="34"/>
  <c r="K550" i="34"/>
  <c r="K551" i="34"/>
  <c r="K552" i="34"/>
  <c r="K553" i="34"/>
  <c r="K554" i="34"/>
  <c r="K555" i="34"/>
  <c r="K556" i="34"/>
  <c r="K557" i="34"/>
  <c r="K558" i="34"/>
  <c r="K559" i="34"/>
  <c r="K560" i="34"/>
  <c r="K561" i="34"/>
  <c r="K562" i="34"/>
  <c r="K563" i="34"/>
  <c r="K564" i="34"/>
  <c r="K565" i="34"/>
  <c r="K566" i="34"/>
  <c r="K567" i="34"/>
  <c r="K568" i="34"/>
  <c r="K569" i="34"/>
  <c r="K570" i="34"/>
  <c r="K571" i="34"/>
  <c r="K572" i="34"/>
  <c r="K573" i="34"/>
  <c r="K574" i="34"/>
  <c r="K575" i="34"/>
  <c r="K576" i="34"/>
  <c r="K577" i="34"/>
  <c r="K578" i="34"/>
  <c r="K579" i="34"/>
  <c r="K580" i="34"/>
  <c r="K581" i="34"/>
  <c r="K582" i="34"/>
  <c r="K583" i="34"/>
  <c r="K584" i="34"/>
  <c r="K585" i="34"/>
  <c r="K586" i="34"/>
  <c r="K587" i="34"/>
  <c r="K588" i="34"/>
  <c r="N589" i="34"/>
  <c r="K590" i="34"/>
  <c r="K591" i="34"/>
  <c r="K592" i="34"/>
  <c r="N593" i="34"/>
  <c r="K594" i="34"/>
  <c r="K595" i="34"/>
  <c r="K596" i="34"/>
  <c r="K597" i="34"/>
  <c r="K598" i="34"/>
  <c r="K599" i="34"/>
  <c r="N599" i="34" s="1"/>
  <c r="K600" i="34"/>
  <c r="K601" i="34"/>
  <c r="K602" i="34"/>
  <c r="N603" i="34"/>
  <c r="K604" i="34"/>
  <c r="K605" i="34"/>
  <c r="K606" i="34"/>
  <c r="K607" i="34"/>
  <c r="K608" i="34"/>
  <c r="K609" i="34"/>
  <c r="K610" i="34"/>
  <c r="K611" i="34"/>
  <c r="K613" i="34"/>
  <c r="K614" i="34"/>
  <c r="K615" i="34"/>
  <c r="N618" i="34"/>
  <c r="K619" i="34"/>
  <c r="N620" i="34"/>
  <c r="K621" i="34"/>
  <c r="K622" i="34"/>
  <c r="N622" i="34" s="1"/>
  <c r="K623" i="34"/>
  <c r="K624" i="34"/>
  <c r="K625" i="34"/>
  <c r="K626" i="34"/>
  <c r="K627" i="34"/>
  <c r="K628" i="34"/>
  <c r="K629" i="34"/>
  <c r="K630" i="34"/>
  <c r="K631" i="34"/>
  <c r="K632" i="34"/>
  <c r="K633" i="34"/>
  <c r="K634" i="34"/>
  <c r="K635" i="34"/>
  <c r="K636" i="34"/>
  <c r="K637" i="34"/>
  <c r="K638" i="34"/>
  <c r="K639" i="34"/>
  <c r="K640" i="34"/>
  <c r="K641" i="34"/>
  <c r="K642" i="34"/>
  <c r="K643" i="34"/>
  <c r="K644" i="34"/>
  <c r="K645" i="34"/>
  <c r="K646" i="34"/>
  <c r="K647" i="34"/>
  <c r="K648" i="34"/>
  <c r="K649" i="34"/>
  <c r="K650" i="34"/>
  <c r="K651" i="34"/>
  <c r="K652" i="34"/>
  <c r="K653" i="34"/>
  <c r="K654" i="34"/>
  <c r="K655" i="34"/>
  <c r="K656" i="34"/>
  <c r="K657" i="34"/>
  <c r="K658" i="34"/>
  <c r="K659" i="34"/>
  <c r="K660" i="34"/>
  <c r="K661" i="34"/>
  <c r="K662" i="34"/>
  <c r="K663" i="34"/>
  <c r="K664" i="34"/>
  <c r="K665" i="34"/>
  <c r="K666" i="34"/>
  <c r="K667" i="34"/>
  <c r="K668" i="34"/>
  <c r="K669" i="34"/>
  <c r="K670" i="34"/>
  <c r="K671" i="34"/>
  <c r="K672" i="34"/>
  <c r="K673" i="34"/>
  <c r="K674" i="34"/>
  <c r="K675" i="34"/>
  <c r="K676" i="34"/>
  <c r="K677" i="34"/>
  <c r="K678" i="34"/>
  <c r="K679" i="34"/>
  <c r="K680" i="34"/>
  <c r="K681" i="34"/>
  <c r="K682" i="34"/>
  <c r="K683" i="34"/>
  <c r="K684" i="34"/>
  <c r="K685" i="34"/>
  <c r="K686" i="34"/>
  <c r="K687" i="34"/>
  <c r="K688" i="34"/>
  <c r="K689" i="34"/>
  <c r="K690" i="34"/>
  <c r="K691" i="34"/>
  <c r="K692" i="34"/>
  <c r="K693" i="34"/>
  <c r="K694" i="34"/>
  <c r="K695" i="34"/>
  <c r="K696" i="34"/>
  <c r="K697" i="34"/>
  <c r="K698" i="34"/>
  <c r="K699" i="34"/>
  <c r="K700" i="34"/>
  <c r="K701" i="34"/>
  <c r="K702" i="34"/>
  <c r="K703" i="34"/>
  <c r="K704" i="34"/>
  <c r="K705" i="34"/>
  <c r="K706" i="34"/>
  <c r="N706" i="34" s="1"/>
  <c r="K707" i="34"/>
  <c r="K708" i="34"/>
  <c r="K709" i="34"/>
  <c r="K710" i="34"/>
  <c r="K711" i="34"/>
  <c r="K712" i="34"/>
  <c r="K713" i="34"/>
  <c r="K714" i="34"/>
  <c r="K715" i="34"/>
  <c r="K716" i="34"/>
  <c r="K717" i="34"/>
  <c r="K718" i="34"/>
  <c r="K719" i="34"/>
  <c r="K720" i="34"/>
  <c r="K721" i="34"/>
  <c r="K722" i="34"/>
  <c r="K723" i="34"/>
  <c r="K724" i="34"/>
  <c r="K725" i="34"/>
  <c r="K726" i="34"/>
  <c r="K727" i="34"/>
  <c r="K728" i="34"/>
  <c r="K729" i="34"/>
  <c r="K730" i="34"/>
  <c r="K731" i="34"/>
  <c r="K732" i="34"/>
  <c r="K733" i="34"/>
  <c r="K734" i="34"/>
  <c r="K735" i="34"/>
  <c r="K736" i="34"/>
  <c r="K737" i="34"/>
  <c r="K738" i="34"/>
  <c r="K739" i="34"/>
  <c r="K740" i="34"/>
  <c r="K741" i="34"/>
  <c r="K742" i="34"/>
  <c r="K743" i="34"/>
  <c r="K744" i="34"/>
  <c r="K745" i="34"/>
  <c r="K746" i="34"/>
  <c r="K747" i="34"/>
  <c r="K748" i="34"/>
  <c r="K749" i="34"/>
  <c r="K750" i="34"/>
  <c r="K751" i="34"/>
  <c r="K752" i="34"/>
  <c r="K753" i="34"/>
  <c r="K754" i="34"/>
  <c r="K755" i="34"/>
  <c r="K756" i="34"/>
  <c r="K757" i="34"/>
  <c r="K758" i="34"/>
  <c r="K759" i="34"/>
  <c r="K760" i="34"/>
  <c r="K761" i="34"/>
  <c r="K762" i="34"/>
  <c r="K763" i="34"/>
  <c r="K764" i="34"/>
  <c r="K765" i="34"/>
  <c r="K766" i="34"/>
  <c r="K767" i="34"/>
  <c r="K768" i="34"/>
  <c r="K769" i="34"/>
  <c r="K770" i="34"/>
  <c r="K771" i="34"/>
  <c r="K772" i="34"/>
  <c r="K773" i="34"/>
  <c r="K774" i="34"/>
  <c r="K775" i="34"/>
  <c r="K776" i="34"/>
  <c r="K777" i="34"/>
  <c r="K778" i="34"/>
  <c r="K779" i="34"/>
  <c r="K780" i="34"/>
  <c r="K781" i="34"/>
  <c r="K782" i="34"/>
  <c r="K783" i="34"/>
  <c r="K784" i="34"/>
  <c r="K785" i="34"/>
  <c r="K786" i="34"/>
  <c r="K787" i="34"/>
  <c r="K788" i="34"/>
  <c r="K789" i="34"/>
  <c r="K790" i="34"/>
  <c r="K791" i="34"/>
  <c r="K792" i="34"/>
  <c r="K793" i="34"/>
  <c r="K794" i="34"/>
  <c r="K795" i="34"/>
  <c r="K796" i="34"/>
  <c r="K797" i="34"/>
  <c r="K798" i="34"/>
  <c r="K799" i="34"/>
  <c r="K800" i="34"/>
  <c r="K801" i="34"/>
  <c r="K802" i="34"/>
  <c r="K803" i="34"/>
  <c r="K804" i="34"/>
  <c r="K805" i="34"/>
  <c r="K806" i="34"/>
  <c r="K807" i="34"/>
  <c r="K808" i="34"/>
  <c r="K809" i="34"/>
  <c r="K810" i="34"/>
  <c r="K811" i="34"/>
  <c r="K812" i="34"/>
  <c r="K813" i="34"/>
  <c r="K814" i="34"/>
  <c r="K815" i="34"/>
  <c r="K816" i="34"/>
  <c r="K817" i="34"/>
  <c r="K818" i="34"/>
  <c r="K819" i="34"/>
  <c r="K820" i="34"/>
  <c r="K821" i="34"/>
  <c r="K822" i="34"/>
  <c r="K823" i="34"/>
  <c r="K824" i="34"/>
  <c r="K825" i="34"/>
  <c r="K826" i="34"/>
  <c r="K827" i="34"/>
  <c r="K828" i="34"/>
  <c r="K829" i="34"/>
  <c r="K830" i="34"/>
  <c r="K831" i="34"/>
  <c r="K832" i="34"/>
  <c r="K833" i="34"/>
  <c r="K834" i="34"/>
  <c r="K835" i="34"/>
  <c r="K836" i="34"/>
  <c r="K837" i="34"/>
  <c r="K838" i="34"/>
  <c r="K839" i="34"/>
  <c r="K840" i="34"/>
  <c r="K841" i="34"/>
  <c r="K842" i="34"/>
  <c r="K843" i="34"/>
  <c r="K844" i="34"/>
  <c r="K845" i="34"/>
  <c r="K846" i="34"/>
  <c r="K847" i="34"/>
  <c r="K848" i="34"/>
  <c r="K849" i="34"/>
  <c r="K850" i="34"/>
  <c r="K851" i="34"/>
  <c r="K852" i="34"/>
  <c r="K853" i="34"/>
  <c r="K854" i="34"/>
  <c r="K855" i="34"/>
  <c r="K856" i="34"/>
  <c r="K857" i="34"/>
  <c r="K858" i="34"/>
  <c r="K859" i="34"/>
  <c r="K860" i="34"/>
  <c r="K861" i="34"/>
  <c r="K862" i="34"/>
  <c r="K863" i="34"/>
  <c r="K864" i="34"/>
  <c r="K865" i="34"/>
  <c r="K866" i="34"/>
  <c r="K867" i="34"/>
  <c r="K868" i="34"/>
  <c r="K869" i="34"/>
  <c r="K870" i="34"/>
  <c r="K871" i="34"/>
  <c r="K872" i="34"/>
  <c r="K873" i="34"/>
  <c r="K874" i="34"/>
  <c r="K875" i="34"/>
  <c r="K876" i="34"/>
  <c r="K877" i="34"/>
  <c r="K878" i="34"/>
  <c r="K879" i="34"/>
  <c r="K880" i="34"/>
  <c r="K881" i="34"/>
  <c r="K882" i="34"/>
  <c r="K883" i="34"/>
  <c r="K884" i="34"/>
  <c r="K885" i="34"/>
  <c r="K886" i="34"/>
  <c r="K887" i="34"/>
  <c r="K888" i="34"/>
  <c r="K889" i="34"/>
  <c r="K890" i="34"/>
  <c r="K891" i="34"/>
  <c r="K892" i="34"/>
  <c r="K893" i="34"/>
  <c r="K894" i="34"/>
  <c r="K895" i="34"/>
  <c r="K896" i="34"/>
  <c r="K897" i="34"/>
  <c r="K898" i="34"/>
  <c r="K899" i="34"/>
  <c r="K900" i="34"/>
  <c r="N900" i="34" s="1"/>
  <c r="K901" i="34"/>
  <c r="K902" i="34"/>
  <c r="K903" i="34"/>
  <c r="K904" i="34"/>
  <c r="K905" i="34"/>
  <c r="K906" i="34"/>
  <c r="K907" i="34"/>
  <c r="K908" i="34"/>
  <c r="K909" i="34"/>
  <c r="K910" i="34"/>
  <c r="K911" i="34"/>
  <c r="K912" i="34"/>
  <c r="K913" i="34"/>
  <c r="K914" i="34"/>
  <c r="K915" i="34"/>
  <c r="K916" i="34"/>
  <c r="K917" i="34"/>
  <c r="K918" i="34"/>
  <c r="K919" i="34"/>
  <c r="K920" i="34"/>
  <c r="K921" i="34"/>
  <c r="K922" i="34"/>
  <c r="K923" i="34"/>
  <c r="K924" i="34"/>
  <c r="K925" i="34"/>
  <c r="K926" i="34"/>
  <c r="K927" i="34"/>
  <c r="K928" i="34"/>
  <c r="K929" i="34"/>
  <c r="K930" i="34"/>
  <c r="K931" i="34"/>
  <c r="K932" i="34"/>
  <c r="K933" i="34"/>
  <c r="K934" i="34"/>
  <c r="K935" i="34"/>
  <c r="K936" i="34"/>
  <c r="K937" i="34"/>
  <c r="K938" i="34"/>
  <c r="K939" i="34"/>
  <c r="K940" i="34"/>
  <c r="K941" i="34"/>
  <c r="K942" i="34"/>
  <c r="K943" i="34"/>
  <c r="K944" i="34"/>
  <c r="K945" i="34"/>
  <c r="K946" i="34"/>
  <c r="K947" i="34"/>
  <c r="K948" i="34"/>
  <c r="K949" i="34"/>
  <c r="K950" i="34"/>
  <c r="K951" i="34"/>
  <c r="K952" i="34"/>
  <c r="K953" i="34"/>
  <c r="K954" i="34"/>
  <c r="K955" i="34"/>
  <c r="K956" i="34"/>
  <c r="K957" i="34"/>
  <c r="K958" i="34"/>
  <c r="K959" i="34"/>
  <c r="K960" i="34"/>
  <c r="K961" i="34"/>
  <c r="K962" i="34"/>
  <c r="K963" i="34"/>
  <c r="K964" i="34"/>
  <c r="K965" i="34"/>
  <c r="K966" i="34"/>
  <c r="K967" i="34"/>
  <c r="K968" i="34"/>
  <c r="K969" i="34"/>
  <c r="K970" i="34"/>
  <c r="K971" i="34"/>
  <c r="K972" i="34"/>
  <c r="K973" i="34"/>
  <c r="K974" i="34"/>
  <c r="K975" i="34"/>
  <c r="K976" i="34"/>
  <c r="K977" i="34"/>
  <c r="K978" i="34"/>
  <c r="K979" i="34"/>
  <c r="K980" i="34"/>
  <c r="K981" i="34"/>
  <c r="K982" i="34"/>
  <c r="K983" i="34"/>
  <c r="K984" i="34"/>
  <c r="K985" i="34"/>
  <c r="K986" i="34"/>
  <c r="K987" i="34"/>
  <c r="K988" i="34"/>
  <c r="K989" i="34"/>
  <c r="K990" i="34"/>
  <c r="K991" i="34"/>
  <c r="K992" i="34"/>
  <c r="K993" i="34"/>
  <c r="K994" i="34"/>
  <c r="K995" i="34"/>
  <c r="K996" i="34"/>
  <c r="K997" i="34"/>
  <c r="K998" i="34"/>
  <c r="K999" i="34"/>
  <c r="K1000" i="34"/>
  <c r="K1001" i="34"/>
  <c r="K1002" i="34"/>
  <c r="K1003" i="34"/>
  <c r="K1004" i="34"/>
  <c r="K1005" i="34"/>
  <c r="K1006" i="34"/>
  <c r="K1007" i="34"/>
  <c r="K1008" i="34"/>
  <c r="K1009" i="34"/>
  <c r="K1010" i="34"/>
  <c r="K1011" i="34"/>
  <c r="K1012" i="34"/>
  <c r="K1013" i="34"/>
  <c r="K1014" i="34"/>
  <c r="K1015" i="34"/>
  <c r="K1016" i="34"/>
  <c r="K1017" i="34"/>
  <c r="K1018" i="34"/>
  <c r="K1019" i="34"/>
  <c r="K1020" i="34"/>
  <c r="K1021" i="34"/>
  <c r="K1022" i="34"/>
  <c r="K1023" i="34"/>
  <c r="K1024" i="34"/>
  <c r="K1025" i="34"/>
  <c r="K1026" i="34"/>
  <c r="K1027" i="34"/>
  <c r="K1028" i="34"/>
  <c r="K1029" i="34"/>
  <c r="K1030" i="34"/>
  <c r="K1031" i="34"/>
  <c r="N1031" i="34" s="1"/>
  <c r="K1032" i="34"/>
  <c r="K1033" i="34"/>
  <c r="K1034" i="34"/>
  <c r="K1035" i="34"/>
  <c r="K1036" i="34"/>
  <c r="K1037" i="34"/>
  <c r="K1038" i="34"/>
  <c r="K1039" i="34"/>
  <c r="K1040" i="34"/>
  <c r="K1041" i="34"/>
  <c r="K1042" i="34"/>
  <c r="K1043" i="34"/>
  <c r="K1044" i="34"/>
  <c r="K1045" i="34"/>
  <c r="K1046" i="34"/>
  <c r="K1047" i="34"/>
  <c r="K1048" i="34"/>
  <c r="K1049" i="34"/>
  <c r="K1050" i="34"/>
  <c r="K1051" i="34"/>
  <c r="K1052" i="34"/>
  <c r="K1053" i="34"/>
  <c r="K1054" i="34"/>
  <c r="K1055" i="34"/>
  <c r="K1056" i="34"/>
  <c r="K1057" i="34"/>
  <c r="K1058" i="34"/>
  <c r="K1059" i="34"/>
  <c r="K1060" i="34"/>
  <c r="K1061" i="34"/>
  <c r="K1062" i="34"/>
  <c r="K1063" i="34"/>
  <c r="K1064" i="34"/>
  <c r="K1065" i="34"/>
  <c r="K1066" i="34"/>
  <c r="K1067" i="34"/>
  <c r="K1068" i="34"/>
  <c r="K1069" i="34"/>
  <c r="K1070" i="34"/>
  <c r="K1071" i="34"/>
  <c r="K1072" i="34"/>
  <c r="K1073" i="34"/>
  <c r="K1074" i="34"/>
  <c r="K1075" i="34"/>
  <c r="K1076" i="34"/>
  <c r="K1077" i="34"/>
  <c r="K1078" i="34"/>
  <c r="K1079" i="34"/>
  <c r="K1080" i="34"/>
  <c r="K1081" i="34"/>
  <c r="K1082" i="34"/>
  <c r="K1083" i="34"/>
  <c r="K1084" i="34"/>
  <c r="K1085" i="34"/>
  <c r="K1086" i="34"/>
  <c r="K1087" i="34"/>
  <c r="K1088" i="34"/>
  <c r="K1089" i="34"/>
  <c r="K1090" i="34"/>
  <c r="K1091" i="34"/>
  <c r="K1092" i="34"/>
  <c r="K1093" i="34"/>
  <c r="K1094" i="34"/>
  <c r="K1095" i="34"/>
  <c r="K1096" i="34"/>
  <c r="K1097" i="34"/>
  <c r="K1098" i="34"/>
  <c r="K1099" i="34"/>
  <c r="K1100" i="34"/>
  <c r="K1101" i="34"/>
  <c r="K1102" i="34"/>
  <c r="K1103" i="34"/>
  <c r="K1104" i="34"/>
  <c r="K1105" i="34"/>
  <c r="K1106" i="34"/>
  <c r="K1107" i="34"/>
  <c r="K1108" i="34"/>
  <c r="K1109" i="34"/>
  <c r="K1110" i="34"/>
  <c r="K1111" i="34"/>
  <c r="K1112" i="34"/>
  <c r="K1113" i="34"/>
  <c r="K1114" i="34"/>
  <c r="K1115" i="34"/>
  <c r="K1116" i="34"/>
  <c r="K1117" i="34"/>
  <c r="K1118" i="34"/>
  <c r="K1119" i="34"/>
  <c r="K1120" i="34"/>
  <c r="K1121" i="34"/>
  <c r="K1122" i="34"/>
  <c r="K1123" i="34"/>
  <c r="K1124" i="34"/>
  <c r="K1125" i="34"/>
  <c r="K1126" i="34"/>
  <c r="K1127" i="34"/>
  <c r="K1128" i="34"/>
  <c r="K1129" i="34"/>
  <c r="K1130" i="34"/>
  <c r="K1131" i="34"/>
  <c r="K1132" i="34"/>
  <c r="K1133" i="34"/>
  <c r="K1134" i="34"/>
  <c r="K1135" i="34"/>
  <c r="K1136" i="34"/>
  <c r="K1137" i="34"/>
  <c r="K1138" i="34"/>
  <c r="K1139" i="34"/>
  <c r="K1140" i="34"/>
  <c r="K1141" i="34"/>
  <c r="K1142" i="34"/>
  <c r="K1143" i="34"/>
  <c r="K1144" i="34"/>
  <c r="K1145" i="34"/>
  <c r="K1146" i="34"/>
  <c r="K1147" i="34"/>
  <c r="K1148" i="34"/>
  <c r="K1149" i="34"/>
  <c r="K1150" i="34"/>
  <c r="K1151" i="34"/>
  <c r="K1152" i="34"/>
  <c r="K1153" i="34"/>
  <c r="K1154" i="34"/>
  <c r="K1155" i="34"/>
  <c r="K1156" i="34"/>
  <c r="K1157" i="34"/>
  <c r="K1158" i="34"/>
  <c r="K1159" i="34"/>
  <c r="K1160" i="34"/>
  <c r="K1161" i="34"/>
  <c r="K1162" i="34"/>
  <c r="K1163" i="34"/>
  <c r="K1164" i="34"/>
  <c r="K1165" i="34"/>
  <c r="K1166" i="34"/>
  <c r="K1167" i="34"/>
  <c r="K1168" i="34"/>
  <c r="K1169" i="34"/>
  <c r="K1170" i="34"/>
  <c r="K1171" i="34"/>
  <c r="K1172" i="34"/>
  <c r="K1173" i="34"/>
  <c r="K1174" i="34"/>
  <c r="K1175" i="34"/>
  <c r="K1176" i="34"/>
  <c r="K1177" i="34"/>
  <c r="K1178" i="34"/>
  <c r="K1179" i="34"/>
  <c r="K1180" i="34"/>
  <c r="K1181" i="34"/>
  <c r="K1182" i="34"/>
  <c r="K1183" i="34"/>
  <c r="K1184" i="34"/>
  <c r="K1185" i="34"/>
  <c r="K1186" i="34"/>
  <c r="K1187" i="34"/>
  <c r="K1188" i="34"/>
  <c r="K1189" i="34"/>
  <c r="K1190" i="34"/>
  <c r="K1191" i="34"/>
  <c r="K1192" i="34"/>
  <c r="K1193" i="34"/>
  <c r="K1194" i="34"/>
  <c r="K1195" i="34"/>
  <c r="K1196" i="34"/>
  <c r="K1197" i="34"/>
  <c r="K1198" i="34"/>
  <c r="N1198" i="34" s="1"/>
  <c r="K1199" i="34"/>
  <c r="K1200" i="34"/>
  <c r="K1201" i="34"/>
  <c r="K1202" i="34"/>
  <c r="K1203" i="34"/>
  <c r="K1204" i="34"/>
  <c r="K2" i="34"/>
  <c r="N3" i="33" l="1"/>
  <c r="N4" i="33"/>
  <c r="N5" i="33"/>
  <c r="N6" i="33"/>
  <c r="N7" i="33"/>
  <c r="N8" i="33"/>
  <c r="N9" i="33"/>
  <c r="N10" i="33"/>
  <c r="N11" i="33"/>
  <c r="N12" i="33"/>
  <c r="N13" i="33"/>
  <c r="N14" i="33"/>
  <c r="N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31" i="33"/>
  <c r="N32" i="33"/>
  <c r="N33" i="33"/>
  <c r="N34" i="33"/>
  <c r="N35" i="33"/>
  <c r="N36" i="33"/>
  <c r="N37" i="33"/>
  <c r="N38" i="33"/>
  <c r="N39" i="33"/>
  <c r="N40" i="33"/>
  <c r="N41" i="33"/>
  <c r="N42" i="33"/>
  <c r="N43" i="33"/>
  <c r="N44" i="33"/>
  <c r="N45" i="33"/>
  <c r="N46" i="33"/>
  <c r="N47" i="33"/>
  <c r="N48" i="33"/>
  <c r="N49" i="33"/>
  <c r="N50" i="33"/>
  <c r="N51" i="33"/>
  <c r="N52" i="33"/>
  <c r="N53" i="33"/>
  <c r="N54" i="33"/>
  <c r="N55" i="33"/>
  <c r="N56" i="33"/>
  <c r="N57" i="33"/>
  <c r="N58" i="33"/>
  <c r="N59" i="33"/>
  <c r="N60" i="33"/>
  <c r="N61" i="33"/>
  <c r="N62" i="33"/>
  <c r="N63" i="33"/>
  <c r="N64" i="33"/>
  <c r="N65" i="33"/>
  <c r="N66" i="33"/>
  <c r="N67" i="33"/>
  <c r="N68" i="33"/>
  <c r="N69" i="33"/>
  <c r="N70" i="33"/>
  <c r="N71" i="33"/>
  <c r="N72" i="33"/>
  <c r="N73" i="33"/>
  <c r="N74" i="33"/>
  <c r="N75" i="33"/>
  <c r="N76" i="33"/>
  <c r="N77" i="33"/>
  <c r="N78" i="33"/>
  <c r="N79" i="33"/>
  <c r="N80" i="33"/>
  <c r="N81" i="33"/>
  <c r="N82" i="33"/>
  <c r="N83" i="33"/>
  <c r="N84" i="33"/>
  <c r="N85" i="33"/>
  <c r="N86" i="33"/>
  <c r="N87" i="33"/>
  <c r="N88" i="33"/>
  <c r="N89" i="33"/>
  <c r="N90" i="33"/>
  <c r="N91" i="33"/>
  <c r="N92" i="33"/>
  <c r="N93" i="33"/>
  <c r="N94" i="33"/>
  <c r="N95" i="33"/>
  <c r="N96" i="33"/>
  <c r="N97" i="33"/>
  <c r="N98" i="33"/>
  <c r="N99" i="33"/>
  <c r="N100" i="33"/>
  <c r="N101" i="33"/>
  <c r="N102" i="33"/>
  <c r="N103" i="33"/>
  <c r="N104" i="33"/>
  <c r="N105" i="33"/>
  <c r="N106" i="33"/>
  <c r="N107" i="33"/>
  <c r="N108" i="33"/>
  <c r="N109" i="33"/>
  <c r="N110" i="33"/>
  <c r="N111" i="33"/>
  <c r="N112" i="33"/>
  <c r="N113" i="33"/>
  <c r="N114" i="33"/>
  <c r="N115" i="33"/>
  <c r="N116" i="33"/>
  <c r="N117" i="33"/>
  <c r="N118" i="33"/>
  <c r="N119" i="33"/>
  <c r="N120" i="33"/>
  <c r="N121" i="33"/>
  <c r="N122" i="33"/>
  <c r="N123" i="33"/>
  <c r="N124" i="33"/>
  <c r="N125" i="33"/>
  <c r="N126" i="33"/>
  <c r="N127" i="33"/>
  <c r="N128" i="33"/>
  <c r="N129" i="33"/>
  <c r="N130" i="33"/>
  <c r="N131" i="33"/>
  <c r="N132" i="33"/>
  <c r="N133" i="33"/>
  <c r="N134" i="33"/>
  <c r="N135" i="33"/>
  <c r="N136" i="33"/>
  <c r="N137" i="33"/>
  <c r="N138" i="33"/>
  <c r="N139" i="33"/>
  <c r="N140" i="33"/>
  <c r="N141" i="33"/>
  <c r="N142" i="33"/>
  <c r="N143" i="33"/>
  <c r="N144" i="33"/>
  <c r="N145" i="33"/>
  <c r="N146" i="33"/>
  <c r="N147" i="33"/>
  <c r="N148" i="33"/>
  <c r="N149" i="33"/>
  <c r="N150" i="33"/>
  <c r="N151" i="33"/>
  <c r="N152" i="33"/>
  <c r="N153" i="33"/>
  <c r="N154" i="33"/>
  <c r="N155" i="33"/>
  <c r="N156" i="33"/>
  <c r="N157" i="33"/>
  <c r="N158" i="33"/>
  <c r="N159" i="33"/>
  <c r="N160" i="33"/>
  <c r="N161" i="33"/>
  <c r="N162" i="33"/>
  <c r="N163" i="33"/>
  <c r="N164" i="33"/>
  <c r="N165" i="33"/>
  <c r="N166" i="33"/>
  <c r="N167" i="33"/>
  <c r="N168" i="33"/>
  <c r="N169" i="33"/>
  <c r="N170" i="33"/>
  <c r="N171" i="33"/>
  <c r="N172" i="33"/>
  <c r="N173" i="33"/>
  <c r="N174" i="33"/>
  <c r="N175" i="33"/>
  <c r="N176" i="33"/>
  <c r="N177" i="33"/>
  <c r="N178" i="33"/>
  <c r="N179" i="33"/>
  <c r="N180" i="33"/>
  <c r="N181" i="33"/>
  <c r="N182" i="33"/>
  <c r="N183" i="33"/>
  <c r="N184" i="33"/>
  <c r="N185" i="33"/>
  <c r="N186" i="33"/>
  <c r="N187" i="33"/>
  <c r="N188" i="33"/>
  <c r="N189" i="33"/>
  <c r="N190" i="33"/>
  <c r="N191" i="33"/>
  <c r="N192" i="33"/>
  <c r="N193" i="33"/>
  <c r="N194" i="33"/>
  <c r="N195" i="33"/>
  <c r="N196" i="33"/>
  <c r="N197" i="33"/>
  <c r="N198" i="33"/>
  <c r="N199" i="33"/>
  <c r="N200" i="33"/>
  <c r="N201" i="33"/>
  <c r="N202" i="33"/>
  <c r="N203" i="33"/>
  <c r="N204" i="33"/>
  <c r="N205" i="33"/>
  <c r="N206" i="33"/>
  <c r="N207" i="33"/>
  <c r="N208" i="33"/>
  <c r="N209" i="33"/>
  <c r="N210" i="33"/>
  <c r="N211" i="33"/>
  <c r="N212" i="33"/>
  <c r="N213" i="33"/>
  <c r="N214" i="33"/>
  <c r="N215" i="33"/>
  <c r="N216" i="33"/>
  <c r="N217" i="33"/>
  <c r="N218" i="33"/>
  <c r="N219" i="33"/>
  <c r="N220" i="33"/>
  <c r="N221" i="33"/>
  <c r="N222" i="33"/>
  <c r="N223" i="33"/>
  <c r="N224" i="33"/>
  <c r="N225" i="33"/>
  <c r="N226" i="33"/>
  <c r="N227" i="33"/>
  <c r="N228" i="33"/>
  <c r="N229" i="33"/>
  <c r="N230" i="33"/>
  <c r="N231" i="33"/>
  <c r="N232" i="33"/>
  <c r="N233" i="33"/>
  <c r="N234" i="33"/>
  <c r="N235" i="33"/>
  <c r="N236" i="33"/>
  <c r="N237" i="33"/>
  <c r="N238" i="33"/>
  <c r="N239" i="33"/>
  <c r="N240" i="33"/>
  <c r="N241" i="33"/>
  <c r="N242" i="33"/>
  <c r="N243" i="33"/>
  <c r="N244" i="33"/>
  <c r="N245" i="33"/>
  <c r="N246" i="33"/>
  <c r="N247" i="33"/>
  <c r="N248" i="33"/>
  <c r="N249" i="33"/>
  <c r="N250" i="33"/>
  <c r="N251" i="33"/>
  <c r="N252" i="33"/>
  <c r="N253" i="33"/>
  <c r="N254" i="33"/>
  <c r="N255" i="33"/>
  <c r="N256" i="33"/>
  <c r="N257" i="33"/>
  <c r="N258" i="33"/>
  <c r="N259" i="33"/>
  <c r="N260" i="33"/>
  <c r="N261" i="33"/>
  <c r="N262" i="33"/>
  <c r="N263" i="33"/>
  <c r="N264" i="33"/>
  <c r="N265" i="33"/>
  <c r="N266" i="33"/>
  <c r="N267" i="33"/>
  <c r="N268" i="33"/>
  <c r="N269" i="33"/>
  <c r="N270" i="33"/>
  <c r="N271" i="33"/>
  <c r="N272" i="33"/>
  <c r="N273" i="33"/>
  <c r="N274" i="33"/>
  <c r="N275" i="33"/>
  <c r="N276" i="33"/>
  <c r="N277" i="33"/>
  <c r="N278" i="33"/>
  <c r="N279" i="33"/>
  <c r="N280" i="33"/>
  <c r="N281" i="33"/>
  <c r="N282" i="33"/>
  <c r="N283" i="33"/>
  <c r="N284" i="33"/>
  <c r="N285" i="33"/>
  <c r="N286" i="33"/>
  <c r="N287" i="33"/>
  <c r="N288" i="33"/>
  <c r="N289" i="33"/>
  <c r="N290" i="33"/>
  <c r="N291" i="33"/>
  <c r="N292" i="33"/>
  <c r="N293" i="33"/>
  <c r="N294" i="33"/>
  <c r="N295" i="33"/>
  <c r="N296" i="33"/>
  <c r="N297" i="33"/>
  <c r="N298" i="33"/>
  <c r="N299" i="33"/>
  <c r="N300" i="33"/>
  <c r="N301" i="33"/>
  <c r="N302" i="33"/>
  <c r="N303" i="33"/>
  <c r="N304" i="33"/>
  <c r="N305" i="33"/>
  <c r="N306" i="33"/>
  <c r="N307" i="33"/>
  <c r="N308" i="33"/>
  <c r="N309" i="33"/>
  <c r="N310" i="33"/>
  <c r="N311" i="33"/>
  <c r="N312" i="33"/>
  <c r="N313" i="33"/>
  <c r="N314" i="33"/>
  <c r="N315" i="33"/>
  <c r="N316" i="33"/>
  <c r="N317" i="33"/>
  <c r="N318" i="33"/>
  <c r="N319" i="33"/>
  <c r="N320" i="33"/>
  <c r="N321" i="33"/>
  <c r="N322" i="33"/>
  <c r="N323" i="33"/>
  <c r="N324" i="33"/>
  <c r="N325" i="33"/>
  <c r="N326" i="33"/>
  <c r="N327" i="33"/>
  <c r="N328" i="33"/>
  <c r="N329" i="33"/>
  <c r="N330" i="33"/>
  <c r="N331" i="33"/>
  <c r="N332" i="33"/>
  <c r="N333" i="33"/>
  <c r="N334" i="33"/>
  <c r="N335" i="33"/>
  <c r="N336" i="33"/>
  <c r="N337" i="33"/>
  <c r="N338" i="33"/>
  <c r="N339" i="33"/>
  <c r="N340" i="33"/>
  <c r="N341" i="33"/>
  <c r="N342" i="33"/>
  <c r="N343" i="33"/>
  <c r="N344" i="33"/>
  <c r="N345" i="33"/>
  <c r="N346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62" i="33"/>
  <c r="N363" i="33"/>
  <c r="N364" i="33"/>
  <c r="N365" i="33"/>
  <c r="N366" i="33"/>
  <c r="N367" i="33"/>
  <c r="N368" i="33"/>
  <c r="N369" i="33"/>
  <c r="N370" i="33"/>
  <c r="N371" i="33"/>
  <c r="N372" i="33"/>
  <c r="N373" i="33"/>
  <c r="N374" i="33"/>
  <c r="N375" i="33"/>
  <c r="N376" i="33"/>
  <c r="N377" i="33"/>
  <c r="N378" i="33"/>
  <c r="N379" i="33"/>
  <c r="N380" i="33"/>
  <c r="N381" i="33"/>
  <c r="N382" i="33"/>
  <c r="N383" i="33"/>
  <c r="N384" i="33"/>
  <c r="N385" i="33"/>
  <c r="N386" i="33"/>
  <c r="N387" i="33"/>
  <c r="N388" i="33"/>
  <c r="N389" i="33"/>
  <c r="N390" i="33"/>
  <c r="N391" i="33"/>
  <c r="N392" i="33"/>
  <c r="N393" i="33"/>
  <c r="N394" i="33"/>
  <c r="N395" i="33"/>
  <c r="N396" i="33"/>
  <c r="N397" i="33"/>
  <c r="N398" i="33"/>
  <c r="N399" i="33"/>
  <c r="N400" i="33"/>
  <c r="N401" i="33"/>
  <c r="N402" i="33"/>
  <c r="N403" i="33"/>
  <c r="N404" i="33"/>
  <c r="N405" i="33"/>
  <c r="N406" i="33"/>
  <c r="N407" i="33"/>
  <c r="N408" i="33"/>
  <c r="N409" i="33"/>
  <c r="N410" i="33"/>
  <c r="N411" i="33"/>
  <c r="N412" i="33"/>
  <c r="N413" i="33"/>
  <c r="N414" i="33"/>
  <c r="N415" i="33"/>
  <c r="N416" i="33"/>
  <c r="N417" i="33"/>
  <c r="N418" i="33"/>
  <c r="N419" i="33"/>
  <c r="N420" i="33"/>
  <c r="N421" i="33"/>
  <c r="N422" i="33"/>
  <c r="N423" i="33"/>
  <c r="N424" i="33"/>
  <c r="N425" i="33"/>
  <c r="N426" i="33"/>
  <c r="N427" i="33"/>
  <c r="N428" i="33"/>
  <c r="N429" i="33"/>
  <c r="N430" i="33"/>
  <c r="N431" i="33"/>
  <c r="N432" i="33"/>
  <c r="N433" i="33"/>
  <c r="N434" i="33"/>
  <c r="N435" i="33"/>
  <c r="N436" i="33"/>
  <c r="N437" i="33"/>
  <c r="N438" i="33"/>
  <c r="N439" i="33"/>
  <c r="N440" i="33"/>
  <c r="N441" i="33"/>
  <c r="N442" i="33"/>
  <c r="N443" i="33"/>
  <c r="N444" i="33"/>
  <c r="N445" i="33"/>
  <c r="N446" i="33"/>
  <c r="N447" i="33"/>
  <c r="N448" i="33"/>
  <c r="N449" i="33"/>
  <c r="N450" i="33"/>
  <c r="N451" i="33"/>
  <c r="N452" i="33"/>
  <c r="N453" i="33"/>
  <c r="N454" i="33"/>
  <c r="N455" i="33"/>
  <c r="N456" i="33"/>
  <c r="N457" i="33"/>
  <c r="N458" i="33"/>
  <c r="N459" i="33"/>
  <c r="N460" i="33"/>
  <c r="N461" i="33"/>
  <c r="N462" i="33"/>
  <c r="N463" i="33"/>
  <c r="N464" i="33"/>
  <c r="N465" i="33"/>
  <c r="N466" i="33"/>
  <c r="N467" i="33"/>
  <c r="N468" i="33"/>
  <c r="N469" i="33"/>
  <c r="N470" i="33"/>
  <c r="N471" i="33"/>
  <c r="N472" i="33"/>
  <c r="N473" i="33"/>
  <c r="N474" i="33"/>
  <c r="N475" i="33"/>
  <c r="N476" i="33"/>
  <c r="N477" i="33"/>
  <c r="N478" i="33"/>
  <c r="N479" i="33"/>
  <c r="N480" i="33"/>
  <c r="N481" i="33"/>
  <c r="N482" i="33"/>
  <c r="N483" i="33"/>
  <c r="N484" i="33"/>
  <c r="N485" i="33"/>
  <c r="N486" i="33"/>
  <c r="N487" i="33"/>
  <c r="N488" i="33"/>
  <c r="N489" i="33"/>
  <c r="N490" i="33"/>
  <c r="N491" i="33"/>
  <c r="N492" i="33"/>
  <c r="N493" i="33"/>
  <c r="N494" i="33"/>
  <c r="N495" i="33"/>
  <c r="N496" i="33"/>
  <c r="N497" i="33"/>
  <c r="N498" i="33"/>
  <c r="N499" i="33"/>
  <c r="N500" i="33"/>
  <c r="N501" i="33"/>
  <c r="N502" i="33"/>
  <c r="N503" i="33"/>
  <c r="N504" i="33"/>
  <c r="N505" i="33"/>
  <c r="N506" i="33"/>
  <c r="N507" i="33"/>
  <c r="N508" i="33"/>
  <c r="N509" i="33"/>
  <c r="N510" i="33"/>
  <c r="N511" i="33"/>
  <c r="N512" i="33"/>
  <c r="N513" i="33"/>
  <c r="N514" i="33"/>
  <c r="N515" i="33"/>
  <c r="N516" i="33"/>
  <c r="N517" i="33"/>
  <c r="N518" i="33"/>
  <c r="N519" i="33"/>
  <c r="N520" i="33"/>
  <c r="N521" i="33"/>
  <c r="N522" i="33"/>
  <c r="N523" i="33"/>
  <c r="N524" i="33"/>
  <c r="N525" i="33"/>
  <c r="N526" i="33"/>
  <c r="N527" i="33"/>
  <c r="N528" i="33"/>
  <c r="N529" i="33"/>
  <c r="N530" i="33"/>
  <c r="N531" i="33"/>
  <c r="N532" i="33"/>
  <c r="N533" i="33"/>
  <c r="N534" i="33"/>
  <c r="N535" i="33"/>
  <c r="N536" i="33"/>
  <c r="N537" i="33"/>
  <c r="N538" i="33"/>
  <c r="N539" i="33"/>
  <c r="N540" i="33"/>
  <c r="N541" i="33"/>
  <c r="N542" i="33"/>
  <c r="N543" i="33"/>
  <c r="N544" i="33"/>
  <c r="N545" i="33"/>
  <c r="N546" i="33"/>
  <c r="N547" i="33"/>
  <c r="N548" i="33"/>
  <c r="N549" i="33"/>
  <c r="N550" i="33"/>
  <c r="N551" i="33"/>
  <c r="N552" i="33"/>
  <c r="N553" i="33"/>
  <c r="N554" i="33"/>
  <c r="N555" i="33"/>
  <c r="N556" i="33"/>
  <c r="N557" i="33"/>
  <c r="N558" i="33"/>
  <c r="N559" i="33"/>
  <c r="N560" i="33"/>
  <c r="N561" i="33"/>
  <c r="N562" i="33"/>
  <c r="N563" i="33"/>
  <c r="N564" i="33"/>
  <c r="N565" i="33"/>
  <c r="N566" i="33"/>
  <c r="N567" i="33"/>
  <c r="N568" i="33"/>
  <c r="N569" i="33"/>
  <c r="N570" i="33"/>
  <c r="N571" i="33"/>
  <c r="N572" i="33"/>
  <c r="N573" i="33"/>
  <c r="N574" i="33"/>
  <c r="N575" i="33"/>
  <c r="N576" i="33"/>
  <c r="N577" i="33"/>
  <c r="N578" i="33"/>
  <c r="N579" i="33"/>
  <c r="N580" i="33"/>
  <c r="N581" i="33"/>
  <c r="N582" i="33"/>
  <c r="N583" i="33"/>
  <c r="N584" i="33"/>
  <c r="N585" i="33"/>
  <c r="N586" i="33"/>
  <c r="N587" i="33"/>
  <c r="N588" i="33"/>
  <c r="N589" i="33"/>
  <c r="N590" i="33"/>
  <c r="N591" i="33"/>
  <c r="N592" i="33"/>
  <c r="N593" i="33"/>
  <c r="N594" i="33"/>
  <c r="N595" i="33"/>
  <c r="N596" i="33"/>
  <c r="N597" i="33"/>
  <c r="N598" i="33"/>
  <c r="N599" i="33"/>
  <c r="N600" i="33"/>
  <c r="N601" i="33"/>
  <c r="N602" i="33"/>
  <c r="N603" i="33"/>
  <c r="N604" i="33"/>
  <c r="N605" i="33"/>
  <c r="N606" i="33"/>
  <c r="N607" i="33"/>
  <c r="N608" i="33"/>
  <c r="N609" i="33"/>
  <c r="N610" i="33"/>
  <c r="N611" i="33"/>
  <c r="N612" i="33"/>
  <c r="N613" i="33"/>
  <c r="N614" i="33"/>
  <c r="N616" i="33"/>
  <c r="N617" i="33"/>
  <c r="N618" i="33"/>
  <c r="N619" i="33"/>
  <c r="N620" i="33"/>
  <c r="N621" i="33"/>
  <c r="N622" i="33"/>
  <c r="N623" i="33"/>
  <c r="N624" i="33"/>
  <c r="N625" i="33"/>
  <c r="N626" i="33"/>
  <c r="N627" i="33"/>
  <c r="N628" i="33"/>
  <c r="N629" i="33"/>
  <c r="N630" i="33"/>
  <c r="N631" i="33"/>
  <c r="N632" i="33"/>
  <c r="N633" i="33"/>
  <c r="N634" i="33"/>
  <c r="N635" i="33"/>
  <c r="N636" i="33"/>
  <c r="N637" i="33"/>
  <c r="N638" i="33"/>
  <c r="N639" i="33"/>
  <c r="N640" i="33"/>
  <c r="N641" i="33"/>
  <c r="N642" i="33"/>
  <c r="N643" i="33"/>
  <c r="N644" i="33"/>
  <c r="N645" i="33"/>
  <c r="N646" i="33"/>
  <c r="N647" i="33"/>
  <c r="N648" i="33"/>
  <c r="N649" i="33"/>
  <c r="N650" i="33"/>
  <c r="N651" i="33"/>
  <c r="N652" i="33"/>
  <c r="N653" i="33"/>
  <c r="N654" i="33"/>
  <c r="N655" i="33"/>
  <c r="N656" i="33"/>
  <c r="N657" i="33"/>
  <c r="N658" i="33"/>
  <c r="N659" i="33"/>
  <c r="N660" i="33"/>
  <c r="N661" i="33"/>
  <c r="N662" i="33"/>
  <c r="N663" i="33"/>
  <c r="N664" i="33"/>
  <c r="N665" i="33"/>
  <c r="N666" i="33"/>
  <c r="N667" i="33"/>
  <c r="N668" i="33"/>
  <c r="N669" i="33"/>
  <c r="N670" i="33"/>
  <c r="N671" i="33"/>
  <c r="N672" i="33"/>
  <c r="N673" i="33"/>
  <c r="N674" i="33"/>
  <c r="N675" i="33"/>
  <c r="N676" i="33"/>
  <c r="N677" i="33"/>
  <c r="N678" i="33"/>
  <c r="N679" i="33"/>
  <c r="N680" i="33"/>
  <c r="N681" i="33"/>
  <c r="N682" i="33"/>
  <c r="N683" i="33"/>
  <c r="N684" i="33"/>
  <c r="N685" i="33"/>
  <c r="N686" i="33"/>
  <c r="N687" i="33"/>
  <c r="N688" i="33"/>
  <c r="N689" i="33"/>
  <c r="N690" i="33"/>
  <c r="N691" i="33"/>
  <c r="N692" i="33"/>
  <c r="N693" i="33"/>
  <c r="N694" i="33"/>
  <c r="N695" i="33"/>
  <c r="N696" i="33"/>
  <c r="N697" i="33"/>
  <c r="N698" i="33"/>
  <c r="N699" i="33"/>
  <c r="N700" i="33"/>
  <c r="N701" i="33"/>
  <c r="N702" i="33"/>
  <c r="N703" i="33"/>
  <c r="N704" i="33"/>
  <c r="N705" i="33"/>
  <c r="N706" i="33"/>
  <c r="N707" i="33"/>
  <c r="N708" i="33"/>
  <c r="N709" i="33"/>
  <c r="N710" i="33"/>
  <c r="N711" i="33"/>
  <c r="N712" i="33"/>
  <c r="N713" i="33"/>
  <c r="N714" i="33"/>
  <c r="N715" i="33"/>
  <c r="N716" i="33"/>
  <c r="N717" i="33"/>
  <c r="N718" i="33"/>
  <c r="N719" i="33"/>
  <c r="N720" i="33"/>
  <c r="N721" i="33"/>
  <c r="N722" i="33"/>
  <c r="N723" i="33"/>
  <c r="N724" i="33"/>
  <c r="N725" i="33"/>
  <c r="N726" i="33"/>
  <c r="N727" i="33"/>
  <c r="N728" i="33"/>
  <c r="N729" i="33"/>
  <c r="N730" i="33"/>
  <c r="N731" i="33"/>
  <c r="N732" i="33"/>
  <c r="N733" i="33"/>
  <c r="N734" i="33"/>
  <c r="N735" i="33"/>
  <c r="N736" i="33"/>
  <c r="N737" i="33"/>
  <c r="N738" i="33"/>
  <c r="N739" i="33"/>
  <c r="N740" i="33"/>
  <c r="N741" i="33"/>
  <c r="N742" i="33"/>
  <c r="N743" i="33"/>
  <c r="N744" i="33"/>
  <c r="N745" i="33"/>
  <c r="N746" i="33"/>
  <c r="N747" i="33"/>
  <c r="N748" i="33"/>
  <c r="N749" i="33"/>
  <c r="N750" i="33"/>
  <c r="N751" i="33"/>
  <c r="N752" i="33"/>
  <c r="N753" i="33"/>
  <c r="N754" i="33"/>
  <c r="N755" i="33"/>
  <c r="N756" i="33"/>
  <c r="N757" i="33"/>
  <c r="N758" i="33"/>
  <c r="N759" i="33"/>
  <c r="N760" i="33"/>
  <c r="N761" i="33"/>
  <c r="N762" i="33"/>
  <c r="N763" i="33"/>
  <c r="N764" i="33"/>
  <c r="N765" i="33"/>
  <c r="N766" i="33"/>
  <c r="N767" i="33"/>
  <c r="N768" i="33"/>
  <c r="N769" i="33"/>
  <c r="N770" i="33"/>
  <c r="N771" i="33"/>
  <c r="N772" i="33"/>
  <c r="N773" i="33"/>
  <c r="N774" i="33"/>
  <c r="N775" i="33"/>
  <c r="N776" i="33"/>
  <c r="N777" i="33"/>
  <c r="N778" i="33"/>
  <c r="N779" i="33"/>
  <c r="N780" i="33"/>
  <c r="N781" i="33"/>
  <c r="N782" i="33"/>
  <c r="N783" i="33"/>
  <c r="N784" i="33"/>
  <c r="N785" i="33"/>
  <c r="N786" i="33"/>
  <c r="N787" i="33"/>
  <c r="N788" i="33"/>
  <c r="N789" i="33"/>
  <c r="N790" i="33"/>
  <c r="N791" i="33"/>
  <c r="N792" i="33"/>
  <c r="N793" i="33"/>
  <c r="N794" i="33"/>
  <c r="N795" i="33"/>
  <c r="N796" i="33"/>
  <c r="N797" i="33"/>
  <c r="N798" i="33"/>
  <c r="N799" i="33"/>
  <c r="N800" i="33"/>
  <c r="N801" i="33"/>
  <c r="N802" i="33"/>
  <c r="N803" i="33"/>
  <c r="N804" i="33"/>
  <c r="N805" i="33"/>
  <c r="N806" i="33"/>
  <c r="N807" i="33"/>
  <c r="N808" i="33"/>
  <c r="N809" i="33"/>
  <c r="N810" i="33"/>
  <c r="N811" i="33"/>
  <c r="N812" i="33"/>
  <c r="N813" i="33"/>
  <c r="N814" i="33"/>
  <c r="N815" i="33"/>
  <c r="N816" i="33"/>
  <c r="N817" i="33"/>
  <c r="N818" i="33"/>
  <c r="N819" i="33"/>
  <c r="N820" i="33"/>
  <c r="N821" i="33"/>
  <c r="N822" i="33"/>
  <c r="N823" i="33"/>
  <c r="N824" i="33"/>
  <c r="N825" i="33"/>
  <c r="N826" i="33"/>
  <c r="N827" i="33"/>
  <c r="N828" i="33"/>
  <c r="N829" i="33"/>
  <c r="N830" i="33"/>
  <c r="N831" i="33"/>
  <c r="N832" i="33"/>
  <c r="N833" i="33"/>
  <c r="N834" i="33"/>
  <c r="N835" i="33"/>
  <c r="N836" i="33"/>
  <c r="N837" i="33"/>
  <c r="N838" i="33"/>
  <c r="N839" i="33"/>
  <c r="N840" i="33"/>
  <c r="N841" i="33"/>
  <c r="N842" i="33"/>
  <c r="N843" i="33"/>
  <c r="N844" i="33"/>
  <c r="N845" i="33"/>
  <c r="N846" i="33"/>
  <c r="N847" i="33"/>
  <c r="N848" i="33"/>
  <c r="N849" i="33"/>
  <c r="N850" i="33"/>
  <c r="N851" i="33"/>
  <c r="N852" i="33"/>
  <c r="N853" i="33"/>
  <c r="N854" i="33"/>
  <c r="N855" i="33"/>
  <c r="N856" i="33"/>
  <c r="N857" i="33"/>
  <c r="N858" i="33"/>
  <c r="N859" i="33"/>
  <c r="N860" i="33"/>
  <c r="N861" i="33"/>
  <c r="N862" i="33"/>
  <c r="N863" i="33"/>
  <c r="N864" i="33"/>
  <c r="N865" i="33"/>
  <c r="N866" i="33"/>
  <c r="N867" i="33"/>
  <c r="N868" i="33"/>
  <c r="N869" i="33"/>
  <c r="N870" i="33"/>
  <c r="N871" i="33"/>
  <c r="N872" i="33"/>
  <c r="N873" i="33"/>
  <c r="N874" i="33"/>
  <c r="N875" i="33"/>
  <c r="N876" i="33"/>
  <c r="N877" i="33"/>
  <c r="N878" i="33"/>
  <c r="N879" i="33"/>
  <c r="N880" i="33"/>
  <c r="N881" i="33"/>
  <c r="N882" i="33"/>
  <c r="N883" i="33"/>
  <c r="N884" i="33"/>
  <c r="N885" i="33"/>
  <c r="N886" i="33"/>
  <c r="N887" i="33"/>
  <c r="N888" i="33"/>
  <c r="N889" i="33"/>
  <c r="N890" i="33"/>
  <c r="N891" i="33"/>
  <c r="N892" i="33"/>
  <c r="N893" i="33"/>
  <c r="N894" i="33"/>
  <c r="N895" i="33"/>
  <c r="N896" i="33"/>
  <c r="N897" i="33"/>
  <c r="N898" i="33"/>
  <c r="N899" i="33"/>
  <c r="N900" i="33"/>
  <c r="N901" i="33"/>
  <c r="N902" i="33"/>
  <c r="N903" i="33"/>
  <c r="N904" i="33"/>
  <c r="N905" i="33"/>
  <c r="N906" i="33"/>
  <c r="N907" i="33"/>
  <c r="N908" i="33"/>
  <c r="N909" i="33"/>
  <c r="N910" i="33"/>
  <c r="N911" i="33"/>
  <c r="N912" i="33"/>
  <c r="N913" i="33"/>
  <c r="N914" i="33"/>
  <c r="N915" i="33"/>
  <c r="N916" i="33"/>
  <c r="N917" i="33"/>
  <c r="N918" i="33"/>
  <c r="N919" i="33"/>
  <c r="N920" i="33"/>
  <c r="N921" i="33"/>
  <c r="N922" i="33"/>
  <c r="N923" i="33"/>
  <c r="N924" i="33"/>
  <c r="N925" i="33"/>
  <c r="N926" i="33"/>
  <c r="N927" i="33"/>
  <c r="N928" i="33"/>
  <c r="N929" i="33"/>
  <c r="N930" i="33"/>
  <c r="N931" i="33"/>
  <c r="N932" i="33"/>
  <c r="N933" i="33"/>
  <c r="N934" i="33"/>
  <c r="N935" i="33"/>
  <c r="N936" i="33"/>
  <c r="N937" i="33"/>
  <c r="N938" i="33"/>
  <c r="N939" i="33"/>
  <c r="N940" i="33"/>
  <c r="N941" i="33"/>
  <c r="N942" i="33"/>
  <c r="N943" i="33"/>
  <c r="N944" i="33"/>
  <c r="N945" i="33"/>
  <c r="N946" i="33"/>
  <c r="N947" i="33"/>
  <c r="N948" i="33"/>
  <c r="N949" i="33"/>
  <c r="N950" i="33"/>
  <c r="N951" i="33"/>
  <c r="N952" i="33"/>
  <c r="N953" i="33"/>
  <c r="N954" i="33"/>
  <c r="N955" i="33"/>
  <c r="N956" i="33"/>
  <c r="N957" i="33"/>
  <c r="N958" i="33"/>
  <c r="N959" i="33"/>
  <c r="N960" i="33"/>
  <c r="N961" i="33"/>
  <c r="N962" i="33"/>
  <c r="N963" i="33"/>
  <c r="N964" i="33"/>
  <c r="N965" i="33"/>
  <c r="N966" i="33"/>
  <c r="N967" i="33"/>
  <c r="N968" i="33"/>
  <c r="N969" i="33"/>
  <c r="N970" i="33"/>
  <c r="N971" i="33"/>
  <c r="N972" i="33"/>
  <c r="N973" i="33"/>
  <c r="N974" i="33"/>
  <c r="N975" i="33"/>
  <c r="N976" i="33"/>
  <c r="N977" i="33"/>
  <c r="N978" i="33"/>
  <c r="N979" i="33"/>
  <c r="N980" i="33"/>
  <c r="N981" i="33"/>
  <c r="N982" i="33"/>
  <c r="N983" i="33"/>
  <c r="N984" i="33"/>
  <c r="N985" i="33"/>
  <c r="N986" i="33"/>
  <c r="N987" i="33"/>
  <c r="N988" i="33"/>
  <c r="N989" i="33"/>
  <c r="N990" i="33"/>
  <c r="N991" i="33"/>
  <c r="N992" i="33"/>
  <c r="N993" i="33"/>
  <c r="N994" i="33"/>
  <c r="N995" i="33"/>
  <c r="N996" i="33"/>
  <c r="N997" i="33"/>
  <c r="N998" i="33"/>
  <c r="N999" i="33"/>
  <c r="N1000" i="33"/>
  <c r="N1001" i="33"/>
  <c r="N1002" i="33"/>
  <c r="N1003" i="33"/>
  <c r="N1004" i="33"/>
  <c r="N1005" i="33"/>
  <c r="N1006" i="33"/>
  <c r="N1007" i="33"/>
  <c r="N1008" i="33"/>
  <c r="N1009" i="33"/>
  <c r="N1010" i="33"/>
  <c r="N1011" i="33"/>
  <c r="N1012" i="33"/>
  <c r="N1013" i="33"/>
  <c r="N1014" i="33"/>
  <c r="N1015" i="33"/>
  <c r="N1016" i="33"/>
  <c r="N1017" i="33"/>
  <c r="N1018" i="33"/>
  <c r="N1019" i="33"/>
  <c r="N1020" i="33"/>
  <c r="N1021" i="33"/>
  <c r="N1022" i="33"/>
  <c r="N1023" i="33"/>
  <c r="N1024" i="33"/>
  <c r="N1025" i="33"/>
  <c r="N1026" i="33"/>
  <c r="N1027" i="33"/>
  <c r="N1028" i="33"/>
  <c r="N1029" i="33"/>
  <c r="N1030" i="33"/>
  <c r="N1031" i="33"/>
  <c r="N1032" i="33"/>
  <c r="N1033" i="33"/>
  <c r="N1034" i="33"/>
  <c r="N1035" i="33"/>
  <c r="N1036" i="33"/>
  <c r="N1037" i="33"/>
  <c r="N1038" i="33"/>
  <c r="N1039" i="33"/>
  <c r="N1040" i="33"/>
  <c r="N1041" i="33"/>
  <c r="N1042" i="33"/>
  <c r="N1043" i="33"/>
  <c r="N1044" i="33"/>
  <c r="N1045" i="33"/>
  <c r="N1046" i="33"/>
  <c r="N1047" i="33"/>
  <c r="N1048" i="33"/>
  <c r="N1049" i="33"/>
  <c r="N1050" i="33"/>
  <c r="N1051" i="33"/>
  <c r="N1052" i="33"/>
  <c r="N1053" i="33"/>
  <c r="N1054" i="33"/>
  <c r="N1055" i="33"/>
  <c r="N1056" i="33"/>
  <c r="N1057" i="33"/>
  <c r="N1058" i="33"/>
  <c r="N1059" i="33"/>
  <c r="N1060" i="33"/>
  <c r="N1061" i="33"/>
  <c r="N1062" i="33"/>
  <c r="N1063" i="33"/>
  <c r="N1064" i="33"/>
  <c r="N1065" i="33"/>
  <c r="N1066" i="33"/>
  <c r="N1067" i="33"/>
  <c r="N1068" i="33"/>
  <c r="N1069" i="33"/>
  <c r="N1070" i="33"/>
  <c r="N1071" i="33"/>
  <c r="N1072" i="33"/>
  <c r="N1073" i="33"/>
  <c r="N1074" i="33"/>
  <c r="N1075" i="33"/>
  <c r="N1076" i="33"/>
  <c r="N1077" i="33"/>
  <c r="N1078" i="33"/>
  <c r="N1079" i="33"/>
  <c r="N1080" i="33"/>
  <c r="N1081" i="33"/>
  <c r="N1082" i="33"/>
  <c r="N1083" i="33"/>
  <c r="N1084" i="33"/>
  <c r="N1085" i="33"/>
  <c r="N1086" i="33"/>
  <c r="N1087" i="33"/>
  <c r="N1088" i="33"/>
  <c r="N1089" i="33"/>
  <c r="N1090" i="33"/>
  <c r="N1091" i="33"/>
  <c r="N1092" i="33"/>
  <c r="N1093" i="33"/>
  <c r="N1094" i="33"/>
  <c r="N1095" i="33"/>
  <c r="N1096" i="33"/>
  <c r="N1097" i="33"/>
  <c r="N1098" i="33"/>
  <c r="N1099" i="33"/>
  <c r="N1100" i="33"/>
  <c r="N1101" i="33"/>
  <c r="N1102" i="33"/>
  <c r="N1103" i="33"/>
  <c r="N1104" i="33"/>
  <c r="N1105" i="33"/>
  <c r="N1106" i="33"/>
  <c r="N1107" i="33"/>
  <c r="N1108" i="33"/>
  <c r="N1109" i="33"/>
  <c r="N1110" i="33"/>
  <c r="N1111" i="33"/>
  <c r="N1112" i="33"/>
  <c r="N1113" i="33"/>
  <c r="N1114" i="33"/>
  <c r="N1115" i="33"/>
  <c r="N1116" i="33"/>
  <c r="N1117" i="33"/>
  <c r="N1118" i="33"/>
  <c r="N1119" i="33"/>
  <c r="N1120" i="33"/>
  <c r="N1121" i="33"/>
  <c r="N1122" i="33"/>
  <c r="N1123" i="33"/>
  <c r="N1124" i="33"/>
  <c r="N1125" i="33"/>
  <c r="N1126" i="33"/>
  <c r="N1127" i="33"/>
  <c r="N1128" i="33"/>
  <c r="N1129" i="33"/>
  <c r="N1130" i="33"/>
  <c r="N1131" i="33"/>
  <c r="N1132" i="33"/>
  <c r="N1133" i="33"/>
  <c r="N1134" i="33"/>
  <c r="N1135" i="33"/>
  <c r="N1136" i="33"/>
  <c r="N1137" i="33"/>
  <c r="N1138" i="33"/>
  <c r="N1139" i="33"/>
  <c r="N1140" i="33"/>
  <c r="N1141" i="33"/>
  <c r="N1142" i="33"/>
  <c r="N1143" i="33"/>
  <c r="N1144" i="33"/>
  <c r="N1145" i="33"/>
  <c r="N1146" i="33"/>
  <c r="N1147" i="33"/>
  <c r="N1148" i="33"/>
  <c r="N1149" i="33"/>
  <c r="N1150" i="33"/>
  <c r="N1151" i="33"/>
  <c r="N1152" i="33"/>
  <c r="N1153" i="33"/>
  <c r="N1154" i="33"/>
  <c r="N1155" i="33"/>
  <c r="N1156" i="33"/>
  <c r="N1157" i="33"/>
  <c r="N1158" i="33"/>
  <c r="N1159" i="33"/>
  <c r="N1160" i="33"/>
  <c r="N1161" i="33"/>
  <c r="N1162" i="33"/>
  <c r="N1163" i="33"/>
  <c r="N1164" i="33"/>
  <c r="N1165" i="33"/>
  <c r="N1166" i="33"/>
  <c r="N1167" i="33"/>
  <c r="N1168" i="33"/>
  <c r="N1169" i="33"/>
  <c r="N1170" i="33"/>
  <c r="N1171" i="33"/>
  <c r="N1172" i="33"/>
  <c r="N1173" i="33"/>
  <c r="N1174" i="33"/>
  <c r="N2" i="33"/>
</calcChain>
</file>

<file path=xl/sharedStrings.xml><?xml version="1.0" encoding="utf-8"?>
<sst xmlns="http://schemas.openxmlformats.org/spreadsheetml/2006/main" count="38319" uniqueCount="1781">
  <si>
    <t>Matrícula</t>
  </si>
  <si>
    <t>Nome</t>
  </si>
  <si>
    <t>Observação</t>
  </si>
  <si>
    <t>Data Admissão</t>
  </si>
  <si>
    <t>Cargo Básico-Descrição</t>
  </si>
  <si>
    <t>Centro Custo</t>
  </si>
  <si>
    <t>Centro Custo-Descrição</t>
  </si>
  <si>
    <t>Estabelecimento-Descrição</t>
  </si>
  <si>
    <t>Data Desligamento</t>
  </si>
  <si>
    <t>Unid Lotação-Descrição</t>
  </si>
  <si>
    <t>Gestor</t>
  </si>
  <si>
    <t>Coordenador</t>
  </si>
  <si>
    <t>Supervisor</t>
  </si>
  <si>
    <t>Junção - Gestor, Coordenador e Supervisor</t>
  </si>
  <si>
    <t>ABIMAEL DE JESUS BARBOZA</t>
  </si>
  <si>
    <t>Ativo</t>
  </si>
  <si>
    <t>MOTORISTA II</t>
  </si>
  <si>
    <t>CACAU PERENE</t>
  </si>
  <si>
    <t>SANTA COLOMBA AGROPEC S/A - MATRIZ</t>
  </si>
  <si>
    <t>Campo Agricola Cacau</t>
  </si>
  <si>
    <t>ALEX DIAS</t>
  </si>
  <si>
    <t>ABRAAO DOS SANTOS OLIVEIRA</t>
  </si>
  <si>
    <t>AUXILIAR DE MANUTENÇÃO</t>
  </si>
  <si>
    <t>M&amp;R AUTOMOTIVA - KARITEL</t>
  </si>
  <si>
    <t>Manutenção Mecanica Karitel</t>
  </si>
  <si>
    <t>RAFAEL XAVIER</t>
  </si>
  <si>
    <t>ADAILSON FRANCISCO DA SILVA</t>
  </si>
  <si>
    <t>OPERADOR DE EMPILHADEIRA</t>
  </si>
  <si>
    <t>USINA - CACAU</t>
  </si>
  <si>
    <t>Usina Cacau</t>
  </si>
  <si>
    <t>ADAILTON GONCALVES DE CASTRO</t>
  </si>
  <si>
    <t>AUXILIAR DE SERVIÇOS GERAIS</t>
  </si>
  <si>
    <t>EUCALIPTO</t>
  </si>
  <si>
    <t>Eucalipto Capex</t>
  </si>
  <si>
    <t>ADELCINO DE JESUS FERREIRA</t>
  </si>
  <si>
    <t>FACILITIES - KARITEL</t>
  </si>
  <si>
    <t>Facilities - Karitel</t>
  </si>
  <si>
    <t>Campo Agricola Cacau - CAPEX</t>
  </si>
  <si>
    <t>ADELIO GONCALVES DE OLIVEIRA</t>
  </si>
  <si>
    <t>ADELSON MENDES PEREIRA</t>
  </si>
  <si>
    <t>TRABALHADOR RURAL POLIVALENTE</t>
  </si>
  <si>
    <t>ADEMARIO CRUZ DOS SANTOS</t>
  </si>
  <si>
    <t>AUXILIAR DE MONTAGEM</t>
  </si>
  <si>
    <t>SISTEMA BOMBEAMENTO/ IRRIGACAO - KARITEL</t>
  </si>
  <si>
    <t>Manuteção Elétrica</t>
  </si>
  <si>
    <t>IVONEI PEREIRA CAMPOS</t>
  </si>
  <si>
    <t>ADENILTON RODRIGUES DE SOUSA</t>
  </si>
  <si>
    <t>COMPRADOR JR</t>
  </si>
  <si>
    <t>COMPRAS</t>
  </si>
  <si>
    <t>Compras</t>
  </si>
  <si>
    <t>ANDREZA LARDO</t>
  </si>
  <si>
    <t>ADENITE RODRIGUES CALDEIRA</t>
  </si>
  <si>
    <t>SOLDADOR II</t>
  </si>
  <si>
    <t>ADILSON DA COSTA FARIAS</t>
  </si>
  <si>
    <t>ADIMAR GONCALVES DOS SANTOS</t>
  </si>
  <si>
    <t>APONTADOR DE PRODUÇÃO</t>
  </si>
  <si>
    <t>ALGODOEIRA - PATIO ARMAZENAGEM</t>
  </si>
  <si>
    <t>Algodoeira</t>
  </si>
  <si>
    <t>ADINILTON GONCALVES DE CASTRO</t>
  </si>
  <si>
    <t>ADMAR GONCALVES DA COSTA</t>
  </si>
  <si>
    <t>OPERADOR DE MAQS AGRICOLAS PL</t>
  </si>
  <si>
    <t>CACAU CUSTEIO</t>
  </si>
  <si>
    <t>ADONIAS FELICIANO BARBOSA</t>
  </si>
  <si>
    <t>ADONIAS LOURENCO DOS SANTOS</t>
  </si>
  <si>
    <t>MANUT. PREDIAL/EDIFICACOES - KARITEL</t>
  </si>
  <si>
    <t>Manutenção Predial Karitel</t>
  </si>
  <si>
    <t>ADRIANO BATISTA PORTO</t>
  </si>
  <si>
    <t>AUXILIAR DE PULVERIZAÇÃO</t>
  </si>
  <si>
    <t>CAMPO AGRICOLA - GRAOS</t>
  </si>
  <si>
    <t>Pulverização Rio do Meio</t>
  </si>
  <si>
    <t>ADRIANO DE OLIVEIRA BARBOSA</t>
  </si>
  <si>
    <t>AUXILIAR DE VIVEIRO</t>
  </si>
  <si>
    <t>OPERADOR DE ALGODOEIRA I</t>
  </si>
  <si>
    <t>SILO</t>
  </si>
  <si>
    <t>Silo</t>
  </si>
  <si>
    <t>ISAC NONATO</t>
  </si>
  <si>
    <t>ADRIELLE PEREIRA DOS ANJOS</t>
  </si>
  <si>
    <t>APRENDIZ</t>
  </si>
  <si>
    <t>Programas Corporativos</t>
  </si>
  <si>
    <t>AFONSO GUILHERME XAVIER COUTO</t>
  </si>
  <si>
    <t>MOTORISTA CATEGORIA E</t>
  </si>
  <si>
    <t>Campo Agricola Grãos</t>
  </si>
  <si>
    <t>AGNALDO LIMA DOS SANTOS</t>
  </si>
  <si>
    <t>OPERADOR DE SISTEMA DE IRRIGACAO II</t>
  </si>
  <si>
    <t>PLANEJAMENTO IRRIGACAO</t>
  </si>
  <si>
    <t>Planejamento Irrigação Grãos</t>
  </si>
  <si>
    <t>AILTON MOURA DE ALCANTARA</t>
  </si>
  <si>
    <t>PEDREIRO II</t>
  </si>
  <si>
    <t>ALAIZA SILVA SANTOS</t>
  </si>
  <si>
    <t>VIVEIRO - CACAU</t>
  </si>
  <si>
    <t>ALAN RODRIGUES DE MOURA</t>
  </si>
  <si>
    <t>OPERADOR DE SISTEMA DE IRRIGACAO I</t>
  </si>
  <si>
    <t>Desligado</t>
  </si>
  <si>
    <t>TECNICO AGRICOLA I</t>
  </si>
  <si>
    <t>Pulverização Grãos</t>
  </si>
  <si>
    <t>LUAN ABADIA</t>
  </si>
  <si>
    <t>ALCIDES SANTOS DA SILVA PEREIRA</t>
  </si>
  <si>
    <t>MOTORISTA DE COMBOIO</t>
  </si>
  <si>
    <t>ALCIONE OLIVEIRA VIANA</t>
  </si>
  <si>
    <t>TECNICO SISTEMA DE IRRIGACAO</t>
  </si>
  <si>
    <t>ALDAIR BORGES DOS ANJOS</t>
  </si>
  <si>
    <t>COORDENADOR AGROINDUSTRIAL</t>
  </si>
  <si>
    <t>USINA BENEFICIAMENTO - ALGODAO</t>
  </si>
  <si>
    <t>Gestor Algodoeira</t>
  </si>
  <si>
    <t>ALDAIR JOSE GONSALVES</t>
  </si>
  <si>
    <t>OPERADOR MAQS AGRIC MANTENEDOR</t>
  </si>
  <si>
    <t>ALEANDRO SANTOS OLIVEIRA</t>
  </si>
  <si>
    <t>ALESSANDRO ALVES BRITO</t>
  </si>
  <si>
    <t>ALESSANDRO FERREIRA DE SOUZA</t>
  </si>
  <si>
    <t>MECANICO AUTOMOTIVO I</t>
  </si>
  <si>
    <t>ALEX DOS SANTOS DIAS</t>
  </si>
  <si>
    <t>COORDENADOR DE CAMPO PL</t>
  </si>
  <si>
    <t>Gestor Cacau</t>
  </si>
  <si>
    <t>ALEX FERREIRA DE SOUZA</t>
  </si>
  <si>
    <t>ANALISTA DE FACILITIES PL</t>
  </si>
  <si>
    <t>ALEXANDRO LOPES DOMINGUES</t>
  </si>
  <si>
    <t>OPERADOR DE SISTEMA DE IRRIGAÇÃO III</t>
  </si>
  <si>
    <t>ALEXSANDRO DE JESUS BISPO</t>
  </si>
  <si>
    <t>ALISSON ANDRADE LOPES</t>
  </si>
  <si>
    <t>ALISSON RODRIGUES DA SILVA</t>
  </si>
  <si>
    <t>ALOISIO OLIVEIRA CARVALHO</t>
  </si>
  <si>
    <t>TECNICO AGRICOLA III</t>
  </si>
  <si>
    <t>PLANEJAMENTO AGRICOLA - GRAOS</t>
  </si>
  <si>
    <t>Apontamento Karitel</t>
  </si>
  <si>
    <t>MATHEUS FERNANDES</t>
  </si>
  <si>
    <t>FRANCISCO ALBANO UCHOA NETO</t>
  </si>
  <si>
    <t>ANANIAS RODRIGUES DE SOUZA</t>
  </si>
  <si>
    <t>OP DE MAQS E IMPLEMENTOS AGRIC</t>
  </si>
  <si>
    <t>ANDERSON ALVES DOS SANTOS</t>
  </si>
  <si>
    <t>ASSISTENTE MELHORIA CONTINUA</t>
  </si>
  <si>
    <t>MELHORIA CONTINUA - KARITEL</t>
  </si>
  <si>
    <t>Melhoria Continua - Karitel</t>
  </si>
  <si>
    <t xml:space="preserve">GISELE NASCENTE </t>
  </si>
  <si>
    <t>ANDERSON NERY BISPO RIBEIRO</t>
  </si>
  <si>
    <t>ANDREI DOS SANTOS OLIVEIRA</t>
  </si>
  <si>
    <t>OPERACOES</t>
  </si>
  <si>
    <t>ADM Karitel</t>
  </si>
  <si>
    <t>ANEZIO JOAQUIM DA ROCHA</t>
  </si>
  <si>
    <t>OPERADOR DE MAQS AGRICOLAS JR</t>
  </si>
  <si>
    <t>ANGELA NUNES LOPES</t>
  </si>
  <si>
    <t>ANTONIO LUIZ ALVES DE SOUZA</t>
  </si>
  <si>
    <t>MOTORISTA DE MUNCK</t>
  </si>
  <si>
    <t>Campo Agricola Rio do Meio</t>
  </si>
  <si>
    <t>TALLES BALIZA</t>
  </si>
  <si>
    <t>ANTONIO PEREIRA DA COSTA</t>
  </si>
  <si>
    <t>APARECIDO LIMA DE BRITO</t>
  </si>
  <si>
    <t>TECNICO DE PRODUÇÃO II</t>
  </si>
  <si>
    <t>ARIVELTON CARVALHO GUIMARAES</t>
  </si>
  <si>
    <t>ATENIAS DOS SANTOS BARROS</t>
  </si>
  <si>
    <t>OPERADOR DE ALGODOEIRA III</t>
  </si>
  <si>
    <t>AURICELIO VIEIRA ALHO</t>
  </si>
  <si>
    <t>BEATRIZ AZEVEDO ANDRADE</t>
  </si>
  <si>
    <t>ASSIST ALMOXARIFADO I</t>
  </si>
  <si>
    <t>ALMOXARIFADO - KARITEL</t>
  </si>
  <si>
    <t>Almoxarifado - Karitel</t>
  </si>
  <si>
    <t>BENEDITA PEREIRA DOS ANJOS NEVES</t>
  </si>
  <si>
    <t>AUXILIAR DE FACILITIES</t>
  </si>
  <si>
    <t>BERNARDINO COSTA BARBOSA</t>
  </si>
  <si>
    <t>CASEIRO (A)</t>
  </si>
  <si>
    <t>BOAZ SANTOS FERREIRA</t>
  </si>
  <si>
    <t>MECANICO AUTOMOTIVO III</t>
  </si>
  <si>
    <t>BRUNO JOSE DE OLIVEIRA</t>
  </si>
  <si>
    <t>ELETRICISTA AUTOMOTIVO III</t>
  </si>
  <si>
    <t>BRUNO SANTOS DIAS</t>
  </si>
  <si>
    <t>OPERADOR DE CALDEIRA</t>
  </si>
  <si>
    <t>BRUNO SOARES DE ALVIM</t>
  </si>
  <si>
    <t>OPERADOR DE MAQS AGRICOLAS SR</t>
  </si>
  <si>
    <t>Colheita Grãos</t>
  </si>
  <si>
    <t>CARLITO COSTA BARBOSA</t>
  </si>
  <si>
    <t>CARLOS ALEXANDRE GOMES NOGUEIRA</t>
  </si>
  <si>
    <t>CARLOS EDUARDO PEREIRA DA SILVA</t>
  </si>
  <si>
    <t>CARLOS GERMANO NUNES DOS SANTOS</t>
  </si>
  <si>
    <t>CARLOS HENRIQUE GOMES DOS SANTOS</t>
  </si>
  <si>
    <t>ELETRICISTA AUTOMOTIVO I</t>
  </si>
  <si>
    <t>CARLOS HENRIQUE JARDIM SAMPAIO</t>
  </si>
  <si>
    <t>ASSIST EXPED E FATURAMENTO I</t>
  </si>
  <si>
    <t>CARLOS PEREIRA DA SILVA</t>
  </si>
  <si>
    <t>CAUE DOS SANTOS GONCALVES</t>
  </si>
  <si>
    <t>CELIO SOUZA VARGAS</t>
  </si>
  <si>
    <t>MECANICO AUTOMOTIVO ESPEC</t>
  </si>
  <si>
    <t>CESAR DE SOUZA LOPES</t>
  </si>
  <si>
    <t>CIDINEY DA CONCEICAO</t>
  </si>
  <si>
    <t>CLAUDEMIR NERES DE SOUZA</t>
  </si>
  <si>
    <t>CLAUDINEI ARAUJO CARVALHO</t>
  </si>
  <si>
    <t>CLEBSON RODRIGUES DA SILVA</t>
  </si>
  <si>
    <t>ELETRICISTA III</t>
  </si>
  <si>
    <t>M&amp;R ELETRICA - KARITEL</t>
  </si>
  <si>
    <t>CLEISSON FERREIRA LIMA</t>
  </si>
  <si>
    <t>TECNICO AGRICOLA II</t>
  </si>
  <si>
    <t>CLEITON DOS SANTOS LACERDA</t>
  </si>
  <si>
    <t>CLEITON DOS SANTOS RIBEIRO</t>
  </si>
  <si>
    <t>CLEITON DOURADO DE SOUZA</t>
  </si>
  <si>
    <t>CLEITON GONCALVES DE CASTRO</t>
  </si>
  <si>
    <t>CLEITON SANTOS BARROS</t>
  </si>
  <si>
    <t>CLEITON SOARES CARVALHO</t>
  </si>
  <si>
    <t>COORDENADOR OPERACIONAL</t>
  </si>
  <si>
    <t>DIRETORIA AGRICOLA</t>
  </si>
  <si>
    <t>Gestao Diretoria</t>
  </si>
  <si>
    <t>CRISTIANO DA SILVA BARBOSA</t>
  </si>
  <si>
    <t>SUPERVISOR DE CAMPO PL</t>
  </si>
  <si>
    <t>DAILSON LOPES SOARES</t>
  </si>
  <si>
    <t>DALMIR MACIEL BARBOSA</t>
  </si>
  <si>
    <t>DANIEL DE OLIVEIRA FRANCA</t>
  </si>
  <si>
    <t>DANIEL DOS SANTOS SILVA</t>
  </si>
  <si>
    <t>DARLEY MACIEL BARBOSA</t>
  </si>
  <si>
    <t>DENIS ACACIO SANTOS ARAUJO</t>
  </si>
  <si>
    <t>SUPERVISOR DE FACILITIES</t>
  </si>
  <si>
    <t>DEYLIANE FARIAS SALIS</t>
  </si>
  <si>
    <t>ANALISTA DE FACILITIES JR</t>
  </si>
  <si>
    <t>DIEGO GONCALVES PEREIRA</t>
  </si>
  <si>
    <t>DIEGO PEREIRA DE BARROS</t>
  </si>
  <si>
    <t>DIMAURI PEREIRA DOS SANTOS</t>
  </si>
  <si>
    <t>DIOGO BARRETO MAGALHAES</t>
  </si>
  <si>
    <t>PESQUISADOR</t>
  </si>
  <si>
    <t>SSMA - KARITEL</t>
  </si>
  <si>
    <t>Meio Ambiente e Qualidade</t>
  </si>
  <si>
    <t>CARSON NEVES</t>
  </si>
  <si>
    <t>OPERADOR DE ALGODOEIRA II</t>
  </si>
  <si>
    <t>DIONIZIO DOMINGOS DA SILVA</t>
  </si>
  <si>
    <t>MECANICO AUTOMOTIVO II</t>
  </si>
  <si>
    <t>DIVAN DE SOUSA SANTOS</t>
  </si>
  <si>
    <t>DIVINO MESSIAS RIBEIRO</t>
  </si>
  <si>
    <t>CONSELHO</t>
  </si>
  <si>
    <t>DOMINGOS PEREIRA CARDOSO NETO</t>
  </si>
  <si>
    <t>DOUGLAS KENNEDY PEREIRA DA SILVA</t>
  </si>
  <si>
    <t>EDIENIA PEREIRA DA SILVA</t>
  </si>
  <si>
    <t>EDILEY BARROS LOPES</t>
  </si>
  <si>
    <t>EDILSON PEREIRA DA CUNHA</t>
  </si>
  <si>
    <t>EDIMAURO OLIVEIRA DOS SANTOS</t>
  </si>
  <si>
    <t>EDINALDO CALDEIRA DE MOURA</t>
  </si>
  <si>
    <t>AUXILIAR DE LIMPEZA</t>
  </si>
  <si>
    <t>EDIS MOREIRA DOS SANTOS</t>
  </si>
  <si>
    <t>EDIVALDO GONCALVES DA COSTA</t>
  </si>
  <si>
    <t>Ativo/Mudança de Função</t>
  </si>
  <si>
    <t>EDNALDO JOSE OLIVEIRA DA SILVA</t>
  </si>
  <si>
    <t>EDSON GONCALVES DOS SANTOS</t>
  </si>
  <si>
    <t>EDSON OLIVEIRA DOS SANTOS</t>
  </si>
  <si>
    <t>Manuteção Irrigação</t>
  </si>
  <si>
    <t>TECNICO DE ENFERMAGEM</t>
  </si>
  <si>
    <t>SSMA - Karitel</t>
  </si>
  <si>
    <t>ENGENHEIRO AGRONOMO</t>
  </si>
  <si>
    <t>Gestor de Grãos IV</t>
  </si>
  <si>
    <t>ELEM CAMILE SILVA DOS SANTOS</t>
  </si>
  <si>
    <t>ELISANGELA PEREIRA BARBOSA</t>
  </si>
  <si>
    <t>ELISMAR OLIVEIRA DE SOUZA</t>
  </si>
  <si>
    <t>TRATORISTA RURAL</t>
  </si>
  <si>
    <t>ELISON BRITO DOS SANTOS</t>
  </si>
  <si>
    <t>ELSON DOS SANTOS SERRA</t>
  </si>
  <si>
    <t>ENILTON RIBEIRO DOS SANTOS</t>
  </si>
  <si>
    <t>TECNICO EM SEG DO TRABALHO SR</t>
  </si>
  <si>
    <t>EUDES DE CARVALHO FERNANDES</t>
  </si>
  <si>
    <t>SUPERVISOR DE PRODUÇÃO SR</t>
  </si>
  <si>
    <t>EVERSON COSTA BARBOSA</t>
  </si>
  <si>
    <t>EVERSON NUNES DOS SANTOS</t>
  </si>
  <si>
    <t>FABIANA MENDES GONCALVES DE JESUS</t>
  </si>
  <si>
    <t>TECNICO DE PRODUÇÃO III</t>
  </si>
  <si>
    <t>BIOFABRICA - KARITEL</t>
  </si>
  <si>
    <t>Biofabrica - Karitel</t>
  </si>
  <si>
    <t>MATHEUS ALMEIDA</t>
  </si>
  <si>
    <t>FABIANO JESUS DIAS</t>
  </si>
  <si>
    <t>SUPERVISOR DE CAMPO JR</t>
  </si>
  <si>
    <t>FABIO JUNIOR GOMES DE ALMEIDA</t>
  </si>
  <si>
    <t>FABIO JUNIOR PEREIRA DE SOUSA</t>
  </si>
  <si>
    <t>FABIO VITOR BARBOSA DE MELO</t>
  </si>
  <si>
    <t>FABRICIO JESUS DOS SANTOS</t>
  </si>
  <si>
    <t>FARLEY JUNIO SANTOS DE AGUIAR</t>
  </si>
  <si>
    <t>FERNANDO DA SILVA BORGES</t>
  </si>
  <si>
    <t>FERNANDO FARIAS ARAUJO</t>
  </si>
  <si>
    <t>AUXILIAR DE ELETRICISTA</t>
  </si>
  <si>
    <t>FERNANDO TRINDADE DA SILVA</t>
  </si>
  <si>
    <t>AUXILIAR DE CLASSIFICADOR</t>
  </si>
  <si>
    <t>FILIPE SANTANA DE ASSIS</t>
  </si>
  <si>
    <t>FLAVIO PEREIRA DE SOUSA</t>
  </si>
  <si>
    <t>Apontamento Graos/Tabaco</t>
  </si>
  <si>
    <t>FRANCISCO MAGALHAES DE OLIVEIRA</t>
  </si>
  <si>
    <t>GABRIEL ALVES DE SANTANA</t>
  </si>
  <si>
    <t>ANALISTA GENTE E GESTAO JR</t>
  </si>
  <si>
    <t>GENTE &amp; GESTAO</t>
  </si>
  <si>
    <t>Gente e Gestão</t>
  </si>
  <si>
    <t>GABRIEL PEREIRA DA SILVA</t>
  </si>
  <si>
    <t>GENIVALDO JOSE DOS SANTOS</t>
  </si>
  <si>
    <t>GERALDO OLIVEIRA DOS SANTOS</t>
  </si>
  <si>
    <t>PLANEJADOR DE MANUTENCAO JR</t>
  </si>
  <si>
    <t>GERLAN PEREIRA BARBOSA</t>
  </si>
  <si>
    <t>GILMAR SILVA DOS SANTOS</t>
  </si>
  <si>
    <t>GILSON FARIAS DOS SANTOS</t>
  </si>
  <si>
    <t>ELETRICISTA AUTOMOTIVO II</t>
  </si>
  <si>
    <t>GILVANDO DOS SANTOS</t>
  </si>
  <si>
    <t>GILVANIO MACIEL DA SILVA</t>
  </si>
  <si>
    <t>GILVANIO MOURA RIBAS</t>
  </si>
  <si>
    <t>GIOVANE CARDOSO DA SILVA</t>
  </si>
  <si>
    <t>TECNICO FERTIRRIGAÇÃO</t>
  </si>
  <si>
    <t>OPERADOR DE EMPILHADEIRA MANIP</t>
  </si>
  <si>
    <t>GUILHERME OTAVIO VILAS BOAS MONTALVAO</t>
  </si>
  <si>
    <t>TECNICO AUTOMAÇÃO AGRICOLA JR</t>
  </si>
  <si>
    <t>HELENILSON MOREIRA DOS SANTOS</t>
  </si>
  <si>
    <t>HELIO DA COSTA DOS SANTOS</t>
  </si>
  <si>
    <t>HELIO FERREIRA DA ROCHA</t>
  </si>
  <si>
    <t>HELIZENE MONTALVAO DA SILVA</t>
  </si>
  <si>
    <t>ASSISTENTE ADMINISTRATIVO II</t>
  </si>
  <si>
    <t>HERCULES DE HOLANDA SILVA</t>
  </si>
  <si>
    <t>HERMINIO ANTONIO DE SOUZA</t>
  </si>
  <si>
    <t>OPERADOR DE ARMAZÉM</t>
  </si>
  <si>
    <t>IDELSON NOGUEIRA DOS SANTOS</t>
  </si>
  <si>
    <t>MECANICO DE MANUT ALGODOEIRA</t>
  </si>
  <si>
    <t>IDENIAS OLIVEIRA DE SOUZA</t>
  </si>
  <si>
    <t>INALDO PORTO DE BRITO</t>
  </si>
  <si>
    <t>IRON OLIVEIRA DOS SANTOS</t>
  </si>
  <si>
    <t>ISAC SOUZA NONATO</t>
  </si>
  <si>
    <t>ISAEL SANTOS DE MELO</t>
  </si>
  <si>
    <t>ISAIME ALVES DA SILVEIRA</t>
  </si>
  <si>
    <t>ITAUANA DE OLIVEIRA SANTOS</t>
  </si>
  <si>
    <t>IVAN JOSE FERREIRA</t>
  </si>
  <si>
    <t>IVANEI COSTA DA SILVA</t>
  </si>
  <si>
    <t>IVANILSON BARBOSA DE CASTRO</t>
  </si>
  <si>
    <t>SUPERVISOR DE MANUT ELETRICA</t>
  </si>
  <si>
    <t>JAELSON DOS REIS SILVA</t>
  </si>
  <si>
    <t>JAILSON DA COSTA GONCALVES</t>
  </si>
  <si>
    <t>JAILSON FELICIANO GONCALVES</t>
  </si>
  <si>
    <t>JAILSON LEANDRO MONTALVAO</t>
  </si>
  <si>
    <t>JAILTON BARBOSA DE OLIVEIRA</t>
  </si>
  <si>
    <t>JAILTON TRINDADE BISPO</t>
  </si>
  <si>
    <t>JAIME FRANCISCO ARARA DOS SANTOS</t>
  </si>
  <si>
    <t>ANALISTA GENTE E GESTÃO SR</t>
  </si>
  <si>
    <t>JAIME MACIEL DE SOUZA</t>
  </si>
  <si>
    <t>JAMILSON DA SILVA OLIVEIRA</t>
  </si>
  <si>
    <t>SOLDADOR III</t>
  </si>
  <si>
    <t>JARBAS GABRIEL FERNANDES DOS SANTOS</t>
  </si>
  <si>
    <t>ASSISTENTE ADMINISTRATIVO III</t>
  </si>
  <si>
    <t>JEFERSON SOUZA DA CRUZ</t>
  </si>
  <si>
    <t>JEOVANO GONCALVES PEREIRA</t>
  </si>
  <si>
    <t>JESONITE PEREIRA DA COSTA</t>
  </si>
  <si>
    <t>JOAO CARLOS BASTOS COSTA</t>
  </si>
  <si>
    <t>JOAO DANIEL SANTOS DE SOUSA</t>
  </si>
  <si>
    <t>JOAO DOS SANTOS LIMA</t>
  </si>
  <si>
    <t>JOAO FRANCISCO DE SOUSA</t>
  </si>
  <si>
    <t>TECNICO DE PRODUÇÃO I</t>
  </si>
  <si>
    <t>JOAO JOSE DE JESUS FERREIRA</t>
  </si>
  <si>
    <t>JOAO MANOEL BARBOSA DA CRUZ</t>
  </si>
  <si>
    <t>JOAO PAULO DE CARVALHO LIMA</t>
  </si>
  <si>
    <t>JOAO PAULO PESSOA CELESTINO</t>
  </si>
  <si>
    <t>JOAO PAULO SANTOS DE SOUSA</t>
  </si>
  <si>
    <t>JOAO PEDRO DIAS DE ARAUJO</t>
  </si>
  <si>
    <t>JOAO VICTOR SOUZA DA PAIXAO</t>
  </si>
  <si>
    <t>JOAO VITOR DE OLIVEIRA MOURA</t>
  </si>
  <si>
    <t>JORGIANO REIS DO NASCIMENTO</t>
  </si>
  <si>
    <t>JOSE ANTONIO GONCALVES MACIEL</t>
  </si>
  <si>
    <t>JOSE ANTONIO RODRIGUES FERREIRA</t>
  </si>
  <si>
    <t>JOSE BARBOSA DE OLIVEIRA</t>
  </si>
  <si>
    <t>JOSE CARLOS MARTINS DOS SANTOS JUNIOR</t>
  </si>
  <si>
    <t>JOSE DE JESUS BARBOSA</t>
  </si>
  <si>
    <t>JOSE DIVINO COSTA BARBOSA</t>
  </si>
  <si>
    <t>JOSE DONIZETTI GOUVEA</t>
  </si>
  <si>
    <t>GERENTE DE CAMPO</t>
  </si>
  <si>
    <t>JOSE JOAQUIM DA ROCHA</t>
  </si>
  <si>
    <t>JOSE MANOEL GONCALVES COSTA</t>
  </si>
  <si>
    <t>JOSE NILSON PEREIRA DE SOUZA</t>
  </si>
  <si>
    <t>JOSE NUNES GONÇALVES</t>
  </si>
  <si>
    <t>JOSE PEREIRA DOS SANTOS</t>
  </si>
  <si>
    <t>JOSE TEIXEIRA FILHO</t>
  </si>
  <si>
    <t>JOSE WILSON CAMARGO DE CASTRO</t>
  </si>
  <si>
    <t>JOSEILTON CONCEICAO SANTOS</t>
  </si>
  <si>
    <t>ASSISTENTE DE VIVEIRO I</t>
  </si>
  <si>
    <t>COORDENADOR DE CAMPO JR</t>
  </si>
  <si>
    <t>JOSEMAR DO BOMFIM LESSA</t>
  </si>
  <si>
    <t>JOSENI PAULO OLVEIRA DA COSTA</t>
  </si>
  <si>
    <t>JOSENILTON ROSA DA SILVA</t>
  </si>
  <si>
    <t>JOSIANDRO PEREIRA NUNES</t>
  </si>
  <si>
    <t>SUPERVISOR MANUTENÇÃO AGRIC</t>
  </si>
  <si>
    <t>JUAREZ NERES PEREIRA</t>
  </si>
  <si>
    <t>JUBRAI DA COSTA BISPO</t>
  </si>
  <si>
    <t>OPERADOR PRODUCAO II</t>
  </si>
  <si>
    <t>JUCILEIA NUNES DOS SANTOS</t>
  </si>
  <si>
    <t>JULIA SANTOS CAMARGO</t>
  </si>
  <si>
    <t>JULIANA BEATRIZ CALDEIRA DE MOURA ARAUJO</t>
  </si>
  <si>
    <t>JUNIO COSTA BARBOSA</t>
  </si>
  <si>
    <t>JUNIO HENRIQUE DE SOUZA COSTA</t>
  </si>
  <si>
    <t>JUNIO LIMA DOS SANTOS</t>
  </si>
  <si>
    <t>JUNIO MICLOS DE SOUZA</t>
  </si>
  <si>
    <t>JUSCIMAURA CASTRO DA COSTA</t>
  </si>
  <si>
    <t>JUVENILE ALVES CARNEIRO</t>
  </si>
  <si>
    <t>ELETRICISTA INDUSTRIAL</t>
  </si>
  <si>
    <t>KAIKE SANTOS SOUSA</t>
  </si>
  <si>
    <t>KAILAN DE SOUZA SILVA</t>
  </si>
  <si>
    <t>KALITO WILK VIEIRA DA SILVA</t>
  </si>
  <si>
    <t>COI - CENTRO OPER. IRRIGACAO</t>
  </si>
  <si>
    <t>KATIELLE SOUSA ROCHA CHAVES</t>
  </si>
  <si>
    <t>ENFERMEIRO DO TRABALHO II</t>
  </si>
  <si>
    <t>KAUA BOMFIM FERRO</t>
  </si>
  <si>
    <t>KAUA DAVID BRITO DE SOUZA</t>
  </si>
  <si>
    <t>KAUAN ALLEX MOURA SOUZA</t>
  </si>
  <si>
    <t>KAYQUE CARDOSO DA SILVA</t>
  </si>
  <si>
    <t>ANALISTA DE SUPORTE JR</t>
  </si>
  <si>
    <t>TI</t>
  </si>
  <si>
    <t>TI - Karitel</t>
  </si>
  <si>
    <t>KEILA DA SILVA MOREIRA</t>
  </si>
  <si>
    <t>KESSIA DOS SANTOS JESUS</t>
  </si>
  <si>
    <t>KEYTON SANTANA DE JESUS GUEDES</t>
  </si>
  <si>
    <t>KLEBSON DA SILVA SANTOS</t>
  </si>
  <si>
    <t>LAILTON DA SILVA CASTRO</t>
  </si>
  <si>
    <t>LARISSA SOUSA OLIVEIRA</t>
  </si>
  <si>
    <t>LAUDEN LUCAS LOPES PIMENTA</t>
  </si>
  <si>
    <t>LAURA KAMILLY DE SOUZA MOURA</t>
  </si>
  <si>
    <t>LEANDRO FERREIRA DOS SANTOS</t>
  </si>
  <si>
    <t>LEANDRO NUNES BARROS</t>
  </si>
  <si>
    <t>LEANDRO RODRIGUES SIMAS</t>
  </si>
  <si>
    <t>ANALISTA DE SUPORTE PL</t>
  </si>
  <si>
    <t>LEANDRO SOUZA DA ROCHA</t>
  </si>
  <si>
    <t>ESPECIALISTA EM SEG TRABALHO</t>
  </si>
  <si>
    <t>LEIDJANE CARDOSO MARTINS</t>
  </si>
  <si>
    <t>GERENTE GENTE E GESTAO</t>
  </si>
  <si>
    <t>Gestor de Gente e Gestão</t>
  </si>
  <si>
    <t>LEONARDO CALDEIRA DE OLIVEIRA</t>
  </si>
  <si>
    <t>LEONARDO DA SILVA SANTOS</t>
  </si>
  <si>
    <t>SUPERVISOR DE OPERAÇÕES</t>
  </si>
  <si>
    <t>LEONARDO GOMES DA SILVA</t>
  </si>
  <si>
    <t>LEONIDAS PEREIRA DA SILVA</t>
  </si>
  <si>
    <t>LIDIO TRINDADE DE BARROS</t>
  </si>
  <si>
    <t>OPERADOR PRODUCAO I</t>
  </si>
  <si>
    <t>LINCOLN FELLIPE SOARES SOUTO</t>
  </si>
  <si>
    <t>LOURISVALDO DE SOUZA LIMA</t>
  </si>
  <si>
    <t>LUAN ABADIA DA SILVA</t>
  </si>
  <si>
    <t>ESPECIALISTA DE PLANEJAMENTO</t>
  </si>
  <si>
    <t>ANALISTA MELHORIA CONTINUA PL</t>
  </si>
  <si>
    <t>LUCAS FERNANDES SEABRA</t>
  </si>
  <si>
    <t>LUCAS MAURICIO DA SILVA</t>
  </si>
  <si>
    <t>LUCAS NOGUEIRA DOS SANTOS</t>
  </si>
  <si>
    <t>MECANICO INDUSTRIAL</t>
  </si>
  <si>
    <t>TORNEIRO MECANICO II</t>
  </si>
  <si>
    <t>LUCINELIO DOMINGUES DOS SANTOS</t>
  </si>
  <si>
    <t>LUCIO FERREIRA DOS SANTOS</t>
  </si>
  <si>
    <t>LUIS CARLOS MOURA DOS SANTOS</t>
  </si>
  <si>
    <t>LUIS FERNANDO OLIVEIRA CARVALHO</t>
  </si>
  <si>
    <t>AUXILIAR DE TRAINEE</t>
  </si>
  <si>
    <t>LUIZ FERNANDO SOARES DE ALVIM</t>
  </si>
  <si>
    <t>LUIZ NUNES DA SILVA</t>
  </si>
  <si>
    <t>LUIZ PEREIRA DE SOUSA</t>
  </si>
  <si>
    <t>MAELSON QUINTAL DE MOURA</t>
  </si>
  <si>
    <t>MAELTON NUNES DOS SANTOS</t>
  </si>
  <si>
    <t>MAGNO DE SENA SOARES</t>
  </si>
  <si>
    <t>MAGNO LACERDA DOS SANTOS</t>
  </si>
  <si>
    <t>MANOEL TIMOTEO NOGUEIRA SOARES</t>
  </si>
  <si>
    <t>MANOELINO JOAQUIM DA ROCHA</t>
  </si>
  <si>
    <t>MARCELINO JOAQUIM DA ROCHA</t>
  </si>
  <si>
    <t>MARCELO CANDIDO LIMA ALECRIM</t>
  </si>
  <si>
    <t>MARCELO LIMA DOS SANTOS</t>
  </si>
  <si>
    <t>ASSISTENTE ADMINISTRATIVO I</t>
  </si>
  <si>
    <t>JURIDICO</t>
  </si>
  <si>
    <t>Juridico - Karitel</t>
  </si>
  <si>
    <t xml:space="preserve">RAFAEL VIRGENS </t>
  </si>
  <si>
    <t>MARCIEL DIAS LOPES</t>
  </si>
  <si>
    <t>MARCIO BATISTA DE SOUZA</t>
  </si>
  <si>
    <t>MARCIO PEREIRA DE OLIVEIRA</t>
  </si>
  <si>
    <t>MARCO AURELIO GUEDES TEIXEIRA</t>
  </si>
  <si>
    <t>MARCOS ANTONIO SOUSA OLIVEIRA</t>
  </si>
  <si>
    <t>MARCOS BARBOSA GONÇALVES</t>
  </si>
  <si>
    <t>MARCOS DE SOUZA FERNANDES</t>
  </si>
  <si>
    <t>SUPERVISOR DE CAMPO SR</t>
  </si>
  <si>
    <t>MARCOS VINICIUS DE SOUZA SILVA</t>
  </si>
  <si>
    <t>SUPERVISOR DE MANUT IRRIGACAO</t>
  </si>
  <si>
    <t>MARCOS VINICIUS GUEDES COUTINHO</t>
  </si>
  <si>
    <t>MARIA APARECIDA DE JESUS</t>
  </si>
  <si>
    <t>MARIA APARECIDA PEREIRA DOS SANTOS</t>
  </si>
  <si>
    <t>MARIA DE FATIMA OLIVEIRA DE CASTRO</t>
  </si>
  <si>
    <t>MARIA EDUARDA LOPES DE LIRA</t>
  </si>
  <si>
    <t>MARIANE SOARES LIMA FREIRE</t>
  </si>
  <si>
    <t>MARIANO NOGUEIRA DA ANUNCIAÇÃO</t>
  </si>
  <si>
    <t>MARIO BARBOSA DE ARAUJO</t>
  </si>
  <si>
    <t>MARISON OLIVEIRA DOS SANTOS BARROS</t>
  </si>
  <si>
    <t>MARLON JOSE MACIEL BARBOSA</t>
  </si>
  <si>
    <t>MATEUS DE JESUS SIZILI</t>
  </si>
  <si>
    <t>MATEUS SANTOS DE SOUZA</t>
  </si>
  <si>
    <t>MATHEUS HENRIQUE ARAUJO DE OLIVEIRA</t>
  </si>
  <si>
    <t>MATHEUS LULA DA SILVA</t>
  </si>
  <si>
    <t>LAVADOR</t>
  </si>
  <si>
    <t>MATHEUS TOBIAS FERNANDES</t>
  </si>
  <si>
    <t>GERENTE DE PLANEJ E CONTROLE</t>
  </si>
  <si>
    <t>MAURICIO DOS SANTOS OLIVEIRA</t>
  </si>
  <si>
    <t>MAURICIO FERREIRA SANTOS</t>
  </si>
  <si>
    <t>MAURICIO GONCALVES DE CASTRO</t>
  </si>
  <si>
    <t>MAURO DOS SANTOS OLIVEIRA</t>
  </si>
  <si>
    <t>MOISES RODRIGUES GONCALVES</t>
  </si>
  <si>
    <t>NATALI VITORIA SILVA REIS</t>
  </si>
  <si>
    <t>NATAN DA SILVA RODRIGUES</t>
  </si>
  <si>
    <t>NEILSON NERIS BATISTA DE ALMEIDA</t>
  </si>
  <si>
    <t>NEILTON DA SILVA MOTA</t>
  </si>
  <si>
    <t>NILSON MARCOS DE MELO</t>
  </si>
  <si>
    <t>NILVAN FRANCISCO DA SILVA</t>
  </si>
  <si>
    <t>NIQUELI DA COSTA CARNEIRO</t>
  </si>
  <si>
    <t>NOEL FERREIRA COSTA</t>
  </si>
  <si>
    <t>OLIMPIO PEREIRA DA ROCHA</t>
  </si>
  <si>
    <t>ORNELE RODRIGUES NERES</t>
  </si>
  <si>
    <t>PAULINHO DE SOUSA SILVA</t>
  </si>
  <si>
    <t>PAULO HENRIQUE CARLOS DA SILVA</t>
  </si>
  <si>
    <t>PAULO HENRIQUE DA SILVA E SILVA</t>
  </si>
  <si>
    <t>PAULO HENRIQUE RODRIGUES BARBOSA</t>
  </si>
  <si>
    <t>PAULO JEFERSON MARINHO DA SILVA</t>
  </si>
  <si>
    <t>PEDRO HENRIQUE DOS SANTOS FERREIRA</t>
  </si>
  <si>
    <t>PHYLLYPE LUANN DE JESUS SOBRINHO</t>
  </si>
  <si>
    <t>RAFAEL DA SILVA PINTO</t>
  </si>
  <si>
    <t>RAFAEL DA TRINDADE AGUIAR</t>
  </si>
  <si>
    <t>RAFAEL DE JESUS SILVA</t>
  </si>
  <si>
    <t>RAFAELA SOUZA DOS SANTOS</t>
  </si>
  <si>
    <t>RAIMUNDO GONCALVES DE CASTRO</t>
  </si>
  <si>
    <t>RAIMUNDO MONTEIRO DE SOUZA</t>
  </si>
  <si>
    <t>RANDER DE SOUZA MACIEL DOS SANTOS</t>
  </si>
  <si>
    <t>RANYELA CARNEIRO DOS SANTOS</t>
  </si>
  <si>
    <t>AUXILIAR DE SERVIÇOS DE CAMPO</t>
  </si>
  <si>
    <t>SUPERVISOR DE MANUTENÇÃO CIVIL</t>
  </si>
  <si>
    <t>RAUELIO REIS DE OLIVIERA GONCALVES</t>
  </si>
  <si>
    <t>REGINA PEREIRA ROCHA</t>
  </si>
  <si>
    <t>RENA PEREIRA FAGUNDES</t>
  </si>
  <si>
    <t>RENATO NERES DOS SANTOS</t>
  </si>
  <si>
    <t>REUBER MOREIRA DOS SANTOS</t>
  </si>
  <si>
    <t>RICARDO PEREIRA DO NASCIMENTO</t>
  </si>
  <si>
    <t>OPERADOR DE MOTONIVELADORA II</t>
  </si>
  <si>
    <t>ROBEILTO PEREIRA DOS SANTOS</t>
  </si>
  <si>
    <t>ROBSON BATISTA SOUZA</t>
  </si>
  <si>
    <t>ROBSON CARDOSO DOS SANTOS</t>
  </si>
  <si>
    <t>ROBSON DA CRUZ MAGALHAES</t>
  </si>
  <si>
    <t>ROBSON LOPES DELGADO</t>
  </si>
  <si>
    <t>RODRIGO SOUZA ALECRIM</t>
  </si>
  <si>
    <t>ROGERIO ALVES DA SILVA</t>
  </si>
  <si>
    <t>ROGERIO CARNEIRO DA COSTA</t>
  </si>
  <si>
    <t>ROGERIO NUNES GONCALVES</t>
  </si>
  <si>
    <t>ROGERIO SANTOS DE AZEVEDO</t>
  </si>
  <si>
    <t>ROMARIO DOS SANTOS BARROS</t>
  </si>
  <si>
    <t>ROMARIO GONCALVES DE CASTRO</t>
  </si>
  <si>
    <t>RONI ALVES PEREIRA</t>
  </si>
  <si>
    <t>RONIVON ALVES DE OLIVEIRA</t>
  </si>
  <si>
    <t>ROSALIA DOS SANTOS CUNHA</t>
  </si>
  <si>
    <t>ROSELENO DE JESUS FERREIRA</t>
  </si>
  <si>
    <t>SALVADOR MONTEIRO DOS SANTOS</t>
  </si>
  <si>
    <t>SANTILINO FELICIANO BARBOSA</t>
  </si>
  <si>
    <t>SERGIO RIBEIRO DAS NEVES</t>
  </si>
  <si>
    <t>SINDOVAL PEREIRA DE OLIVEIRA</t>
  </si>
  <si>
    <t>SUELLEN ALEXANDRINO DOS SANTOS</t>
  </si>
  <si>
    <t>SUZANE DE CASTRO SILVA</t>
  </si>
  <si>
    <t>TAMIRES CORREIA BISPO</t>
  </si>
  <si>
    <t>THALES RYAN DE SOUZA PEREIRA</t>
  </si>
  <si>
    <t>THIAGO ROGER CALDEIRA DE ALMEIDA</t>
  </si>
  <si>
    <t>TULYO FERREIRA COSTA</t>
  </si>
  <si>
    <t>UANDERSON CARDOSO DO BOMFIM</t>
  </si>
  <si>
    <t>UELITON DE JESUS BRITO</t>
  </si>
  <si>
    <t>VAGNER XAVIER DA SILVA</t>
  </si>
  <si>
    <t>VAILSON COSTA DA CUNHA</t>
  </si>
  <si>
    <t>VALDECI TRINDADE DOS SANTOS</t>
  </si>
  <si>
    <t>VALDIR MOREIRA LOPES</t>
  </si>
  <si>
    <t>VALDIVINO JOAQUIM DA ROCHA</t>
  </si>
  <si>
    <t>VANDERLI BISPO FERREIRA</t>
  </si>
  <si>
    <t>VERA LUCIA COSTA BORGES</t>
  </si>
  <si>
    <t>VICTOR GABRIEL DIAS NEVES</t>
  </si>
  <si>
    <t>VILTON DO CARMO SOUZA</t>
  </si>
  <si>
    <t>WALECES DA SILVA ABRANTES</t>
  </si>
  <si>
    <t>WALISON ALMEIDA SANTOS LIMA</t>
  </si>
  <si>
    <t>ASSISTENTE IRRIGACAO II</t>
  </si>
  <si>
    <t>WALLAN JUNIO NEVES BRITO</t>
  </si>
  <si>
    <t>WANDERSON COSTA DA CRUZ</t>
  </si>
  <si>
    <t>WANDRES SANTOS ANDRADE</t>
  </si>
  <si>
    <t>WARLEY PEREIRA RIBEIRO</t>
  </si>
  <si>
    <t>WARLISSON CARDOSO DA SILVA</t>
  </si>
  <si>
    <t>WASCONCELOS DE SOUZA FERNANDES</t>
  </si>
  <si>
    <t>WASLEY VIEIRA PACHECO JUNIOR</t>
  </si>
  <si>
    <t>WEDSON JOAQUIM BARBOSA</t>
  </si>
  <si>
    <t>WELITON VIANA DE SOUZA</t>
  </si>
  <si>
    <t>WELLINGTON MORAIS DOS SANTOS</t>
  </si>
  <si>
    <t>WELLINGTON NASCIMENTO DOS SANTOS</t>
  </si>
  <si>
    <t>SERRALHEIRO</t>
  </si>
  <si>
    <t>WESLEY RODRIGUES DOS SANTOS</t>
  </si>
  <si>
    <t>ZILTON PEREIRA DE SOUZA</t>
  </si>
  <si>
    <t>ADNA SABRINA FERREIRA DOS SANTOS</t>
  </si>
  <si>
    <t>SANTA COLOMBA AGROPEC S/A - SÃO PAULO</t>
  </si>
  <si>
    <t>Gente e Gestão - SP</t>
  </si>
  <si>
    <t>ALEX GOLDSTEIN GARBATI BECKER</t>
  </si>
  <si>
    <t>ANALISTA DE LOGISTICA SR</t>
  </si>
  <si>
    <t>COMERCIAL</t>
  </si>
  <si>
    <t>Comercial - SP</t>
  </si>
  <si>
    <t>RAFAEL NETTO</t>
  </si>
  <si>
    <t>GERENTE DE SUPPLY CHAIN</t>
  </si>
  <si>
    <t>DIRETORIA FINANCEIRA</t>
  </si>
  <si>
    <t>Gestor Compras</t>
  </si>
  <si>
    <t>RENAN ROVAI</t>
  </si>
  <si>
    <t>BRENO HENRIQUE LODES</t>
  </si>
  <si>
    <t>PLANEJAMENTO FINANCEIRO</t>
  </si>
  <si>
    <t>Planejamento Financeiro</t>
  </si>
  <si>
    <t>RAFAEL PREVELATO</t>
  </si>
  <si>
    <t>CAIO DOS SANTOS ZOPPETTI</t>
  </si>
  <si>
    <t>ANALISTA COMERCIAL JR</t>
  </si>
  <si>
    <t>CARLOS EDUARDO TONZAR CARNEIRO DA SILVA</t>
  </si>
  <si>
    <t>ANALISTA DE CONTAB E CUSTOS SR</t>
  </si>
  <si>
    <t>CONTABIL</t>
  </si>
  <si>
    <t>Contabil - SP</t>
  </si>
  <si>
    <t>THALITA SABINA</t>
  </si>
  <si>
    <t>CARLOS LEANDRO MARTINS OLIVEIRA</t>
  </si>
  <si>
    <t>DIRETOR DE OPERAÇÕES</t>
  </si>
  <si>
    <t>DIRETORIA</t>
  </si>
  <si>
    <t>Diretoria de Operações</t>
  </si>
  <si>
    <t>MIGUEL PRADO</t>
  </si>
  <si>
    <t>CRISTIANE CAVALCANTI TRAJANO DA SILVA</t>
  </si>
  <si>
    <t>ANALISTA FISCAL JR</t>
  </si>
  <si>
    <t>FISCAL</t>
  </si>
  <si>
    <t>Fiscal - SP</t>
  </si>
  <si>
    <t>DAYANA DA SILVA LAGES BOMFIM</t>
  </si>
  <si>
    <t>ESTAGIARIO</t>
  </si>
  <si>
    <t>FERNANDA BALDI DE MENEZES</t>
  </si>
  <si>
    <t>SECRETARIA</t>
  </si>
  <si>
    <t>FACILITIES SP</t>
  </si>
  <si>
    <t>TI - SP</t>
  </si>
  <si>
    <t>GISELE NASCENTE</t>
  </si>
  <si>
    <t>DIRETOR GENTE E GESTAO E SUST.</t>
  </si>
  <si>
    <t>Diretoria Gente &amp; Gestão</t>
  </si>
  <si>
    <t>GUILHERME SANTOS SILVA</t>
  </si>
  <si>
    <t>JAQUELINE REIS DE OLIVEIRA</t>
  </si>
  <si>
    <t>ANALISTA FISCAL PL</t>
  </si>
  <si>
    <t>JOAO MATEUS DE OLIVEIRA GORGULHO JUNIOR</t>
  </si>
  <si>
    <t>GERENTE DE T.I.</t>
  </si>
  <si>
    <t>Gerencia de TI</t>
  </si>
  <si>
    <t>JOSE VINICIUS DE SOUZA FERREIRA</t>
  </si>
  <si>
    <t>ASSISTENTE DE COMPRAS</t>
  </si>
  <si>
    <t>KATIA SANTANA DE PAIVA</t>
  </si>
  <si>
    <t>ANALISTA CONTABIL SR</t>
  </si>
  <si>
    <t>LAYANE AZEVEDO DE LIMA</t>
  </si>
  <si>
    <t>LEANDRA MAURICIO GONCALVES DA SILVA</t>
  </si>
  <si>
    <t>LUCIANA DA SILVA CARDIM PUGLIESE</t>
  </si>
  <si>
    <t>ESPECIALISTA DE GENTE E GESTÃO</t>
  </si>
  <si>
    <t>LUCIANO VILELA DA SILVA</t>
  </si>
  <si>
    <t>ANALISTA JURIDICO</t>
  </si>
  <si>
    <t>Juridico - SP</t>
  </si>
  <si>
    <t>MIGUEL DA CUNHA GONÇALVES PRADO</t>
  </si>
  <si>
    <t>DIRETOR GERAL</t>
  </si>
  <si>
    <t>Direção Geral</t>
  </si>
  <si>
    <t>MILENE ALVES LEAO MATOS</t>
  </si>
  <si>
    <t>ANALISTA FINANCEIRO PL</t>
  </si>
  <si>
    <t>TESOURARIA</t>
  </si>
  <si>
    <t>Tesouraria - SP</t>
  </si>
  <si>
    <t>MONICA MACHADO MOREIRA</t>
  </si>
  <si>
    <t>ANALISTA FINANCEIRO SR</t>
  </si>
  <si>
    <t>NICHOLLAS SILVA DE OLIVEIRA</t>
  </si>
  <si>
    <t>RAFAEL DA SILVA VIRGENS</t>
  </si>
  <si>
    <t>COORDENADOR JURIDICO</t>
  </si>
  <si>
    <t>RAFAEL GUIMARÃES DE ALMEIDA NETTO</t>
  </si>
  <si>
    <t>GERENTE COMERCIAL</t>
  </si>
  <si>
    <t>GERENTE PLANEJ E TESOURARIA</t>
  </si>
  <si>
    <t>Gestor Planejamento Financeiro</t>
  </si>
  <si>
    <t>RENAN ZUMPANO ROVAI</t>
  </si>
  <si>
    <t>DIRETOR FINANCEIRO</t>
  </si>
  <si>
    <t>Diretoria Financeira</t>
  </si>
  <si>
    <t>SIBELY MOURA SANTOS</t>
  </si>
  <si>
    <t>THALITA SABINA DA SILVA</t>
  </si>
  <si>
    <t>Gestor Contabil e Custos</t>
  </si>
  <si>
    <t>VINICIUS COLOMBO MARQUES</t>
  </si>
  <si>
    <t>ANALISTA DE SISTEMAS</t>
  </si>
  <si>
    <t>VINICIUS SANTANA BRITO SILVA</t>
  </si>
  <si>
    <t>AUXILIAR DE COMPRAS</t>
  </si>
  <si>
    <t>WILLIAM RICARDO GARCIA</t>
  </si>
  <si>
    <t>ESPECIALISTA DE TESOURARIA</t>
  </si>
  <si>
    <t>WYARA FERNANDA DA SILVA ALVES</t>
  </si>
  <si>
    <t>SANTA COLOMBA AGROPEC S/A - GRÃOS/ALGODA</t>
  </si>
  <si>
    <t>EDNALDO SOUZA PEREIRA</t>
  </si>
  <si>
    <t>JOSE JOAQUIM BARBOSA</t>
  </si>
  <si>
    <t>PRODUCAO E CURA - TABACO</t>
  </si>
  <si>
    <t>SANTA COLOMBA AGROPEC S/A - TABACO</t>
  </si>
  <si>
    <t>Unloading Tabaco</t>
  </si>
  <si>
    <t>ABELINO MOURA DE MELO</t>
  </si>
  <si>
    <t>VIVEIRO - TABACO</t>
  </si>
  <si>
    <t>Green House Tabaco</t>
  </si>
  <si>
    <t>CRISOSTOMO CASTRO</t>
  </si>
  <si>
    <t>JOSIEL NEVES</t>
  </si>
  <si>
    <t>ADAILSON DA SILVA SANTOS</t>
  </si>
  <si>
    <t>CAMPO AGRICOLA - TABACO</t>
  </si>
  <si>
    <t>Desponte Tabaco</t>
  </si>
  <si>
    <t>ADAILTON CASTRO MORAIS</t>
  </si>
  <si>
    <t>Transplante Tabaco</t>
  </si>
  <si>
    <t>ADAILTON NUNES DE MOURA</t>
  </si>
  <si>
    <t>M&amp;R AUTOMOTIVA - TABACO</t>
  </si>
  <si>
    <t>Manutenção Agrícola Tabaco</t>
  </si>
  <si>
    <t>MARCELO DOURADO</t>
  </si>
  <si>
    <t>ADALTON RORIZ DE SOUZA</t>
  </si>
  <si>
    <t>ADAO NETO DA SILVA BARBOSA</t>
  </si>
  <si>
    <t>ADELSON MACIEL COSTA DE ALMEIDA</t>
  </si>
  <si>
    <t>Controle Fitosanitário - MIP</t>
  </si>
  <si>
    <t>ADELSON PEREIRA ROCHA</t>
  </si>
  <si>
    <t>Colheita Tabaco</t>
  </si>
  <si>
    <t>ADELVANIO NEVES DE OLIVEIRA</t>
  </si>
  <si>
    <t>Curing/Loading Tabaco</t>
  </si>
  <si>
    <t>ADEMIR MOURA CALDEIRA</t>
  </si>
  <si>
    <t>OPERADOR DE UTILIDADES</t>
  </si>
  <si>
    <t>ADILIO CASSIANO SALES NEVES</t>
  </si>
  <si>
    <t>ADRIANO AFONSO DE QUEIROZ MAGALHAES</t>
  </si>
  <si>
    <t>ADRIANO ALVES DE OLIVEIRA</t>
  </si>
  <si>
    <t>ADRIANO DE SOUZA PEREIRA</t>
  </si>
  <si>
    <t>AGNALDO VICTOR DOS REIS AMADO</t>
  </si>
  <si>
    <t>AILTON SANTOS BORGES</t>
  </si>
  <si>
    <t>ALCENO FERNANDES PEREIRA JUNIOR</t>
  </si>
  <si>
    <t>SSMA - TABACO</t>
  </si>
  <si>
    <t>ALDAIR DE MOURA DE BRITO</t>
  </si>
  <si>
    <t>ALESSANDRO SOARES DOS SANTOS</t>
  </si>
  <si>
    <t>Preparo Solo Tabaco</t>
  </si>
  <si>
    <t>ALESSANDRO VIEIRA DE AMARAL</t>
  </si>
  <si>
    <t>MANUTENCAO INDUSTRIAL - TABACO</t>
  </si>
  <si>
    <t>Manutenção Industrial Tabaco</t>
  </si>
  <si>
    <t>IURY GUEDES</t>
  </si>
  <si>
    <t>ALEX COELHO GOMES</t>
  </si>
  <si>
    <t>ALEX GONCALVES BARBOSA</t>
  </si>
  <si>
    <t>ALEX MOREIRA SANTANA</t>
  </si>
  <si>
    <t>ALEX PEREIRA DE CASTRO</t>
  </si>
  <si>
    <t>ALEX RORIZ DE SOUZA</t>
  </si>
  <si>
    <t>ALEXANDRE LOPES RIBEIRO DIAS</t>
  </si>
  <si>
    <t>ALLYSON SILVA DE OLIVEIRA</t>
  </si>
  <si>
    <t>ALMOXARIFADO - TABACO</t>
  </si>
  <si>
    <t>Almoxarifado - Tabaco</t>
  </si>
  <si>
    <t>ALMIR CRUZ SILVA</t>
  </si>
  <si>
    <t>ALVIMAR OLIVEIRA VIANA</t>
  </si>
  <si>
    <t>AMANDA CAETANO DE FREITAS</t>
  </si>
  <si>
    <t>AMARILTON DE MACEDO MOURA</t>
  </si>
  <si>
    <t>ANDERSON LOPES DA SILVA</t>
  </si>
  <si>
    <t>ANDRE PEREIRA DOS SANTOS</t>
  </si>
  <si>
    <t>ANILDO DA SILVA LIMA</t>
  </si>
  <si>
    <t>MELHORIA CONTINUA - TABACO</t>
  </si>
  <si>
    <t>Melhoria Continua - Tabaco</t>
  </si>
  <si>
    <t>ANTONIO LIMA DOS SANTOS</t>
  </si>
  <si>
    <t>ANTONIO MARCOS LIMA DE JESUS</t>
  </si>
  <si>
    <t>ANTONIO MIRANDA ROCHA</t>
  </si>
  <si>
    <t>ANTONIO SANTOS MACEDO</t>
  </si>
  <si>
    <t>ANTONIO SOUZA DE OLIVEIRA</t>
  </si>
  <si>
    <t>FACILITIES - TABACO</t>
  </si>
  <si>
    <t>Facilities - Tabaco</t>
  </si>
  <si>
    <t>ARIEL SANTOS DE ARAUJO</t>
  </si>
  <si>
    <t>ARLON BISPO DE CASTRO</t>
  </si>
  <si>
    <t>ARNON OLIVEIRA DE MACEDO</t>
  </si>
  <si>
    <t>AUGUSTO LIMA NOBRE</t>
  </si>
  <si>
    <t>AUGUSTO SANTOS DAS NEVES</t>
  </si>
  <si>
    <t>BARTOLOMEU DANTAS OLIVEIRA</t>
  </si>
  <si>
    <t>BERMEVAL LIMA DE SOUZA</t>
  </si>
  <si>
    <t>OPERADOR MAQ CASA VEGETACAO</t>
  </si>
  <si>
    <t>BERNARDO ROCHA FERNANDES</t>
  </si>
  <si>
    <t>BRENO DA SILVA MOURA</t>
  </si>
  <si>
    <t>BRENO DE JESUS DOS SANTOS</t>
  </si>
  <si>
    <t>BRENO XAVIER DA CRUZ</t>
  </si>
  <si>
    <t>BRUNA LUIZA BARBOSA QUEIROZ</t>
  </si>
  <si>
    <t>BRUNO DA SILVA NEVES</t>
  </si>
  <si>
    <t>CARLA POLIANA COSTA MONTALVAO</t>
  </si>
  <si>
    <t>CARLISON ROBERIO DE SOUZA RORIZ</t>
  </si>
  <si>
    <t>CARSON DOS SANTOS NEVES</t>
  </si>
  <si>
    <t>Gestor Gente e Gestão - SSMA</t>
  </si>
  <si>
    <t>CHARLES DE MOURA DE BRITO</t>
  </si>
  <si>
    <t>CICERO DOS SANTOS MENEZES</t>
  </si>
  <si>
    <t>CLAIVITON DA SILVA OLIMPIO</t>
  </si>
  <si>
    <t>CLAUDINEI MATA SANTOS</t>
  </si>
  <si>
    <t>CLAUDIONOR PEREIRA DA SILVA</t>
  </si>
  <si>
    <t>CLAYTON CARDOSO DA SILVA</t>
  </si>
  <si>
    <t>CLEBERSON MORESCO</t>
  </si>
  <si>
    <t>CLEBSON DE SOUZA MONTALVAO</t>
  </si>
  <si>
    <t>CLEISON DE SOUZA MONTALVAO</t>
  </si>
  <si>
    <t>CLERISTON MOURA DA SILVA</t>
  </si>
  <si>
    <t>CLESIO DA SILVA SANTOS</t>
  </si>
  <si>
    <t>CLEUSON FARIAS DO BOMFIM</t>
  </si>
  <si>
    <t>CLEUVAN FELICIANO DA COSTA</t>
  </si>
  <si>
    <t>CORINTO PEREIRA DE SOUZA</t>
  </si>
  <si>
    <t>CRIGOR SAMIR LOPES DA COSTA</t>
  </si>
  <si>
    <t>CRISOSTOMO ALVES CASTRO</t>
  </si>
  <si>
    <t>DANIEL DA SILVA NEVES</t>
  </si>
  <si>
    <t>DANIEL MONTALVAO DA SILVA</t>
  </si>
  <si>
    <t>DANIEL NEVES DA SILVA</t>
  </si>
  <si>
    <t>DANIEL OLIVEIRA DOS SANTOS</t>
  </si>
  <si>
    <t>DANILO DE SOUZA SILVA</t>
  </si>
  <si>
    <t>DANILO LOPES DE SOUZA</t>
  </si>
  <si>
    <t>DARLAN SOUZA DE AGUIAR</t>
  </si>
  <si>
    <t>DAVI BARBOSA DA SILVA</t>
  </si>
  <si>
    <t>DELCIMAR SOARES NOGUEIRA</t>
  </si>
  <si>
    <t>DENIVALDO ALVES DA COSTA</t>
  </si>
  <si>
    <t>DEUSDETE GONCALVES DA SILVA</t>
  </si>
  <si>
    <t>DIARLEI MOTA GUIMARAES</t>
  </si>
  <si>
    <t>DIEGO APARECIDO DA CUNHA CORTE</t>
  </si>
  <si>
    <t>DIEGO LEITE QUEIROZ</t>
  </si>
  <si>
    <t>DIEGO ROCHA MACHADO</t>
  </si>
  <si>
    <t>DIOGO CAETANO PEREIRA NETO</t>
  </si>
  <si>
    <t>DIOSDETE DA SILVA NASCIMENTO</t>
  </si>
  <si>
    <t>DIURY ANDRADE LOPES</t>
  </si>
  <si>
    <t>DOMINGOS CERQUEIRA DOS SANTOS</t>
  </si>
  <si>
    <t>DOMINGOS PEREIRA DE SOUZA</t>
  </si>
  <si>
    <t>DORIVAL ALVES DA COSTA</t>
  </si>
  <si>
    <t>DOUGLAS MOREIRA VASCONCELOS</t>
  </si>
  <si>
    <t>DOUGLAS SILVA DE SOUZA</t>
  </si>
  <si>
    <t>EDENILSON DE SOUZA LACERDA</t>
  </si>
  <si>
    <t>EDINALDO CASTRO DA COSTA</t>
  </si>
  <si>
    <t>EDINALDO LEITE DE QUEIROZ</t>
  </si>
  <si>
    <t>EDINILSOM RIBEIRO VIANA</t>
  </si>
  <si>
    <t>EDIVALDO SILVA DA COSTA</t>
  </si>
  <si>
    <t>EDIVAN CRUZ MAGALHAES</t>
  </si>
  <si>
    <t>EDIVAN RODRIGUES DA SILVA</t>
  </si>
  <si>
    <t>EDMILSON DE OLIVEIRA SANTOS</t>
  </si>
  <si>
    <t>EDMILSON FERREIRA MIRANDA</t>
  </si>
  <si>
    <t>EDMILSON RIBEIRO DA SILVA</t>
  </si>
  <si>
    <t>ELETRICISTA INDUSTRIAL III</t>
  </si>
  <si>
    <t>EDSON JUNIOR NOGUEIRA MORAIS</t>
  </si>
  <si>
    <t>EDUARDO DE JESUS</t>
  </si>
  <si>
    <t>EDUARDO SILVA DE SOUZA</t>
  </si>
  <si>
    <t>EDUARDO SOUZA DA SILVA</t>
  </si>
  <si>
    <t>EDVAR VEIGA DA SILVA</t>
  </si>
  <si>
    <t>ELBER TAVARES PEREIRA</t>
  </si>
  <si>
    <t>ELDIMAR BARBOSA NEVES</t>
  </si>
  <si>
    <t>ELIANDRO ALVES DOS SANTOS</t>
  </si>
  <si>
    <t>ELIAS DOS SANTOS DIAS</t>
  </si>
  <si>
    <t>Pulverização Tabaco</t>
  </si>
  <si>
    <t>JAILSON RORIZ</t>
  </si>
  <si>
    <t>ELLEN KAREN CALDEIRA DE MOURA</t>
  </si>
  <si>
    <t>ELLEN VITORIA BARAUNA RIBEIRO</t>
  </si>
  <si>
    <t>ELSON FERREIRA DA SILVA</t>
  </si>
  <si>
    <t>ELTON JOAQUIM DE SOUZA</t>
  </si>
  <si>
    <t>ELZINHO BISPO DE SOUZA</t>
  </si>
  <si>
    <t>EMERSON DA SILVA XAVIER</t>
  </si>
  <si>
    <t>ERISALDO DE OLIVEIRA DIAS</t>
  </si>
  <si>
    <t>ERNANDES OLIVEIRA DA SILVA</t>
  </si>
  <si>
    <t>ESIEL SILVA DE BARROS</t>
  </si>
  <si>
    <t>ESMAEL DE ALECRIM DA TRINDADE</t>
  </si>
  <si>
    <t>EUGENIO GOMES RIBEIRO</t>
  </si>
  <si>
    <t>EVANDRO SOUZA DE JESUS</t>
  </si>
  <si>
    <t>EVERTON JULIO DA SILVA LEITE</t>
  </si>
  <si>
    <t>FABIANO DOS SANTOS BRITO</t>
  </si>
  <si>
    <t>FABIO ANDRADE DA SILVA</t>
  </si>
  <si>
    <t>FABIO DE MOURA ALCANTARA</t>
  </si>
  <si>
    <t>FABIO JUNIOR TELES DE SANTANA</t>
  </si>
  <si>
    <t>FELIPE CARNEIRO MACHADO</t>
  </si>
  <si>
    <t>FERNANDA DE SOUSA ARAUJO</t>
  </si>
  <si>
    <t>FERNANDO FERREIRA VILAS BOAS</t>
  </si>
  <si>
    <t>FERNANDO MARCOS SOUZA DA COSTA</t>
  </si>
  <si>
    <t>FERNANDO SILVA DE OLIVEIRA</t>
  </si>
  <si>
    <t>FLORIANO SILVA SANTOS</t>
  </si>
  <si>
    <t>FRANCISCO COELHO NASCIMENTO</t>
  </si>
  <si>
    <t>FREDERICO JOSE DE SANTANA</t>
  </si>
  <si>
    <t>GABRIEL DA SILVA PAES</t>
  </si>
  <si>
    <t>GABRIEL DOS SANTOS PRADO</t>
  </si>
  <si>
    <t>GABRIEL MOREIRA VASCONCELOS</t>
  </si>
  <si>
    <t>GEAN DA SILVA CARNEIRO</t>
  </si>
  <si>
    <t>GEAN DE OLIVEIRA LIMA</t>
  </si>
  <si>
    <t>GEAN LIMA DE MELO</t>
  </si>
  <si>
    <t>GEOVANE GOMES DE ARAUJO</t>
  </si>
  <si>
    <t>GEOVANE SANTOS SILVA</t>
  </si>
  <si>
    <t>GEOVANI RORIZ DE SOUZA</t>
  </si>
  <si>
    <t>GEOVANIO GUIMARAES DA SILVA</t>
  </si>
  <si>
    <t>GERALDO DE OLIVEIRA MONTALVAO</t>
  </si>
  <si>
    <t>GILDAZIO DOS SANTOS SILVA</t>
  </si>
  <si>
    <t>GILENO ALVES DOS SANTOS</t>
  </si>
  <si>
    <t>GILIARDE NOGUEIRA COSTA BISPO</t>
  </si>
  <si>
    <t>GILSON PIRES DA CONCEICAO</t>
  </si>
  <si>
    <t>GILVAN DE JESUS SANTOS</t>
  </si>
  <si>
    <t>GILVAN OLIVEIRA</t>
  </si>
  <si>
    <t>GILVAN SOARES DOS SANTOS</t>
  </si>
  <si>
    <t>GISLAN DE SOUZA GONZAGA</t>
  </si>
  <si>
    <t>GIVANILDO PEREIRA BARBOSA</t>
  </si>
  <si>
    <t>GLEIDSON DOS SANTOS SOUSA</t>
  </si>
  <si>
    <t>HALLEF MACEDO SILVA</t>
  </si>
  <si>
    <t>HELIO OLIVEIRA NEVES</t>
  </si>
  <si>
    <t>HELIVALDO JOSE DE OLIVEIRA</t>
  </si>
  <si>
    <t>HERBER LUCAS ABREU DOS SANTOS</t>
  </si>
  <si>
    <t>HIGOR VINICIUS RODRIGUES DA SILVA</t>
  </si>
  <si>
    <t>HITALO VINICIUS DE MACEDO SILVA</t>
  </si>
  <si>
    <t>IRAN PEREIRA DE SOUSA</t>
  </si>
  <si>
    <t>ISAQUE DA SILVA OLIVEIRA</t>
  </si>
  <si>
    <t>IURY NOGUEIRA GUEDES</t>
  </si>
  <si>
    <t>SUPERVISOR MANUTENÇÃO INDUST</t>
  </si>
  <si>
    <t>IVAM OLIVEIRA DA SILVA</t>
  </si>
  <si>
    <t>IVAN LEANDRO MONTALVAO</t>
  </si>
  <si>
    <t>IVANI FERREIRA DE CASTRO</t>
  </si>
  <si>
    <t>IVANILTON DA COSTA BARROS</t>
  </si>
  <si>
    <t>IZAC FERNANDES DOS SANTOS</t>
  </si>
  <si>
    <t>IZIDORO ALMEIDA DOS SANTOS</t>
  </si>
  <si>
    <t>JAILSON RORIZ DA SILVA SOUZA</t>
  </si>
  <si>
    <t>JAILTON DA SILVA MARQUES</t>
  </si>
  <si>
    <t>JAILTON DE SOUSA RIBEIRO</t>
  </si>
  <si>
    <t>JAILTON DOS SANTOS SILVA</t>
  </si>
  <si>
    <t>JAMIR DIAS GUEDES</t>
  </si>
  <si>
    <t>JANDERSON DA SILVA GONCALVES</t>
  </si>
  <si>
    <t>JANILSON RORIZ DA SILVA SOUZA</t>
  </si>
  <si>
    <t>JEAN CARLOS DA SILVA LIMA</t>
  </si>
  <si>
    <t>JEAN PEREIRA DA SILVA</t>
  </si>
  <si>
    <t>JEFERSON CICERO SILVA CHAVES</t>
  </si>
  <si>
    <t>JEFERSON MOREIRA DE SOUZA</t>
  </si>
  <si>
    <t>JEFERSSON SANTOS OLIVEIRA</t>
  </si>
  <si>
    <t>JENILSON DE SOUZA LACERDA</t>
  </si>
  <si>
    <t>JEOVA PAULINO DA SILVA</t>
  </si>
  <si>
    <t>JHONANTHAN QUEIROZ DA SILVA</t>
  </si>
  <si>
    <t>JHONATAN OLIVEIRA DE SOUSA</t>
  </si>
  <si>
    <t>JOANDERSON NUNES DA SILVA</t>
  </si>
  <si>
    <t>JOAO BATISTA DOS SANTOS</t>
  </si>
  <si>
    <t>JOAO CORREIA DE SOUZA FILHO</t>
  </si>
  <si>
    <t>JOAO EMANUEL PEREIRA SALES</t>
  </si>
  <si>
    <t>JOAO GABRIEL PEREIRA GUSMAO</t>
  </si>
  <si>
    <t>JOAO HENRIQUE DOS SANTOS LIMA</t>
  </si>
  <si>
    <t>JOAO JOSE LOPES FILHO</t>
  </si>
  <si>
    <t>Gestor Campo Tabaco</t>
  </si>
  <si>
    <t>JOAO MARCOS RAMOS DE LIMA</t>
  </si>
  <si>
    <t>JOAO PAULO MARQUES SANTOS</t>
  </si>
  <si>
    <t>JOAO PEDRO DA SILVA MOREIRA</t>
  </si>
  <si>
    <t>JOAO PEDRO OLIVEIRA DE MELO</t>
  </si>
  <si>
    <t>JOAO RODRIGUES GONCALVES</t>
  </si>
  <si>
    <t>JOAO VITOR DA SILVA MAGALHAES</t>
  </si>
  <si>
    <t>JOAO VITOR PEREIRA DE OLIVEIRA</t>
  </si>
  <si>
    <t>JOAQUIM FERREIRA VASCONCELOS</t>
  </si>
  <si>
    <t>JOAQUIM JOSE CAETANO</t>
  </si>
  <si>
    <t>JOEDSON DA SILVA PEREIRA</t>
  </si>
  <si>
    <t>JOEL CARDOSO ALVES</t>
  </si>
  <si>
    <t>JOSAFA DOS PASSOS FRANCISCO</t>
  </si>
  <si>
    <t>JOSE ALBERISSON DIONIZIO SILVA</t>
  </si>
  <si>
    <t>PLANEJADOR DE MANUTENCAO</t>
  </si>
  <si>
    <t>JOSE ALDO CAIRES DE OLIVEIRA</t>
  </si>
  <si>
    <t>JOSE ANTONIO SILVA DE OLIVEIRA</t>
  </si>
  <si>
    <t>JOSE BEZERRA DA SILVA</t>
  </si>
  <si>
    <t>JOSE BRAZ BARROS DE MACEDO</t>
  </si>
  <si>
    <t>JOSE CARLOS DA SILVA SOUSA</t>
  </si>
  <si>
    <t>JOSE CARLOS NOGUEIRA LOPES</t>
  </si>
  <si>
    <t>JOSE CARLOS PEREIRA DA CONCEICAO</t>
  </si>
  <si>
    <t>JOSE CICERO CHAVES</t>
  </si>
  <si>
    <t>JOSE FERREIRA DE CASTRO</t>
  </si>
  <si>
    <t>JOSE LIMA DE OLIVEIRA</t>
  </si>
  <si>
    <t>JOSE NILSON SILVA DOS SANTOS</t>
  </si>
  <si>
    <t>JOSE ROBERTO DOS SANTOS RAMOS</t>
  </si>
  <si>
    <t>JOSE SERGIO AZEVEDO DE SOUZA</t>
  </si>
  <si>
    <t>JOSELIO TEIXEIRA SILVA</t>
  </si>
  <si>
    <t>JOSEMAR CORREIA DE LACERDA</t>
  </si>
  <si>
    <t>JOSIEL NEVES DOS SANTOS</t>
  </si>
  <si>
    <t>JOSIMAR FERREIRA DE MOURA</t>
  </si>
  <si>
    <t>JOTINEI SILVA MOREIRA</t>
  </si>
  <si>
    <t>JOVINO SOUZA DE ALMEIDA</t>
  </si>
  <si>
    <t>JUCELIO DE JESUS LIMA</t>
  </si>
  <si>
    <t>JUCIMAR SOARES DA SILVA</t>
  </si>
  <si>
    <t>JUNIOR VIEIRA TEIXEIRA</t>
  </si>
  <si>
    <t>JUSCELIO DE JESUS DIAS</t>
  </si>
  <si>
    <t>KAIO DE AGUIAR SANTOS</t>
  </si>
  <si>
    <t>KALLEBY DE JESUS GUEDES</t>
  </si>
  <si>
    <t>KAUAN BARBOSA DE BRITO</t>
  </si>
  <si>
    <t>KELLY CAROLINE DE AZEVEDO SANTOS</t>
  </si>
  <si>
    <t>LANDUALDO SILVA DAMASCENA</t>
  </si>
  <si>
    <t>LARISSA LIMA E SILVA</t>
  </si>
  <si>
    <t>LAURENCIO RIBEIRO MONTALVAO</t>
  </si>
  <si>
    <t>LAURICIA MACIEL NOGUEIRA</t>
  </si>
  <si>
    <t>LEANDRO ALMEIDA DOS SANTOS</t>
  </si>
  <si>
    <t>LEONARD RODRIGUES ROCHA</t>
  </si>
  <si>
    <t>LEONARDO FERREIRA DE ALMEIDA</t>
  </si>
  <si>
    <t>LEONARDO RODRIGUES NOGUEIRA NETO</t>
  </si>
  <si>
    <t>LILIA SANTOS REIS</t>
  </si>
  <si>
    <t>LINDONARDO MACIEL DOS SANTOS</t>
  </si>
  <si>
    <t>LOTTAN MATEUS DOS SANTOS FERREIRA</t>
  </si>
  <si>
    <t>LOURISVALDO DE OLIVEIRA DIAS</t>
  </si>
  <si>
    <t>LUAN NOGUEIRA DOS SANTOS</t>
  </si>
  <si>
    <t>LUAN SOUZA PAES</t>
  </si>
  <si>
    <t>LUCAS DA MOTA LOPES</t>
  </si>
  <si>
    <t>LUCAS DOS SANTOS DE LIMA</t>
  </si>
  <si>
    <t>LUCAS FRANCISCO RODRIGUES</t>
  </si>
  <si>
    <t>LUCAS GOMES DOS SANTOS</t>
  </si>
  <si>
    <t>LUCAS HENRIQUE DA COSTA GUEDES</t>
  </si>
  <si>
    <t>LUCAS LENOS PEREIRA DOS SANTOS</t>
  </si>
  <si>
    <t>LUCAS LOPES DE ALMEIDA</t>
  </si>
  <si>
    <t>LUCAS SILVA DA COSTA</t>
  </si>
  <si>
    <t>LUCAS XAVIER ROCHA</t>
  </si>
  <si>
    <t>LUCIANO ALMEIDA DE MOURA</t>
  </si>
  <si>
    <t>LUCIANO CALDEIRA DE LACERDA</t>
  </si>
  <si>
    <t>LUCIANO DA SILVA TRINDADE</t>
  </si>
  <si>
    <t>LUCIANO DE JESUS SILVA</t>
  </si>
  <si>
    <t>LUCIANO PEREIRA DOS SANTOS</t>
  </si>
  <si>
    <t>LUDMILA MONTALVAO LOPES</t>
  </si>
  <si>
    <t>LUIS ANTONIO RODRIGUES</t>
  </si>
  <si>
    <t>LUIS ARTUR DOS REIS DA CRUZ</t>
  </si>
  <si>
    <t>LUIZ FERNANDO COELHO DOMINGUES</t>
  </si>
  <si>
    <t>LUIZ RICARDO SANTOS SILVA</t>
  </si>
  <si>
    <t>LUZIMAR LOPES LEAO</t>
  </si>
  <si>
    <t>MAICON DOUGLAS LEITE DE ALMEIDA</t>
  </si>
  <si>
    <t>PLANEJAMENTO AGRICOLA - TABACO</t>
  </si>
  <si>
    <t>Apontamento Tabaco</t>
  </si>
  <si>
    <t>MAILSON DO NASCIMENTO REGO</t>
  </si>
  <si>
    <t>MANOEL JOAO PINTO DE BRITO</t>
  </si>
  <si>
    <t>MANOEL MESSIAS MEIRA DOS SANTOS</t>
  </si>
  <si>
    <t>MARCELO DA CONCEICAO OLIVEIRA</t>
  </si>
  <si>
    <t>MARCELO HENRIQUE DOS SANTOS CORDEIRO</t>
  </si>
  <si>
    <t>MARCELO MENDES DOURADO</t>
  </si>
  <si>
    <t>MARCO PEDRO FERREIRA DA SILVA</t>
  </si>
  <si>
    <t>MARCONI SOARES DOS REIS</t>
  </si>
  <si>
    <t>MARCOS ALVES DA SILVA</t>
  </si>
  <si>
    <t>MARCOS ANTONIO DE OLIVEIRA</t>
  </si>
  <si>
    <t>MARCOS ANTONIO PEREIRA GONCALVES</t>
  </si>
  <si>
    <t>MARCOS ANTONIO SANTOS SILVA</t>
  </si>
  <si>
    <t>MARCOS DEIVID DOS SANTOS DE JESUS</t>
  </si>
  <si>
    <t>MARCOS LINO DA SILVA CUNHA</t>
  </si>
  <si>
    <t>MARCOS LUCAS BENTO ALVES</t>
  </si>
  <si>
    <t>MARCOS PAULO CAETANO</t>
  </si>
  <si>
    <t>MARCOS RIBAS DO BOMFIM</t>
  </si>
  <si>
    <t>MARCOS VINICIO DOS REIS BARROS</t>
  </si>
  <si>
    <t>MARCOS VINICIUS MONTALVAO DA SILVA</t>
  </si>
  <si>
    <t>MARCUS VINICIUS BATISTA SILVA MELO</t>
  </si>
  <si>
    <t>TECNICO ELETROTECNICO</t>
  </si>
  <si>
    <t>MARGLEISON DE JESUS BRITO</t>
  </si>
  <si>
    <t>MARIA APARECIDA JOAQUIM DA ROCHA</t>
  </si>
  <si>
    <t>MARIA NEUZA CAETANO DE FREITAS</t>
  </si>
  <si>
    <t>MARILENE SOARES DE SOUSA</t>
  </si>
  <si>
    <t>MARIVALDO ALVES FERNANDES</t>
  </si>
  <si>
    <t>MATEUS HENRIQUE SANTOS MAGALHAES</t>
  </si>
  <si>
    <t>MATEUS NASCIMENTO PAZ</t>
  </si>
  <si>
    <t>MATHEUS ALVES DA SILVA</t>
  </si>
  <si>
    <t>MATHEUS LOPES DE ALMEIDA</t>
  </si>
  <si>
    <t>Gestor Industrial</t>
  </si>
  <si>
    <t>MAURO CLIDES CARDOSO DE CASTRO</t>
  </si>
  <si>
    <t>MAX FELIX DE SOUZA SILVA</t>
  </si>
  <si>
    <t>MAYCON DOUGLAS DA SILVA MORAIS</t>
  </si>
  <si>
    <t>MILTON SANTOS DE SOUZA</t>
  </si>
  <si>
    <t>MIRIAM CARNEIRO DA SILVA</t>
  </si>
  <si>
    <t>MOISES PEREIRA DE SOUZA</t>
  </si>
  <si>
    <t>MOISES SIRINO CARDOSO DE JESUS</t>
  </si>
  <si>
    <t>MONICA PEREIRA FRADES</t>
  </si>
  <si>
    <t>COZINHEIRO</t>
  </si>
  <si>
    <t>MONICA QUINTAL DE MOURA BARROS</t>
  </si>
  <si>
    <t>ANALISTA ADMINISTRATIVO PL</t>
  </si>
  <si>
    <t>Biofabrica - Tabaco</t>
  </si>
  <si>
    <t>NILTON BALIZA DA COSTA</t>
  </si>
  <si>
    <t>NILTON OLIVEIRA MAGALHAES</t>
  </si>
  <si>
    <t>NILTON PIRES DA CONCEICAO</t>
  </si>
  <si>
    <t>ODEMIR CARNEIRO DA SILVA</t>
  </si>
  <si>
    <t>ORZENI GONCALVES DA COSTA</t>
  </si>
  <si>
    <t>OSTELIA NUNES DOS SANTOS</t>
  </si>
  <si>
    <t>OSTEVALDO DE BRITO ROCHA</t>
  </si>
  <si>
    <t>OZEIAS DA CRUZ MAGALHAES</t>
  </si>
  <si>
    <t>PAMELA DE SOUSA FERREIRA</t>
  </si>
  <si>
    <t>PAULO ENRIQUE SERQUEIRA DOS SANTOS</t>
  </si>
  <si>
    <t>PAULO FELIPPE VASCONCELOS DE ALMEIDA</t>
  </si>
  <si>
    <t>PAULO HENRIQUE DOS SANTOS OLIVEIRA</t>
  </si>
  <si>
    <t>PAULO HENRIQUE NUNES QUINTAL</t>
  </si>
  <si>
    <t>PAULO SELSO GONCALVES DE CASTRO</t>
  </si>
  <si>
    <t>PEDRO ALVES DA CONCEICAO</t>
  </si>
  <si>
    <t>PEDRO HENRIQUE DA CONCEICAO NUNES</t>
  </si>
  <si>
    <t>PEDRO IAGO DE ARAUJO ROCHA</t>
  </si>
  <si>
    <t>PEDRO IVO LIMA FERNANDES</t>
  </si>
  <si>
    <t>POLIANO DA COSTA ALVES</t>
  </si>
  <si>
    <t>RAFAEL DE JESUS SOUZA</t>
  </si>
  <si>
    <t>RAFAEL DE SOUZA LIMA</t>
  </si>
  <si>
    <t>RAFAEL HENRIQUE LIMA ANDRADE</t>
  </si>
  <si>
    <t>RAFAEL LOPES DOS SANTOS</t>
  </si>
  <si>
    <t>RAFAEL TOMAZELLI XAVIER</t>
  </si>
  <si>
    <t>GERENTE DE MANUTENÇÃO</t>
  </si>
  <si>
    <t>RAIMUNDO AGUIAR DE SOUZA</t>
  </si>
  <si>
    <t>RAMON OLIVEIRA DA SILVA</t>
  </si>
  <si>
    <t>REINALDO SOARES DOS SANTOS</t>
  </si>
  <si>
    <t>RENAN DE MATOS PEREIRA</t>
  </si>
  <si>
    <t>RENATO ALEXANDRE ALVES TEIXEIRA</t>
  </si>
  <si>
    <t>RHUAN KESLEY RIBEIRO DA SILVA</t>
  </si>
  <si>
    <t>RIAN DA SILVA MACEDO</t>
  </si>
  <si>
    <t>RIAN SOUZA PAES</t>
  </si>
  <si>
    <t>RIVAEL FERREIRA DA SILVA</t>
  </si>
  <si>
    <t>RIVELINO DOURADO RODRIGUES</t>
  </si>
  <si>
    <t>ROBERTO CARLOS FARIAS DOS SANTOS</t>
  </si>
  <si>
    <t>ROBSON BATISTA DOS SANTOS</t>
  </si>
  <si>
    <t>ROBSON RIBEIRO VILAS BOAS</t>
  </si>
  <si>
    <t>RODRIGO FERREIRA DA SILVA</t>
  </si>
  <si>
    <t>RODRIGO PEREIRA DA SILVA</t>
  </si>
  <si>
    <t>ROGERIO BRITO DE OLIVEIRA</t>
  </si>
  <si>
    <t>ROMILDO RIBAS VITALINO</t>
  </si>
  <si>
    <t>ROMILSON RODRIGUES NEVES</t>
  </si>
  <si>
    <t>RONAILSON LIMA DOS SANTOS</t>
  </si>
  <si>
    <t>RONALDO PEREIRA ROCHA</t>
  </si>
  <si>
    <t>RONE CARLOS BISPO DE OLIVEIRA</t>
  </si>
  <si>
    <t>RONEI OLIVEIRA DE CASTRO</t>
  </si>
  <si>
    <t>RONELIO MOURA DE SOUZA</t>
  </si>
  <si>
    <t>RONY LIMA DOS SANTOS</t>
  </si>
  <si>
    <t>RONYEL NASCIMENTO SILVA</t>
  </si>
  <si>
    <t>ROSICLEIA ALVES DOS SANTOS</t>
  </si>
  <si>
    <t>ROSINEI CALDEIRA DE MELO</t>
  </si>
  <si>
    <t>ROSULINO MUNIZ FERREIRA</t>
  </si>
  <si>
    <t>RUBENS FERREIRA DA SILVA</t>
  </si>
  <si>
    <t>RUDSON DE MOURA SOUZA</t>
  </si>
  <si>
    <t>RUSLAN LIMA DOS SANTOS</t>
  </si>
  <si>
    <t>SAMUEL DA SILVA SANTOS</t>
  </si>
  <si>
    <t>SAMUEL DE JESUS SANTOS</t>
  </si>
  <si>
    <t>SAMUEL SILVA PEREIRA</t>
  </si>
  <si>
    <t>SAULO JEFERSSON RIBEIRO GOMES</t>
  </si>
  <si>
    <t>SAVIO MOURA PEREIRA</t>
  </si>
  <si>
    <t>SEBASTIAO PEIXOTO DA SILVA</t>
  </si>
  <si>
    <t>SERGIO ALMEIDA MAGALHAES</t>
  </si>
  <si>
    <t>SIRON PEREIRA  DOURADO</t>
  </si>
  <si>
    <t>TALYSSON DA SILVA ALVES</t>
  </si>
  <si>
    <t>TARCISIO CASTRO GUEDES</t>
  </si>
  <si>
    <t>THIAGO GOMES PORTO</t>
  </si>
  <si>
    <t>THIAGO QUERINO PEREIRA</t>
  </si>
  <si>
    <t>TIAGO FERREIRA DE SOUZA</t>
  </si>
  <si>
    <t>TIAGO ROCHA ANDRADE</t>
  </si>
  <si>
    <t>UANDERSON DE JESUS BRITO</t>
  </si>
  <si>
    <t>UANDERSON DOS SANTOS</t>
  </si>
  <si>
    <t>UARLEI MOURA FAGUNDES</t>
  </si>
  <si>
    <t>ANALISTA MELHORIA CONTINUA JR</t>
  </si>
  <si>
    <t>UDSON PEREIRA LIMA</t>
  </si>
  <si>
    <t>UELBE DA SILVA MACEDO</t>
  </si>
  <si>
    <t>URIAS RODRIGUES DOS SANTOS</t>
  </si>
  <si>
    <t>USLAN RODRIGUES DIAS</t>
  </si>
  <si>
    <t>VALDEMICIO DE CASTRO SILVA</t>
  </si>
  <si>
    <t>VALDILEIA DOS SANTOS BATISTA</t>
  </si>
  <si>
    <t>VALDINEI SANTANA LOPES</t>
  </si>
  <si>
    <t>VALDOMIRO DA CRUZ SILVA</t>
  </si>
  <si>
    <t>VALMIR DA CRUZ SILVA</t>
  </si>
  <si>
    <t>VANDERLEY DA SILVA MOREIRA</t>
  </si>
  <si>
    <t>VANDILSON PEREIRA GUEDES</t>
  </si>
  <si>
    <t>VANESIO BARBOSA DA COSTA</t>
  </si>
  <si>
    <t>VANILCIO SOUZA ALVES</t>
  </si>
  <si>
    <t>VANILSON PEREIRA DE SOUZA</t>
  </si>
  <si>
    <t>VILMAR ALVES CARDOSO</t>
  </si>
  <si>
    <t>VINICIUS COSTA LACERDA</t>
  </si>
  <si>
    <t>VINICIUS SOUZA DA COSTA</t>
  </si>
  <si>
    <t>VITOR GUILHERME LIMA ROCHA</t>
  </si>
  <si>
    <t>VITOR LOPES SANTOS PEREIRA</t>
  </si>
  <si>
    <t>VLADSON DE MOURA SOUZA</t>
  </si>
  <si>
    <t>WAGNER FRANCISCO DA CONCEICAO</t>
  </si>
  <si>
    <t>WAGNER PEREIRA DA CRUZ</t>
  </si>
  <si>
    <t>WANDERSON DE BRITO SILVA</t>
  </si>
  <si>
    <t>WANDERSON MAGALHAES DA SILVA</t>
  </si>
  <si>
    <t>WANDSON COTRIN DOS SANTOS</t>
  </si>
  <si>
    <t>WARLISSON DA SILVA DANTAS</t>
  </si>
  <si>
    <t>WASHINGTON BERNARDO DA SILVA</t>
  </si>
  <si>
    <t>WASHINGTON REINAN BELEM DE OLIVEIRA</t>
  </si>
  <si>
    <t>WELITON COSTA NOGUEIRA</t>
  </si>
  <si>
    <t>WELLINGTON LALAU DOS SANTOS</t>
  </si>
  <si>
    <t>WELLITON GUEDES DE SOUSA</t>
  </si>
  <si>
    <t>WELTON DOS SANTOS COSTA</t>
  </si>
  <si>
    <t>WELTON JESUS DE OLIVEIRA</t>
  </si>
  <si>
    <t>WELTON PEREIRA DE SOUZA</t>
  </si>
  <si>
    <t>WESLEY DOS SANTOS AZEVEDO</t>
  </si>
  <si>
    <t>ALMOXARIFE SR</t>
  </si>
  <si>
    <t>WESLEY DOS SANTOS DE MORAIS</t>
  </si>
  <si>
    <t>WESLEY SOARES DE ANDRADES</t>
  </si>
  <si>
    <t>WESLEY SOUZA DA SILVA</t>
  </si>
  <si>
    <t>WICTOR SAMUEL SOUZA DA SILVA</t>
  </si>
  <si>
    <t>WILLIAN ARAUJO DE CASTRO</t>
  </si>
  <si>
    <t>WILLIAN HENRIQUE DE JESUS LIMA</t>
  </si>
  <si>
    <t>WILLIAN NASCIMENTO DOS SANTOS</t>
  </si>
  <si>
    <t>WILSON FARIAS DOS SANTOS</t>
  </si>
  <si>
    <t>WILSON SILVA DE MOURA</t>
  </si>
  <si>
    <t>YAGO VINICIOS RAMOS BATISTA</t>
  </si>
  <si>
    <t>YAN TALYSSON MONTALVAO DA SILVA</t>
  </si>
  <si>
    <t>YGO SOUZA DA SILVA</t>
  </si>
  <si>
    <t>YURI PEREIRA FAGUNDES</t>
  </si>
  <si>
    <t>YURI RODRIGUES NOGUEIRA PAIVA</t>
  </si>
  <si>
    <t>ZAION FREIRES SILVA FIGUEIREDO</t>
  </si>
  <si>
    <t>ZANIEL DE SOUZA OLIVEIRA</t>
  </si>
  <si>
    <t>ZENILTON GONCALVES DE SOUZA</t>
  </si>
  <si>
    <t>CARLOS EDUARDO GOIS DE SOUSA</t>
  </si>
  <si>
    <t>FABIO LOPES PINTO</t>
  </si>
  <si>
    <t>ISAIAS SANTOS DE LIMA</t>
  </si>
  <si>
    <t>JOSE RODRIGUES DA SILVA</t>
  </si>
  <si>
    <t>MARCELO DA SILVA BATISTA</t>
  </si>
  <si>
    <t>WELITON COTRIN DOS SANTOS</t>
  </si>
  <si>
    <t>WILSON DA SILVA MONTALVAO</t>
  </si>
  <si>
    <t>ADERBAL DOURADO NEVES</t>
  </si>
  <si>
    <t>AMANDA MOREIRA BARBOSA</t>
  </si>
  <si>
    <t>LAZARO EMANOEL DE OLIVEIRA SOUZA</t>
  </si>
  <si>
    <t>MAIK PEREIRA DE SOUZA</t>
  </si>
  <si>
    <t>VANILSON BARBOSA SOARES</t>
  </si>
  <si>
    <t>ABYNADAB NEVES DOS SANTOS</t>
  </si>
  <si>
    <t>CAMPO AGRICOLA - CACAU</t>
  </si>
  <si>
    <t>ATHOS CARDOSO DA SILVA</t>
  </si>
  <si>
    <t>EDUARDO ALMEIDA DOS SANTOS</t>
  </si>
  <si>
    <t>ELISMAR DA COSTA GONCALVES</t>
  </si>
  <si>
    <t>ENNIO BRITO DA CRUZ</t>
  </si>
  <si>
    <t>ERNILTON SILVA SANTOS</t>
  </si>
  <si>
    <t>FERNANDO DA SILVA MOTA MARINHO</t>
  </si>
  <si>
    <t>JARLISSON DACIO GUEDES DOS SANTOS BORGES</t>
  </si>
  <si>
    <t>JOAO RODOLFO STORINI KOMURA</t>
  </si>
  <si>
    <t>LUCAS PEREIRA DA SILVA</t>
  </si>
  <si>
    <t>LUIS FERNANDO MAGALHAES DE SOUZA</t>
  </si>
  <si>
    <t>MICHELE DE MOURA RORIZ</t>
  </si>
  <si>
    <t>RAIQUE DE MATOS ROCHA</t>
  </si>
  <si>
    <t>RENATO PEREIRA DE SOUZA</t>
  </si>
  <si>
    <t>THIAGO ALVES MARCOS</t>
  </si>
  <si>
    <t>WELVESON DE OLIVEIRA SOUSA</t>
  </si>
  <si>
    <t>ANTONIO DO CARMO DE JESUS</t>
  </si>
  <si>
    <t>DENILSON LOPES SOARES</t>
  </si>
  <si>
    <t>EDEMILSON DE OLIVEIRA SANTOS</t>
  </si>
  <si>
    <t>IVONEIO MONTALVAO DA SILVA</t>
  </si>
  <si>
    <t>JHONATTAS NOGUEIRA NASCIMENTO</t>
  </si>
  <si>
    <t>LUCAS FRANCISCO DE JESUS</t>
  </si>
  <si>
    <t>RODRIGO DE JESUS OLIVEIRA</t>
  </si>
  <si>
    <t>SANDRO JUNIOR NUNES PEREIRA</t>
  </si>
  <si>
    <t>VINICIUS ANDRE DUARTE CAPUTO ALVES</t>
  </si>
  <si>
    <t>WESLEY NOGUEIRA DOS SANTOS</t>
  </si>
  <si>
    <t>GERENTE DE PRODUCAO AGRICOLA</t>
  </si>
  <si>
    <t>JAIRO NERES DO NASCIMENTO</t>
  </si>
  <si>
    <t>JAMESSON DOS SANTOS RODRIGUES</t>
  </si>
  <si>
    <t>JOAO FLAVIO CAIRES DE OLIVEIRA</t>
  </si>
  <si>
    <t>KAYKY DOS SANTOS RIBAS</t>
  </si>
  <si>
    <t>LEANDRO ALMEIDA DA COSTA</t>
  </si>
  <si>
    <t>PIERRY FERREIRA BATISTA</t>
  </si>
  <si>
    <t>RONAN KAPICH DE SOUSA</t>
  </si>
  <si>
    <t>VALDESOM SOUZA DA COSTA</t>
  </si>
  <si>
    <t>ADRIANO SANTOS DE OLIVEIRA</t>
  </si>
  <si>
    <t>CAIO ERIC DOS SANTOS RORIZ</t>
  </si>
  <si>
    <t>DIEGO BATISTA DE ARAUJO</t>
  </si>
  <si>
    <t>DIEGO PEREIRA DE JESUS SOUZA</t>
  </si>
  <si>
    <t>DOMINGOS RODRIGUES DOS SANTOS</t>
  </si>
  <si>
    <t>EDSON DA CONCEICAO CRUZ</t>
  </si>
  <si>
    <t>ELIZEU DE ARAUJO LESSA</t>
  </si>
  <si>
    <t>EMERSON ALVES TEIXEIRA GONCALVES</t>
  </si>
  <si>
    <t>ETELVINA SANTOS JERONIMO</t>
  </si>
  <si>
    <t>FABRICIO PEREIRA DA SILVA</t>
  </si>
  <si>
    <t>GLEISON OLIVEIRA FERREIRA</t>
  </si>
  <si>
    <t>IAGO BERNARDES DE ALMEIDA</t>
  </si>
  <si>
    <t>JANILSON FERREIRA GINO</t>
  </si>
  <si>
    <t>LUCIANO RODRIGUES SOUZA</t>
  </si>
  <si>
    <t>LUIS FERNANDO FERREIRA LOPES</t>
  </si>
  <si>
    <t>LUIS GABRIEL SOUZA DE OLIVEIRA</t>
  </si>
  <si>
    <t>MANOEL BARBOSA DE OLIVEIRA</t>
  </si>
  <si>
    <t>SUPERVISOR MELHORIA CONTINUA</t>
  </si>
  <si>
    <t>MARCOS VINICIUS NOGUEIRA DE OLIVEIRA</t>
  </si>
  <si>
    <t>MATHEUS SOUZA SANTOS</t>
  </si>
  <si>
    <t>MELQUISEDEQUE DA COSTA DOS SANTOS</t>
  </si>
  <si>
    <t>RAMON NASCIMENTO SILVA</t>
  </si>
  <si>
    <t>THIAGO DE SOUZA DE ARAUJO</t>
  </si>
  <si>
    <t>TIAGO BARROS DA SILVA</t>
  </si>
  <si>
    <t>ADEMILSON NERES DE SOUZA</t>
  </si>
  <si>
    <t>DAVIDSON DE SOUSA FERREIRA</t>
  </si>
  <si>
    <t>MANTENEDOR DE IRRIGACAO II</t>
  </si>
  <si>
    <t>ELETRICISTA I</t>
  </si>
  <si>
    <t>GABRIEL SOUZA DA COSTA</t>
  </si>
  <si>
    <t>GILVAN SANTOS NOVAIS</t>
  </si>
  <si>
    <t>PINTOR I</t>
  </si>
  <si>
    <t>ISAIAS VEIGA MOURA</t>
  </si>
  <si>
    <t>COORD MANUT E INFRAESTRUTURA</t>
  </si>
  <si>
    <t>OPERADOR SIST IRRIGAÇÃO SENIOR</t>
  </si>
  <si>
    <t>JOAO BATISTA FRANCA DE OLIVEIRA</t>
  </si>
  <si>
    <t>PINTOR III</t>
  </si>
  <si>
    <t>JOSE GLEINON DA SILVA CARVALHO</t>
  </si>
  <si>
    <t>LEANDRO DIAS DE MELO</t>
  </si>
  <si>
    <t>MARCOS COSTA DA SILVA</t>
  </si>
  <si>
    <t>MARCOS PAULO BARBOSA DE LIMA</t>
  </si>
  <si>
    <t>NICACIO TRINDADE DA SILVA</t>
  </si>
  <si>
    <t>RONEY DOS SANTOS PINTO</t>
  </si>
  <si>
    <t>OPERADOR PRODUCAO III</t>
  </si>
  <si>
    <t>SILVANEI MOURA SILVA</t>
  </si>
  <si>
    <t>TIAGO DOS SANTOS AZEVEDO</t>
  </si>
  <si>
    <t>YURI ALVES DE OLIVEIRA</t>
  </si>
  <si>
    <t>ANALISTA DE PLANEJ FINANC JR</t>
  </si>
  <si>
    <t>SUPERVISOR SUPPLY CHAIN</t>
  </si>
  <si>
    <t>ADENILTON SILVA DE JESUS</t>
  </si>
  <si>
    <t>AFONSO BATISTA BELEM NETO</t>
  </si>
  <si>
    <t>ANDRE LUIS CARDOSO CASTRO</t>
  </si>
  <si>
    <t>BRENO DA CRUZ SOUZA</t>
  </si>
  <si>
    <t>CAIO GEAN DE OLIVEIRA DA COSTA</t>
  </si>
  <si>
    <t>CARLOS RODRIGUES OLIVEIRA JUNIOR</t>
  </si>
  <si>
    <t>CLEISSON DIAS GUEDES</t>
  </si>
  <si>
    <t>DANIEL DO AMARAL GONCALVES</t>
  </si>
  <si>
    <t>DENIS ANDRADE NEVES</t>
  </si>
  <si>
    <t>EDMAR RAMOS LIMA</t>
  </si>
  <si>
    <t>EDNEY LIMA DOS SANTOS</t>
  </si>
  <si>
    <t>EVALDO HENRIQUE NOGUEIRA DA COSTA</t>
  </si>
  <si>
    <t>EVERTON LUCIO DOS SANTOS CRUZ</t>
  </si>
  <si>
    <t>FLAVIO MENDES BORGES</t>
  </si>
  <si>
    <t>FRANCISCO COSTA DE ALVIM</t>
  </si>
  <si>
    <t>FRANCIVALDO CARDOSO DE ARAUJO</t>
  </si>
  <si>
    <t>GELSO NERIS DA SILVA</t>
  </si>
  <si>
    <t>GETULIO DA SILVA BORGES</t>
  </si>
  <si>
    <t>GLEISSON DIAS GUEDES</t>
  </si>
  <si>
    <t>GUILHERME VIANA DE SOUZA</t>
  </si>
  <si>
    <t>IGO DOS SANTOS DE LIMA</t>
  </si>
  <si>
    <t>ISAAC RODRIGUES COSTA</t>
  </si>
  <si>
    <t>ISAC LOPES DE MATOS</t>
  </si>
  <si>
    <t>JOAO CARLOS DE JESUS OLIVEIRA</t>
  </si>
  <si>
    <t>KALISSON DE JESUS OLIVEIRA</t>
  </si>
  <si>
    <t>LEANDRO AUGUSTO PIRES QUERINO DE SOUZA</t>
  </si>
  <si>
    <t>LEANDRO DE JESUS DOS SANTOS</t>
  </si>
  <si>
    <t>MARCELO DOS SANTOS MAGALHAES</t>
  </si>
  <si>
    <t>MARCOS VINICIUS LIMA DE SOUZA</t>
  </si>
  <si>
    <t>MARONEI SILVA MOREIRA</t>
  </si>
  <si>
    <t>MATHEUS DE OLIVEIRA SANTOS</t>
  </si>
  <si>
    <t>SILVANO OLIVEIRA DE SOUSA</t>
  </si>
  <si>
    <t>UANDERSON DE OLIVEIRA PEREIRA</t>
  </si>
  <si>
    <t>UEMESON JOSE DA SILVA</t>
  </si>
  <si>
    <t>VALDIR TAVORA DE MAGALHAES</t>
  </si>
  <si>
    <t>WELLINGTON JOSE DA SILVA</t>
  </si>
  <si>
    <t>WELTON BARBOSA DE LIMA</t>
  </si>
  <si>
    <t>CARLOS DANIEL COSTA DE SOUZA</t>
  </si>
  <si>
    <t>CRISTIAN CAUA SOUZA SILVA</t>
  </si>
  <si>
    <t>PESQUISA E DESENVOLVIMENTO CACAU</t>
  </si>
  <si>
    <t>GELSON DA COSTA FARIAS</t>
  </si>
  <si>
    <t>COMPOSTO ORGANICO</t>
  </si>
  <si>
    <t>Gestao Manut Infra</t>
  </si>
  <si>
    <t>LOURENCO RODRIGUES FERREIRA</t>
  </si>
  <si>
    <t>ALEX AZEVEDO DE SOUZA</t>
  </si>
  <si>
    <t>DARCEL MAGALHAES MARINHO</t>
  </si>
  <si>
    <t>EDUARDO MOREIRA DOS SANTOS</t>
  </si>
  <si>
    <t>JEFFERSON HEITOR ALVES DA SILVA</t>
  </si>
  <si>
    <t>JOSE CARLOS JESUS SANTOS</t>
  </si>
  <si>
    <t>MARCOS DOS SANTOS PARREIRA</t>
  </si>
  <si>
    <t>ROMARIO DE JESUS DE OLIVEIRA</t>
  </si>
  <si>
    <t>VALDECI SOUZA BARROS</t>
  </si>
  <si>
    <t>VALDENILSON RODRIGUES DE OLIVEIRA</t>
  </si>
  <si>
    <t>CARLOS ROBERTO CORTE DA SILVA</t>
  </si>
  <si>
    <t>DANIEL PEREIRA DE SOUSA</t>
  </si>
  <si>
    <t>DAVID DOMINGUES MACEDO</t>
  </si>
  <si>
    <t>DENES DAMARES FERREIRA RIBEIRO</t>
  </si>
  <si>
    <t>DOUGLAS DA CUNHA CORTE</t>
  </si>
  <si>
    <t>FERNANDO GUILHERME ROTILLI</t>
  </si>
  <si>
    <t>COORDENADOR DE MANUTENÇÃO</t>
  </si>
  <si>
    <t>ISAEL SANTOS DE CASTRO</t>
  </si>
  <si>
    <t>JEFERSON SANTOS DE OLIVEIRA</t>
  </si>
  <si>
    <t>LEIAN RODRIGUES DIAS</t>
  </si>
  <si>
    <t>ELETRICISTA II</t>
  </si>
  <si>
    <t>PAULO HENRIQUE DE JESUS FREIRES</t>
  </si>
  <si>
    <t>ROMES DOS SANTOS COSTA</t>
  </si>
  <si>
    <t>VINICIUS HENRIQUE MENDES NUNES</t>
  </si>
  <si>
    <t>ANDREIA RIBEIRO ROCHA</t>
  </si>
  <si>
    <t>CLAINVERT OLIVEIRA MAGALHAES SANTOS</t>
  </si>
  <si>
    <t>EDIMILSON DE JESUS BRANDAO</t>
  </si>
  <si>
    <t>JEAN FERNANDO BELCHIOR PEREIRA</t>
  </si>
  <si>
    <t>LAELSON BRANDAO DE SOUZA</t>
  </si>
  <si>
    <t>MARCOS ANDRE BATISTA PORTO</t>
  </si>
  <si>
    <t>TIAGO NEVES DE SOUZA</t>
  </si>
  <si>
    <t>ALINE SANTOS DE JESUS</t>
  </si>
  <si>
    <t>ANDRE GUSTAVO LELES CUBA</t>
  </si>
  <si>
    <t>LIDER CONTROLE TECNOLOGIA</t>
  </si>
  <si>
    <t>GEOVANE MACIEL GONCALVES</t>
  </si>
  <si>
    <t>GESSICA NAIARA PEREIRA DE JESUS</t>
  </si>
  <si>
    <t>IARA MACEDO REIS DA SILVA</t>
  </si>
  <si>
    <t>JOAO CARLOS SILVA FOGACA</t>
  </si>
  <si>
    <t>JOSUE NUNES DE SOUZA</t>
  </si>
  <si>
    <t>LORRANE ALVES DA SILVA</t>
  </si>
  <si>
    <t>LUCAS LIMA BARROS</t>
  </si>
  <si>
    <t>MAGNO HENRIQUE FOGACA DA SILVA</t>
  </si>
  <si>
    <t>MISAEL DA SILVA LISBOA</t>
  </si>
  <si>
    <t>PAULO VICTOR BONIFACIO</t>
  </si>
  <si>
    <t>RODRIGO SOUZA PEREIRA</t>
  </si>
  <si>
    <t>TIMOTEO NUNES RIBAS DA SILVA</t>
  </si>
  <si>
    <t>TECNICO SEGURANÇA TRABALHO JR</t>
  </si>
  <si>
    <t>VALDIVINO COSTA DOS SANTOS</t>
  </si>
  <si>
    <t>VILSON DA SILVA OLIVEIRA</t>
  </si>
  <si>
    <t>AILTON SILVA DA CRUZ</t>
  </si>
  <si>
    <t>BRUNO RENATO DOS SANTOS DE OLIVEIRA</t>
  </si>
  <si>
    <t>CAUA SOUSA PINTO</t>
  </si>
  <si>
    <t>CLEIDSON SOUZA RIBEIRO</t>
  </si>
  <si>
    <t>DINALDO ALVES DE BRITO JUNIOR</t>
  </si>
  <si>
    <t>ELIABIS DOS SANTOS BEZERRA</t>
  </si>
  <si>
    <t>GELSON OLIVEIRA OSORIO</t>
  </si>
  <si>
    <t>GUSTAVO DA CRUZ PINTO</t>
  </si>
  <si>
    <t>JERFSON LIMA DE MORAES</t>
  </si>
  <si>
    <t>JOANDERSON GONCALVES SANTOS</t>
  </si>
  <si>
    <t>JOAO PAULO FERNANDES PAES</t>
  </si>
  <si>
    <t>LEANDRO FARIAS ROCHA</t>
  </si>
  <si>
    <t>LUIS DIAS GONCALVES</t>
  </si>
  <si>
    <t>MARCOS MARIVAN DOS SANTOS NOGUEIRA JUNIO</t>
  </si>
  <si>
    <t>NADSON MATEUS COTRIM DE BRITO</t>
  </si>
  <si>
    <t>NAECIO PEREIRA DOS SANTOS</t>
  </si>
  <si>
    <t>VENER ANTONI FERREIRA DE SOUZA</t>
  </si>
  <si>
    <t>BORRACHEIRO I</t>
  </si>
  <si>
    <t>ASSIST ALMOXARIFADO</t>
  </si>
  <si>
    <t>BORRACHEIRO II</t>
  </si>
  <si>
    <t>BORRACHEIRO III</t>
  </si>
  <si>
    <t>JOAO DIRCO RODRIGUES FERREIRA</t>
  </si>
  <si>
    <t>SUPERVISOR PLANEJ MANUTENCAO</t>
  </si>
  <si>
    <t>PEDREIRO III</t>
  </si>
  <si>
    <t>ASSIST EXPED E FATURAMENTO</t>
  </si>
  <si>
    <t>ANALISTA EXPED E FATURAMENT PL</t>
  </si>
  <si>
    <t>ANALISTA SSMA</t>
  </si>
  <si>
    <t>LUZIA ALMEIDA COUTO</t>
  </si>
  <si>
    <t>ANALISTA BIOFABRICA</t>
  </si>
  <si>
    <t>MIRELLY VITORIA ARAUJO SANTOS</t>
  </si>
  <si>
    <t>MURILO RODRIGUES SOUZA</t>
  </si>
  <si>
    <t>TECNICO DE FACILITIES JR</t>
  </si>
  <si>
    <t>SUPERVISOR DE PRODUÇÃO PL</t>
  </si>
  <si>
    <t>COORDENADOR DE COMPRAS</t>
  </si>
  <si>
    <t>ALEIXO JOAQUIM DE SOUSA</t>
  </si>
  <si>
    <t>ALMOXARIFE PL</t>
  </si>
  <si>
    <t>ENGENHEIRO SSMA</t>
  </si>
  <si>
    <t>ANALISTA ADMINISTRATIVO SR</t>
  </si>
  <si>
    <t>PEDRO PAULO MAGALHAES PRIMO</t>
  </si>
  <si>
    <t>WELITON DIONES MOREIRA DOS SANTOS</t>
  </si>
  <si>
    <t>JOSÉ GOUVEA</t>
  </si>
  <si>
    <t>FERNANDO GUILHERME</t>
  </si>
  <si>
    <t>JUNIO COSTA</t>
  </si>
  <si>
    <t>PAULO BONIFÁCIO</t>
  </si>
  <si>
    <t xml:space="preserve">LEIDJANE MARTINS </t>
  </si>
  <si>
    <t>DENIS ACASSIO</t>
  </si>
  <si>
    <t>IVONEI CAMPOS</t>
  </si>
  <si>
    <t>ANDRÉ CUBA</t>
  </si>
  <si>
    <t>ALDAIR BORGES</t>
  </si>
  <si>
    <t>WARLEY RIBEIRO</t>
  </si>
  <si>
    <t xml:space="preserve">JOÃO KOMURA </t>
  </si>
  <si>
    <t xml:space="preserve">EDSON/MARCELO LIMA </t>
  </si>
  <si>
    <t xml:space="preserve">LEONARDO SANTOS </t>
  </si>
  <si>
    <t>MARCOS OLIVEIRA</t>
  </si>
  <si>
    <t>ADENILTON RODRIGUES</t>
  </si>
  <si>
    <t>WANDRES/FABIANO</t>
  </si>
  <si>
    <t xml:space="preserve">MARCOS VINICIUS </t>
  </si>
  <si>
    <t>TALLES RYAN</t>
  </si>
  <si>
    <t>JOÃO GORGULHO</t>
  </si>
  <si>
    <t>RAFAEL VIRGENS</t>
  </si>
  <si>
    <t>YAN SILVA</t>
  </si>
  <si>
    <t>JUNIO TEIXEIRA /GEOVANI RORIZ</t>
  </si>
  <si>
    <t>JOÃO FILHO</t>
  </si>
  <si>
    <t>ALCENO JUNIOR/JOÃO MARCOS</t>
  </si>
  <si>
    <t>ADALTON/JANILSON RORIZ/MARIVALDO</t>
  </si>
  <si>
    <t>ADAILTO FERREIRA DA SILVA</t>
  </si>
  <si>
    <t>ALESSANDRO BALDUINO DA ROCHA</t>
  </si>
  <si>
    <t>ANE CAROLAINE DA SILVA</t>
  </si>
  <si>
    <t>ANTONIO CARLOS BISPO FARIAS</t>
  </si>
  <si>
    <t>DANILO GONCALVES DOS SANTOS</t>
  </si>
  <si>
    <t>DANILO RIBAS PEREIRA</t>
  </si>
  <si>
    <t>DIASSIS BEZERRA DE BARROS</t>
  </si>
  <si>
    <t>DOUGLAS LIMA DE SOUZA</t>
  </si>
  <si>
    <t>FABIO GONCALVES BEZERRA PAES</t>
  </si>
  <si>
    <t>FERNANDO SILVA GOMES</t>
  </si>
  <si>
    <t>GILVAN DE JESUS DA SILVA</t>
  </si>
  <si>
    <t>JAQUELINE DOS SANTOS DE JESUS</t>
  </si>
  <si>
    <t>JAQUELINE DOS SANTOS DE SOUZA</t>
  </si>
  <si>
    <t>JOSE ROBERTO FERREIRA SANTOS</t>
  </si>
  <si>
    <t>JULIANA DA SILVA SANTOS</t>
  </si>
  <si>
    <t>KAYRO MURILO FERNANDES RIBEIRO</t>
  </si>
  <si>
    <t>MANOEL ALVES DE CARVALHO FILHO</t>
  </si>
  <si>
    <t>MARCOS GABRIEL LOPES MONTALVAO</t>
  </si>
  <si>
    <t>MARIA DA PAIXAO DE JESUS DA SILVA</t>
  </si>
  <si>
    <t>MATHEUS PATRICK TOSI GUEDES</t>
  </si>
  <si>
    <t>SAVIO TRINDADE BANDEIRA</t>
  </si>
  <si>
    <t>THIAGO BRITO DOS SANTOS</t>
  </si>
  <si>
    <t>UNILTON LIMA DOMINGUES FILHO</t>
  </si>
  <si>
    <t>WELINGTON SOUZA QUINTAL</t>
  </si>
  <si>
    <t>WERLEI DO CARMO SOUZA</t>
  </si>
  <si>
    <t>ANTONIO MARCOS SANTOS DE JESUS</t>
  </si>
  <si>
    <t>CAIO CESAR LIMA MAGALHAES</t>
  </si>
  <si>
    <t>CESAR DE BRITO GUEDES</t>
  </si>
  <si>
    <t>CLEBER JUNIOR PEREIRA PINTO</t>
  </si>
  <si>
    <t>CLEMER BARBOSA DA ROCHA</t>
  </si>
  <si>
    <t>CRISTIANO DOS SANTOS LIMA</t>
  </si>
  <si>
    <t>DANIEL NOGUEIRA ALVES</t>
  </si>
  <si>
    <t>EMERSON DANIEL DE OLIVEIRA SOUZA</t>
  </si>
  <si>
    <t>ERIK PATRIK DOS SANTOS DE ARAUJO</t>
  </si>
  <si>
    <t>FABIO NERES DE JESUS</t>
  </si>
  <si>
    <t>FARLEY JAMILTON FERNANDES DOS SANTOS</t>
  </si>
  <si>
    <t>GEAN ALVES DA SILVA</t>
  </si>
  <si>
    <t>HENRIQUE DE SOUZA COSTA</t>
  </si>
  <si>
    <t>JONATHAN DOS SANTOS MAGALHAES</t>
  </si>
  <si>
    <t>MAILSON DE JESUS DE MATOS</t>
  </si>
  <si>
    <t>MARCOS VINICIUS DOS SANTOS CARDOSO</t>
  </si>
  <si>
    <t>PAULO RICARDO DOS ANJOS SANTOS</t>
  </si>
  <si>
    <t>RAILLAN LEMOS DOS SANTOS</t>
  </si>
  <si>
    <t>SEBASTIAO NOGUEIRA DE CASTRO</t>
  </si>
  <si>
    <t>TAIRONE OLIVEIRA DE BRITO</t>
  </si>
  <si>
    <t>UESLEY NOGUEIRA DOS SANTOS</t>
  </si>
  <si>
    <t>VITOR DE BRITO GUEDES</t>
  </si>
  <si>
    <t>WESLAN CARLOS SILVA DOS SANTOS</t>
  </si>
  <si>
    <t>ADELIO CALDEIRA DOS SANTOS</t>
  </si>
  <si>
    <t>PROGRAMAS CORPORATIVOS - SP</t>
  </si>
  <si>
    <t>CAIO VITOR MOREIRA DE SOUZA</t>
  </si>
  <si>
    <t>CASSIO DE JESUS GOMES</t>
  </si>
  <si>
    <t>DIONEI RODRIGUES DOS SANTOS</t>
  </si>
  <si>
    <t>EMERSON SOUZA DA SILVA SANTOS</t>
  </si>
  <si>
    <t>ERIK RIAN DOS PASSOS SILVA</t>
  </si>
  <si>
    <t>ERONILDO DOS SANTOS DE DEUS</t>
  </si>
  <si>
    <t>GILSON HARTUR ANDRADE MONTALVAO</t>
  </si>
  <si>
    <t>ISRAEL DA SILVA GONCALVES</t>
  </si>
  <si>
    <t>LARA KELLY SANTOS MOREIRA</t>
  </si>
  <si>
    <t>MARCOSUEL NUNES SILVA</t>
  </si>
  <si>
    <t>MAURICIO SANTOS ALMEIDA</t>
  </si>
  <si>
    <t>PAULO ROBERTO SOUZA RODRIGUES</t>
  </si>
  <si>
    <t>SAMUEL RIBAS PEREIRA</t>
  </si>
  <si>
    <t>SAMUEL SOUZA DE ALMEIDA</t>
  </si>
  <si>
    <t>WESLEY SOUZA QUINTAL</t>
  </si>
  <si>
    <t>FABIO KIYOSHI SHIMOE</t>
  </si>
  <si>
    <t>ESPECIALISTA EM PLANEJ FINANCE</t>
  </si>
  <si>
    <t>GUSTAVO RODRIGUES BARBOSA</t>
  </si>
  <si>
    <t>CESAR BARROS DA SILVA</t>
  </si>
  <si>
    <t>EDGAR CERQUEIRA GONCALVES</t>
  </si>
  <si>
    <t>EDMAR PEREIRA JUNIOR</t>
  </si>
  <si>
    <t>HAMILTON DA SILVA QUINTAL</t>
  </si>
  <si>
    <t>ISMAEL MOURA DE BRITO</t>
  </si>
  <si>
    <t>JOSE VAGNER MOURA FERREIRA</t>
  </si>
  <si>
    <t>RAI SANTOS RAMOS</t>
  </si>
  <si>
    <t>ROMARIO CONCEICAO DA SILVA SANTOS</t>
  </si>
  <si>
    <t>ROMARIO DA SILVA SOBRINHO</t>
  </si>
  <si>
    <t>RONALDO NUNES DA COSTA</t>
  </si>
  <si>
    <t>TAUA DANTAS DE ARAUJO</t>
  </si>
  <si>
    <t>WARLEY DOS SANTOS FERREIRA</t>
  </si>
  <si>
    <t>WILTON MENDES EPIFANIO DE SANTANA</t>
  </si>
  <si>
    <t>NICHOLLAS OLIVEIRA</t>
  </si>
  <si>
    <t>ABDON JOSE ALVES NETO</t>
  </si>
  <si>
    <t>ALEX SILVA CASTRO</t>
  </si>
  <si>
    <t>BRUNO RUAN DA CRUZ SOUZA</t>
  </si>
  <si>
    <t>CLEBSON FRANCISCO NOVAIS</t>
  </si>
  <si>
    <t>EDIMILSON SANTOS DA SILVA</t>
  </si>
  <si>
    <t>EUGENIO PEREIRA DE MELO</t>
  </si>
  <si>
    <t>FILIPE GUSTAVO NOGUEIRA DE BARROS</t>
  </si>
  <si>
    <t>GEAN FERREIRA MELO</t>
  </si>
  <si>
    <t>JANILDO PEREIRA DOS SANTOS</t>
  </si>
  <si>
    <t>JOSENILSON FERREIRA DOS SANTOS</t>
  </si>
  <si>
    <t>KAIQUE GABRIEL DA SILVA COSTA</t>
  </si>
  <si>
    <t>LUCAS LOURENCO SANTOS SOUZA</t>
  </si>
  <si>
    <t>LUCAS MEIRA DE SOUZA</t>
  </si>
  <si>
    <t>LUIS JUNIOR BRITO DE OLIVEIRA</t>
  </si>
  <si>
    <t>MATHEUS XAVIER MEIRA</t>
  </si>
  <si>
    <t>PEDRO HENRIQUE ANDRADE DE SOUZA</t>
  </si>
  <si>
    <t>RAFAEL DA SILVA RORIZ</t>
  </si>
  <si>
    <t>UELTON MONTEIRO DA SILVA</t>
  </si>
  <si>
    <t>WARLEY VINICIUS FERREIRA DA SILVA</t>
  </si>
  <si>
    <t>ALEX PINHEIRO DA MOTA</t>
  </si>
  <si>
    <t>ALISSON COSTA FERREIRA</t>
  </si>
  <si>
    <t>BRENO EDUARDO DE SOUZA FERREIRA</t>
  </si>
  <si>
    <t>EDMELQUE DA COSTA DOS SANTOS</t>
  </si>
  <si>
    <t>ELISETE ROCHA DA SILVA SANTOS</t>
  </si>
  <si>
    <t>GUTHIERRE RODRIGUES DOS SANTOS</t>
  </si>
  <si>
    <t>JULYA DE ALENCAR SILVA</t>
  </si>
  <si>
    <t>WELLITON SOARES BRANDAO OLIVEIRA</t>
  </si>
  <si>
    <t>YAGO SILVA BALIZA</t>
  </si>
  <si>
    <t>PROGRAMAS CORPORATIVOS-GRAOS</t>
  </si>
  <si>
    <t>MARCIA DE FATIMA SILVA OLIVEIRA</t>
  </si>
  <si>
    <t>MAURICO GONCALVES MACIEL</t>
  </si>
  <si>
    <t>MOACIR GONCALVES MACIEL</t>
  </si>
  <si>
    <t>COMPRADOR SR</t>
  </si>
  <si>
    <t xml:space="preserve">CARLOS OLIVEIRA </t>
  </si>
  <si>
    <t>MAURICIO SANTOS</t>
  </si>
  <si>
    <t>ADEMIR KAUA ARAUJO SOUZA</t>
  </si>
  <si>
    <t>ANDERSON ALTINO DE CASTRO</t>
  </si>
  <si>
    <t>ANDERSON FERREIRA DA SILVA</t>
  </si>
  <si>
    <t>ANTONIO MARCOS BATISTA DE DEUS</t>
  </si>
  <si>
    <t>DEMERSON ALMEIDA GONCALVES</t>
  </si>
  <si>
    <t>DEUVAIR PEREIRA DE SOUZA</t>
  </si>
  <si>
    <t>ELI LACERDA FERREIRA</t>
  </si>
  <si>
    <t>ELITON RODRIGUES DE MENEZES</t>
  </si>
  <si>
    <t>FABIO VINICIUS MACHADO ANDRADE OLIVEIRA</t>
  </si>
  <si>
    <t>GUILHERME DOS ANJOS ALMEIDA</t>
  </si>
  <si>
    <t>IREMAR DA SILVA PINA</t>
  </si>
  <si>
    <t>JADSON DE MOURA TRINDADE</t>
  </si>
  <si>
    <t>JOILSON GONCALVES DA SILVA</t>
  </si>
  <si>
    <t>LUCAS SILVA SOARES</t>
  </si>
  <si>
    <t>MICHEL FERREIRA DA SILVA</t>
  </si>
  <si>
    <t>PATRICIA LOPES FLORES</t>
  </si>
  <si>
    <t>RAMON NOGUEIRA DA MOTA</t>
  </si>
  <si>
    <t>RAYLSON ALVES LEITE</t>
  </si>
  <si>
    <t>ROBSON MOREIRA DE SOUZA</t>
  </si>
  <si>
    <t>ROGER FERNANDES RIBAS</t>
  </si>
  <si>
    <t>TALISSON FERREIRA DE SOUZA</t>
  </si>
  <si>
    <t>TIAGO DOS ANJOS DOS SANTOS</t>
  </si>
  <si>
    <t>UERBSON DE JESUS ROQUE</t>
  </si>
  <si>
    <t>WELLINGTON PEREIRA EVANGELISTA</t>
  </si>
  <si>
    <t>GERENTE CONTABIL</t>
  </si>
  <si>
    <t>ALDAIR DE ALMEIDA OLIVEIRA</t>
  </si>
  <si>
    <t>BENEDITO CARLOS DE ALMEIDA FILHO</t>
  </si>
  <si>
    <t>DANIEL BISPO DOS SANTOS</t>
  </si>
  <si>
    <t>DOUGLAS HENRIQUE FRANCISCO DA SILVA</t>
  </si>
  <si>
    <t>EMERSON CASTRO DOS SANTOS</t>
  </si>
  <si>
    <t>FABIO DA MOTA PINHEIRO</t>
  </si>
  <si>
    <t>FABIO RODRIGUES DOS SANTOS</t>
  </si>
  <si>
    <t>FABRICIO DE JESUS</t>
  </si>
  <si>
    <t>FAGNER FELICIANO FERREIRA</t>
  </si>
  <si>
    <t>JOLENILDO SILVA NASCIMENTO</t>
  </si>
  <si>
    <t>JOZELIA RODRIGUES DA SILVA</t>
  </si>
  <si>
    <t>KAIQUE JEFFERSON CARDOSO DE OLIVEIRA</t>
  </si>
  <si>
    <t>Gestor de Grãos III</t>
  </si>
  <si>
    <t>LEVY FEITOSA DA SILVA</t>
  </si>
  <si>
    <t>LUCIANO AZEVEDO DE OLIVEIRA</t>
  </si>
  <si>
    <t>MARCELO FERNANDES SANTOS</t>
  </si>
  <si>
    <t>MATEUS DA COSTA SOUZA</t>
  </si>
  <si>
    <t>MAURO DE BRITO DA SILVA</t>
  </si>
  <si>
    <t>PLANEJADOR DE IRRIGACAO</t>
  </si>
  <si>
    <t>RAFAEL NERES PEREIRA</t>
  </si>
  <si>
    <t>RAILAN CASTRO GUEDES</t>
  </si>
  <si>
    <t>AUXILIAR DE SSMA</t>
  </si>
  <si>
    <t>RONIEL DOS SANTOS SILVA MELO</t>
  </si>
  <si>
    <t>VICTOR DE SENA TALVERA</t>
  </si>
  <si>
    <t>VICTOR RODRIGUES DE JESUS</t>
  </si>
  <si>
    <t>WALEFY DE SOUSA SANTANA</t>
  </si>
  <si>
    <t>EDUARDA NASCIMENTO SILVA</t>
  </si>
  <si>
    <t>JUAN DA CRUZ FERREIRA</t>
  </si>
  <si>
    <t>KAUANNY CORDEIRO ANDRADE</t>
  </si>
  <si>
    <t>RAFAEL SOARES SANTANA</t>
  </si>
  <si>
    <t>ANALISTA CONTABIL JR</t>
  </si>
  <si>
    <t>ADEMARCIO MONTALVAO DA SILVA</t>
  </si>
  <si>
    <t>ALAILSON DE JEUS DA SILVA</t>
  </si>
  <si>
    <t>BRENO DOS SANTOS SILVA</t>
  </si>
  <si>
    <t>CARLOS OLIVEIRA PEREIRA</t>
  </si>
  <si>
    <t>CLAUDIMAR JOSE DOS SANTOS</t>
  </si>
  <si>
    <t>CLEISON PEREIRA DE CASTRO</t>
  </si>
  <si>
    <t>CLEITON SANTOS DAVI</t>
  </si>
  <si>
    <t>EDIVILSON FERREIRA DE MENEZES</t>
  </si>
  <si>
    <t>ELIONARIO DA CRUZ DE LIMA</t>
  </si>
  <si>
    <t>ELIVAN NUNES DE SOUZA</t>
  </si>
  <si>
    <t>ERIK DIAS DE SOUZA</t>
  </si>
  <si>
    <t>ESLAN CASTRO MORAIS PEREIRA</t>
  </si>
  <si>
    <t>FERNANDO DOS SANTOS FERREIRA</t>
  </si>
  <si>
    <t>GENIVALDO OLIVEIRA DOS SANTOS</t>
  </si>
  <si>
    <t>GILDASIO DOS SANTOS MENDES</t>
  </si>
  <si>
    <t>JAILSON PEREIRA BARBOSA</t>
  </si>
  <si>
    <t>JANUARIO SILVA DE OLIVEIRA</t>
  </si>
  <si>
    <t>JURANDI FOGACA TEIXEIRA NETO</t>
  </si>
  <si>
    <t>KAIQUE DA SILVA PEREIRA</t>
  </si>
  <si>
    <t>KAUE DOS SANTOS MELO</t>
  </si>
  <si>
    <t>LEANDRO SANTANA DE BRITO</t>
  </si>
  <si>
    <t>LUCAS BARBOSA DO NASCIMENTO</t>
  </si>
  <si>
    <t>LUIZ SILVA LUZ</t>
  </si>
  <si>
    <t>ANALISTA MELHORIA CONTINUA SR</t>
  </si>
  <si>
    <t>MARCIEL TOMAZ OLIVEIRA</t>
  </si>
  <si>
    <t>OCELIO MONTALVAO DA SILVA</t>
  </si>
  <si>
    <t>OSEIAS DA SILVA DE OLIVEIRA</t>
  </si>
  <si>
    <t>PABLO DA SILVA PEREIRA</t>
  </si>
  <si>
    <t>PATRICIO MAGALHAES DOS SANTOS</t>
  </si>
  <si>
    <t>TIAGO MONTALVAO DA SILVA</t>
  </si>
  <si>
    <t>TECNICO EM SEG DO TRABALHO JR</t>
  </si>
  <si>
    <t>VALDEIR BORGES DOS SANTOS</t>
  </si>
  <si>
    <t>VALDINEI RODRIGUES DA SILVA</t>
  </si>
  <si>
    <t>ADIEL AZEVEDO DE OLIVEIRA</t>
  </si>
  <si>
    <t>ALEX MACIEL CUNHA DE ARAUJO</t>
  </si>
  <si>
    <t>ALEXANDRE SOUZA DOS SANTOS</t>
  </si>
  <si>
    <t>ALINE SANTOS MAGALHAES</t>
  </si>
  <si>
    <t>BETANIA DE JESUS FERREIRA</t>
  </si>
  <si>
    <t>CAIO MARCOS LOUZADO TRINDADE</t>
  </si>
  <si>
    <t>DANIEL DIAS DOS SANTOS</t>
  </si>
  <si>
    <t>DOUGLAS BARRETO MAGALHAES</t>
  </si>
  <si>
    <t>GEOVANA DE JESUS SILVA</t>
  </si>
  <si>
    <t>HERIC RODRIGUES DE LIMA</t>
  </si>
  <si>
    <t>JOAO VITOR GUIMARAES MAGALHAES</t>
  </si>
  <si>
    <t>JOSE ALCIONE FERREIRA DA SILVA</t>
  </si>
  <si>
    <t>KAUA LOPES OLIVEIRA</t>
  </si>
  <si>
    <t>LUIZ ERNANDES PEREIRA ALMEIDA</t>
  </si>
  <si>
    <t>MARIANE CALDEIRA DE OLIVEIRA</t>
  </si>
  <si>
    <t>MARINA CALDEIRA DE OLIVEIRA</t>
  </si>
  <si>
    <t>PAULO BONE NERES DA SILVA</t>
  </si>
  <si>
    <t>RAFAEL ALMEIDA DA COSTA</t>
  </si>
  <si>
    <t>RENATO DE BRITO DIAS</t>
  </si>
  <si>
    <t>ROBERIO ALMEIDA DA COSTA</t>
  </si>
  <si>
    <t>RODRIGO TADEU DOS SANTOS</t>
  </si>
  <si>
    <t>TECNICO EM SEG DO TRABALHO PL</t>
  </si>
  <si>
    <t>RONEY NERES PEREIRA</t>
  </si>
  <si>
    <t>SUZENE OLIVEIRA DE SOUZA</t>
  </si>
  <si>
    <t>WANDERSON DE SOUZA OLIVEIRA</t>
  </si>
  <si>
    <t>ALAN SANTOS DE AZEVEDO</t>
  </si>
  <si>
    <t>EDMILSON DE BRITO SILVA</t>
  </si>
  <si>
    <t>MECANICO INDUSTRIAL III</t>
  </si>
  <si>
    <t>IGO FARIAS FRANCA</t>
  </si>
  <si>
    <t>IRANILDO DOS SANTOS CASTRO</t>
  </si>
  <si>
    <t>IVAN MONTALVAO DA SILVA</t>
  </si>
  <si>
    <t>MAELSON DE BRITO SILVA</t>
  </si>
  <si>
    <t>RAFAEL RODRIGUES DA CONCEICAO</t>
  </si>
  <si>
    <t>THIAGO MARCOS</t>
  </si>
  <si>
    <t>CRISTIANO BARBOSA</t>
  </si>
  <si>
    <t>IRON SANTOS</t>
  </si>
  <si>
    <t>WARLEY RIBEIRO / EUDES FERNANDES</t>
  </si>
  <si>
    <t>FABIANO DIAS</t>
  </si>
  <si>
    <t>JUNIO TEIXEIRA /EDIVILSON</t>
  </si>
  <si>
    <t>EDIVILSON MENEZES</t>
  </si>
  <si>
    <t>ADRIANO CRUZ SILVA</t>
  </si>
  <si>
    <t>Gestão  Grãos</t>
  </si>
  <si>
    <t>Gestão Cacau</t>
  </si>
  <si>
    <t>Gestao Manutenção</t>
  </si>
  <si>
    <t>Planejamento Manutenção</t>
  </si>
  <si>
    <t>ANNA JULIA DOS SANTOS FALCAO</t>
  </si>
  <si>
    <t>CARLOS EDUARDO DE OLIVEIRA VILAS BOAS</t>
  </si>
  <si>
    <t>ORIENTADOR TECNICO</t>
  </si>
  <si>
    <t>CECILIA EMANUELY OLIVEIRA DE ANDRADE</t>
  </si>
  <si>
    <t>Supervisão Grãos</t>
  </si>
  <si>
    <t>DENES DAMARES SANTOS FERREIRA</t>
  </si>
  <si>
    <t>EDUARDO DE SOUZA OLIVEIRA</t>
  </si>
  <si>
    <t>ELAINE MONTALVAO MELO</t>
  </si>
  <si>
    <t>Supervisão Algodoeira/Silo</t>
  </si>
  <si>
    <t>FERNANDA DAS NEVES FERREIRA</t>
  </si>
  <si>
    <t>GHABRYEL ALVES DAS NEVES MICLOS</t>
  </si>
  <si>
    <t>GRAZIANE PEREIRA ROSA</t>
  </si>
  <si>
    <t>IARLEY SANTOS DE MOURA</t>
  </si>
  <si>
    <t>IGOR SOUZA FERREIRA</t>
  </si>
  <si>
    <t>ISAIAS CARNEIRO DA GRACA</t>
  </si>
  <si>
    <t>ISLENE KARY GONÇALVES DOS SANTOS</t>
  </si>
  <si>
    <t>JHONE SILVA ANDRADE</t>
  </si>
  <si>
    <t>JOAO PEDRO DIAS VIANA</t>
  </si>
  <si>
    <t>Gestão Operação</t>
  </si>
  <si>
    <t>JOSIANE SANTOS DE SOUZA</t>
  </si>
  <si>
    <t>JUAN PABLO MARQUES BRANCO</t>
  </si>
  <si>
    <t>JULIO CESAR DE SOUZA PEREIRA</t>
  </si>
  <si>
    <t>Supervisão Manutenção</t>
  </si>
  <si>
    <t>KAELL DA SILVA ALVES</t>
  </si>
  <si>
    <t>KAILANE DOS SANTOS NASCIMENTO</t>
  </si>
  <si>
    <t>KAUA BISPO DE SOUZA</t>
  </si>
  <si>
    <t>KAUA TRINDADE VEIGA</t>
  </si>
  <si>
    <t>KELVIM DOS SANTOS SILVA</t>
  </si>
  <si>
    <t>Gestão Gente e Gestão</t>
  </si>
  <si>
    <t>LILIAM COSTA DOS SANTOS</t>
  </si>
  <si>
    <t>Supervisão Pulverização</t>
  </si>
  <si>
    <t>LUCAS DA SILVA SANTOS</t>
  </si>
  <si>
    <t>LUIS HENRIQUE SILVA CASTRO</t>
  </si>
  <si>
    <t>MATEUS LOPES MONTALVAO</t>
  </si>
  <si>
    <t>MICAEL FRANCA DE SOUZA</t>
  </si>
  <si>
    <t>MICAELY SOUZA SANTOS</t>
  </si>
  <si>
    <t>MIGUEL CORREIA MENDONCA</t>
  </si>
  <si>
    <t>MURYLLO REIS VASCONCELOS</t>
  </si>
  <si>
    <t>PAULA DE SOUZA ABREU</t>
  </si>
  <si>
    <t>RAFAEL OLIVEIRA DE SOUZA</t>
  </si>
  <si>
    <t>RAHYSSA COSTA OLIVEIRA BISPO</t>
  </si>
  <si>
    <t>RANIERI ABDIEL DE BARROS MATOS</t>
  </si>
  <si>
    <t>ROBSON SILVIO OLIVEIRA VEIGA</t>
  </si>
  <si>
    <t>SARAH KETLYN QUEIROZ SOUZA</t>
  </si>
  <si>
    <t>TAMIRES CORREIA BISPO DA SILVA</t>
  </si>
  <si>
    <t>THAINA JESUS DOS SANTOS</t>
  </si>
  <si>
    <t>VALDENICE DE OLIVEIRA MAGALHAES</t>
  </si>
  <si>
    <t>VITORIA DE OLIVEIRA SILVA</t>
  </si>
  <si>
    <t>Gestão Financeira</t>
  </si>
  <si>
    <t>Gestão Supply Chain</t>
  </si>
  <si>
    <t>WASHINGTON LUIS BARBOSA DE OLIVEIRA</t>
  </si>
  <si>
    <t>Supervisão Industria Tabaco</t>
  </si>
  <si>
    <t>ADENILSON LIMA MAGALHAES</t>
  </si>
  <si>
    <t>ADILANE CASTRO DA COSTA</t>
  </si>
  <si>
    <t>PROGRAMAS CORPORATIVOS-TABACO</t>
  </si>
  <si>
    <t>ADSON RODRIGUES DOS SANTOS</t>
  </si>
  <si>
    <t>AGEU PERREIRA DOS SANTOS</t>
  </si>
  <si>
    <t>Supervisão Campo II Tabaco</t>
  </si>
  <si>
    <t>ALEFE DOS SANTOS SILVA</t>
  </si>
  <si>
    <t>ALEXANDRE CUNHA GUEDES</t>
  </si>
  <si>
    <t>ALEXANDRE DE SOUZA PEREIRA</t>
  </si>
  <si>
    <t>ANDERSON OLIVEIRA DOS SANTOS</t>
  </si>
  <si>
    <t>ANDRE FELIPE CALDEIRA DE MOURA</t>
  </si>
  <si>
    <t>ANDREIA BOMFIM DA TRINDADE</t>
  </si>
  <si>
    <t>ANTONIO ROSARIO DOS SANTOS</t>
  </si>
  <si>
    <t>DAMIAO BARRENSE LIMA</t>
  </si>
  <si>
    <t>DANILLO BARROS DE MACEDO</t>
  </si>
  <si>
    <t>DEUSDETE CARDOSO DOS SANTOS</t>
  </si>
  <si>
    <t>DORIVAN COSTA BISPO</t>
  </si>
  <si>
    <t>EDINON OLIVEIRA DE MELO</t>
  </si>
  <si>
    <t>Supervisão Campo I Tabaco</t>
  </si>
  <si>
    <t>EDUARDA DE OLIVEIRA SILVA</t>
  </si>
  <si>
    <t>EDUARDA MAURICIO LIMA</t>
  </si>
  <si>
    <t>ELIANA DA SILVA SOUZA</t>
  </si>
  <si>
    <t>ELISSON DOS SANTOS NOGUEIRA</t>
  </si>
  <si>
    <t>ERICK DE SOUZA SILVA</t>
  </si>
  <si>
    <t>GILVAN REIS DE OLIVEIRA JUNIOR</t>
  </si>
  <si>
    <t>GISLANY SOARES DE SOUZA</t>
  </si>
  <si>
    <t>GRAZIELA OLIVEIRA REIS</t>
  </si>
  <si>
    <t>GUILHERME DE SOUZA COSTA</t>
  </si>
  <si>
    <t>GUSTAVO DE SOUZA NUNES</t>
  </si>
  <si>
    <t>GUSTAVO DE SOUZA SILVA</t>
  </si>
  <si>
    <t>GUSTAVO MENDES PAES FILHO</t>
  </si>
  <si>
    <t>HANDRYEL MACEDO DE ABREU</t>
  </si>
  <si>
    <t>HUGO LEAL ROCHA</t>
  </si>
  <si>
    <t>IARA OLIVEIRA DE ARAUJO</t>
  </si>
  <si>
    <t>Gestão Tabaco</t>
  </si>
  <si>
    <t>JAISLA DE JESUS CAMARGO</t>
  </si>
  <si>
    <t>JAMILE HELEN MAGALHAES LIMA</t>
  </si>
  <si>
    <t>JANDIR ISMENIA DE SOUZA</t>
  </si>
  <si>
    <t>JOAO CARLOS DE CASTRO FALCAO</t>
  </si>
  <si>
    <t>JOAO VICTOR RORIZ DIAMANTINO</t>
  </si>
  <si>
    <t>JOAO VITOR BARRETO</t>
  </si>
  <si>
    <t>JOSE CARLOS BRITO NOGUEIRA</t>
  </si>
  <si>
    <t>JOSE VICTOR LIMA PAZ</t>
  </si>
  <si>
    <t>JOSEILTON BISPO DOS SANTOS</t>
  </si>
  <si>
    <t>JULLIANNY LACERDA VASCONCELOS</t>
  </si>
  <si>
    <t>KAILANE SOUZA FERREIRA</t>
  </si>
  <si>
    <t>KAIQUE DA CONCEICAO MOTA</t>
  </si>
  <si>
    <t>KAMYLI STHEFFANY ANDRADE MONTALVAO</t>
  </si>
  <si>
    <t>KARINA LIMA DOS SANTOS</t>
  </si>
  <si>
    <t>KELTON PEREIRA PINTO</t>
  </si>
  <si>
    <t>LEANDRO MOREIRA DE SOUZA</t>
  </si>
  <si>
    <t>LUAN MESSIAS LIMA DE OLIVEIRA</t>
  </si>
  <si>
    <t>LUCAS DE JESUS DA SILVA</t>
  </si>
  <si>
    <t>LUIZ EDUARDO RODRIGUES BALIZA</t>
  </si>
  <si>
    <t>LUIZ FELIPE DE JESUS VIEIRA</t>
  </si>
  <si>
    <t>MARCOS AURELIO PEREIRA BISPO</t>
  </si>
  <si>
    <t>MARIA EDUARDA CAMARGO BARBOSA</t>
  </si>
  <si>
    <t>MARIA EDUARDA DOS SANTOS SILVA</t>
  </si>
  <si>
    <t>MARILIA GABRIELLA OLIVEIRA DA PAIXAO</t>
  </si>
  <si>
    <t>MATEUS DA SILVA FERREIRA</t>
  </si>
  <si>
    <t>MATEUS NEVES DE SOUZA</t>
  </si>
  <si>
    <t>MATHEUS DOS SANTOS MAGALHAES</t>
  </si>
  <si>
    <t>NEILTON VIEIRA DA SILVA</t>
  </si>
  <si>
    <t>PAULA MAIZA BARROS DE ALMEIDA</t>
  </si>
  <si>
    <t>RAFAEL SANTOS DAS NEVES</t>
  </si>
  <si>
    <t>RAIAN MELO NASCIMENTO</t>
  </si>
  <si>
    <t>RAUL TRINDADE ABREU</t>
  </si>
  <si>
    <t>REGINALDO DE JESUS MATOS</t>
  </si>
  <si>
    <t>REINALDO DA SILVA E SILVA</t>
  </si>
  <si>
    <t>RODRIGO CARNEIRO DOS SANTOS</t>
  </si>
  <si>
    <t>ROSEMIRO DE OLIVEIRA SANTOS</t>
  </si>
  <si>
    <t>RUAN DA SILVA DE SOUZA</t>
  </si>
  <si>
    <t>SAMUEL RAMOS TRANCOSO</t>
  </si>
  <si>
    <t>SANDY DE JESUS OSORIO MOURA</t>
  </si>
  <si>
    <t>SOPHIA COSTA DOS SANTOS</t>
  </si>
  <si>
    <t>SUZANA SILVA DO NASCIMENTO</t>
  </si>
  <si>
    <t>THAIS PEREIRA DA COSTA</t>
  </si>
  <si>
    <t>UANDERSON DA SILVA SOUZA</t>
  </si>
  <si>
    <t>VALDINEI ALVES DOS SANTOS</t>
  </si>
  <si>
    <t>WARLEY DA SILVA SANTOS</t>
  </si>
  <si>
    <t>WELLINGTON FERREIRA DA SILVA</t>
  </si>
  <si>
    <t>WESLEY FERNANDES FOGACA GONCALVES</t>
  </si>
  <si>
    <t>WILLISON LIMA DE OLIVEIRA</t>
  </si>
  <si>
    <t>ZILENE MEIRA CARDOSO</t>
  </si>
  <si>
    <t>JOSE ALBERISSON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</si>
</sst>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/>
    <xf numFmtId="43" fontId="1" fillId="0" borderId="0" xfId="1" applyFont="1"/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/>
    <xf numFmtId="0" fontId="5" fillId="3" borderId="0" xfId="0" applyFont="1" applyFill="1"/>
    <xf numFmtId="14" fontId="5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na.santos\Downloads\Base%20SCA%2002%202026.xlsx" TargetMode="External"/><Relationship Id="rId1" Type="http://schemas.openxmlformats.org/officeDocument/2006/relationships/externalLinkPath" Target="file:///C:\Users\adna.santos\Downloads\Base%20SCA%2002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SCA 02 2026"/>
    </sheetNames>
    <sheetDataSet>
      <sheetData sheetId="0">
        <row r="1">
          <cell r="V1" t="str">
            <v>Unid Lotação-Descrição</v>
          </cell>
          <cell r="W1" t="str">
            <v>Area</v>
          </cell>
          <cell r="X1" t="str">
            <v>Gerente</v>
          </cell>
          <cell r="Y1" t="str">
            <v>Coordenador</v>
          </cell>
          <cell r="Z1" t="str">
            <v>Supervisor</v>
          </cell>
        </row>
        <row r="2">
          <cell r="V2" t="str">
            <v>Campo Agricola Cacau</v>
          </cell>
          <cell r="W2" t="str">
            <v>Operações Karitel</v>
          </cell>
          <cell r="X2" t="str">
            <v>JOSÉ GOUVEA</v>
          </cell>
          <cell r="Y2" t="str">
            <v>ALEX DIAS</v>
          </cell>
        </row>
        <row r="3">
          <cell r="V3" t="str">
            <v>Manutenção Mecanica Karitel</v>
          </cell>
          <cell r="W3" t="str">
            <v>Operações Karitel</v>
          </cell>
          <cell r="X3" t="str">
            <v>RAFAEL XAVIER</v>
          </cell>
          <cell r="Y3" t="str">
            <v>FERNANDO GUILHERME</v>
          </cell>
          <cell r="Z3" t="str">
            <v>JUNIO COSTA</v>
          </cell>
        </row>
        <row r="4">
          <cell r="V4" t="str">
            <v>Campo Agricola Rio do Meio</v>
          </cell>
          <cell r="W4" t="str">
            <v>Operações Karitel</v>
          </cell>
          <cell r="X4" t="str">
            <v>PAULO BONIFÁCIO</v>
          </cell>
          <cell r="Y4" t="str">
            <v>MAURICIO SANTOS</v>
          </cell>
          <cell r="Z4" t="str">
            <v>EDIS MOREIRA</v>
          </cell>
        </row>
        <row r="5">
          <cell r="V5" t="str">
            <v>Usina Cacau</v>
          </cell>
          <cell r="W5" t="str">
            <v>Operações Karitel</v>
          </cell>
          <cell r="X5" t="str">
            <v>JOSÉ GOUVEA</v>
          </cell>
          <cell r="Y5" t="str">
            <v>JOSÉ GOUVEA</v>
          </cell>
        </row>
        <row r="6">
          <cell r="V6" t="str">
            <v>Campo Agricola Cacau</v>
          </cell>
          <cell r="W6" t="str">
            <v>Operações Karitel</v>
          </cell>
          <cell r="X6" t="str">
            <v>JOSÉ GOUVEA</v>
          </cell>
          <cell r="Y6" t="str">
            <v>ALEX DIAS</v>
          </cell>
        </row>
        <row r="7">
          <cell r="V7" t="str">
            <v>Eucalipto Capex</v>
          </cell>
          <cell r="W7" t="str">
            <v>Operações Karitel</v>
          </cell>
          <cell r="X7" t="str">
            <v>JOSÉ GOUVEA</v>
          </cell>
          <cell r="Y7" t="str">
            <v>ALEX DIAS</v>
          </cell>
        </row>
        <row r="8">
          <cell r="V8" t="str">
            <v>Facilities - Karitel</v>
          </cell>
          <cell r="W8" t="str">
            <v>Gente e Gestão</v>
          </cell>
          <cell r="X8" t="str">
            <v xml:space="preserve">LEIDJANE MARTINS </v>
          </cell>
          <cell r="Y8" t="str">
            <v xml:space="preserve">LEIDJANE MARTINS </v>
          </cell>
          <cell r="Z8" t="str">
            <v>DENIS ACASSIO</v>
          </cell>
        </row>
        <row r="9">
          <cell r="V9" t="str">
            <v>Manutenção Mecanica Karitel</v>
          </cell>
          <cell r="W9" t="str">
            <v>Operações Karitel</v>
          </cell>
          <cell r="X9" t="str">
            <v>RAFAEL XAVIER</v>
          </cell>
          <cell r="Y9" t="str">
            <v>FERNANDO GUILHERME</v>
          </cell>
          <cell r="Z9" t="str">
            <v>JUNIO COSTA</v>
          </cell>
        </row>
        <row r="10">
          <cell r="V10" t="str">
            <v>Manutenção Mecanica Karitel</v>
          </cell>
          <cell r="W10" t="str">
            <v>Operações Karitel</v>
          </cell>
          <cell r="X10" t="str">
            <v>RAFAEL XAVIER</v>
          </cell>
          <cell r="Y10" t="str">
            <v>FERNANDO GUILHERME</v>
          </cell>
          <cell r="Z10" t="str">
            <v>JUNIO COSTA</v>
          </cell>
        </row>
        <row r="11">
          <cell r="V11" t="str">
            <v>Campo Agricola Cacau</v>
          </cell>
          <cell r="W11" t="str">
            <v>Operações Karitel</v>
          </cell>
          <cell r="X11" t="str">
            <v>JOSÉ GOUVEA</v>
          </cell>
          <cell r="Y11" t="str">
            <v>ALEX DIAS</v>
          </cell>
        </row>
        <row r="12">
          <cell r="V12" t="str">
            <v>Manutenção Predial Karitel</v>
          </cell>
          <cell r="W12" t="str">
            <v>Operações Karitel</v>
          </cell>
          <cell r="X12" t="str">
            <v>RAFAEL XAVIER</v>
          </cell>
          <cell r="Y12" t="str">
            <v>IVONEI CAMPOS</v>
          </cell>
          <cell r="Z12" t="str">
            <v>ANDRÉ CUBA</v>
          </cell>
        </row>
        <row r="13">
          <cell r="V13" t="str">
            <v>Silo</v>
          </cell>
          <cell r="W13" t="str">
            <v>Operações Karitel</v>
          </cell>
          <cell r="X13" t="str">
            <v>PAULO BONIFÁCIO</v>
          </cell>
          <cell r="Y13" t="str">
            <v>ALDAIR BORGES</v>
          </cell>
          <cell r="Z13" t="str">
            <v>ISAC NONATO</v>
          </cell>
        </row>
        <row r="14">
          <cell r="V14" t="str">
            <v>Campo Agricola Grãos</v>
          </cell>
          <cell r="W14" t="str">
            <v>Operações Karitel</v>
          </cell>
          <cell r="X14" t="str">
            <v>PAULO BONIFÁCIO</v>
          </cell>
          <cell r="Y14" t="str">
            <v>MAURICIO SANTOS</v>
          </cell>
          <cell r="Z14" t="str">
            <v xml:space="preserve">EDSON/MARCELO LIMA </v>
          </cell>
        </row>
        <row r="15">
          <cell r="V15" t="str">
            <v>Manutenção Mecanica Karitel</v>
          </cell>
          <cell r="W15" t="str">
            <v>Operações Karitel</v>
          </cell>
          <cell r="X15" t="str">
            <v>RAFAEL XAVIER</v>
          </cell>
          <cell r="Y15" t="str">
            <v>FERNANDO GUILHERME</v>
          </cell>
          <cell r="Z15" t="str">
            <v>JUNIO COSTA</v>
          </cell>
        </row>
        <row r="16">
          <cell r="V16" t="str">
            <v>Campo Agricola Cacau</v>
          </cell>
          <cell r="W16" t="str">
            <v>Operações Karitel</v>
          </cell>
          <cell r="X16" t="str">
            <v>JOSÉ GOUVEA</v>
          </cell>
          <cell r="Y16" t="str">
            <v>ALEX DIAS</v>
          </cell>
        </row>
        <row r="17">
          <cell r="V17" t="str">
            <v>Algodoeira</v>
          </cell>
          <cell r="W17" t="str">
            <v>Operações Karitel</v>
          </cell>
          <cell r="X17" t="str">
            <v>PAULO BONIFÁCIO</v>
          </cell>
          <cell r="Y17" t="str">
            <v>ALDAIR BORGES</v>
          </cell>
          <cell r="Z17" t="str">
            <v>WARLEY RIBEIRO</v>
          </cell>
        </row>
        <row r="18">
          <cell r="V18" t="str">
            <v>Campo Agricola Cacau</v>
          </cell>
          <cell r="W18" t="str">
            <v>Operações Karitel</v>
          </cell>
          <cell r="X18" t="str">
            <v>JOSÉ GOUVEA</v>
          </cell>
          <cell r="Y18" t="str">
            <v>ALEX DIAS</v>
          </cell>
        </row>
        <row r="19">
          <cell r="V19" t="str">
            <v>Campo Agricola Cacau - CAPEX</v>
          </cell>
          <cell r="W19" t="str">
            <v>Operações Karitel</v>
          </cell>
          <cell r="X19" t="str">
            <v>JOSÉ GOUVEA</v>
          </cell>
          <cell r="Y19" t="str">
            <v>ALEX DIAS</v>
          </cell>
        </row>
        <row r="20">
          <cell r="V20" t="str">
            <v>Campo Agricola Cacau</v>
          </cell>
          <cell r="W20" t="str">
            <v>Operações Karitel</v>
          </cell>
          <cell r="X20" t="str">
            <v>JOSÉ GOUVEA</v>
          </cell>
          <cell r="Y20" t="str">
            <v>ALEX DIAS</v>
          </cell>
        </row>
        <row r="21">
          <cell r="V21" t="str">
            <v>Manutenção Predial Karitel</v>
          </cell>
          <cell r="W21" t="str">
            <v>Operações Karitel</v>
          </cell>
          <cell r="X21" t="str">
            <v>RAFAEL XAVIER</v>
          </cell>
          <cell r="Y21" t="str">
            <v>IVONEI CAMPOS</v>
          </cell>
          <cell r="Z21" t="str">
            <v>ANDRÉ CUBA</v>
          </cell>
        </row>
        <row r="22">
          <cell r="V22" t="str">
            <v>Pulverização Rio do Meio</v>
          </cell>
          <cell r="W22" t="str">
            <v>Operações Karitel</v>
          </cell>
          <cell r="X22" t="str">
            <v>PAULO BONIFÁCIO</v>
          </cell>
          <cell r="Y22" t="str">
            <v xml:space="preserve">JOÃO KOMURA </v>
          </cell>
        </row>
        <row r="23">
          <cell r="V23" t="str">
            <v>Campo Agricola Cacau</v>
          </cell>
          <cell r="W23" t="str">
            <v>Operações Karitel</v>
          </cell>
          <cell r="X23" t="str">
            <v>JOSÉ GOUVEA</v>
          </cell>
          <cell r="Y23" t="str">
            <v>ALEX DIAS</v>
          </cell>
        </row>
        <row r="24">
          <cell r="V24" t="str">
            <v>Programas Corporativos</v>
          </cell>
          <cell r="W24" t="str">
            <v>Gente e Gestão</v>
          </cell>
          <cell r="X24" t="str">
            <v xml:space="preserve">LEIDJANE MARTINS </v>
          </cell>
          <cell r="Y24" t="str">
            <v xml:space="preserve">LEIDJANE MARTINS </v>
          </cell>
        </row>
        <row r="25">
          <cell r="V25" t="str">
            <v>Planejamento Irrigação Grãos</v>
          </cell>
          <cell r="W25" t="str">
            <v>Operações Karitel</v>
          </cell>
          <cell r="X25" t="str">
            <v>PAULO BONIFÁCIO</v>
          </cell>
          <cell r="Y25" t="str">
            <v>PAULO BONIFÁCIO</v>
          </cell>
          <cell r="Z25" t="str">
            <v xml:space="preserve">LEONARDO SANTOS </v>
          </cell>
        </row>
        <row r="26">
          <cell r="V26" t="str">
            <v>Usina Cacau</v>
          </cell>
          <cell r="W26" t="str">
            <v>Operações Karitel</v>
          </cell>
          <cell r="X26" t="str">
            <v>JOSÉ GOUVEA</v>
          </cell>
          <cell r="Y26" t="str">
            <v>JOSÉ GOUVEA</v>
          </cell>
        </row>
        <row r="27">
          <cell r="V27" t="str">
            <v>Campo Agricola Cacau - CAPEX</v>
          </cell>
          <cell r="W27" t="str">
            <v>Operações Karitel</v>
          </cell>
          <cell r="X27" t="str">
            <v>JOSÉ GOUVEA</v>
          </cell>
          <cell r="Y27" t="str">
            <v>ALEX DIAS</v>
          </cell>
        </row>
        <row r="28">
          <cell r="V28" t="str">
            <v>Planejamento Irrigação Grãos</v>
          </cell>
          <cell r="W28" t="str">
            <v>Operações Karitel</v>
          </cell>
          <cell r="X28" t="str">
            <v>PAULO BONIFÁCIO</v>
          </cell>
          <cell r="Y28" t="str">
            <v>PAULO BONIFÁCIO</v>
          </cell>
          <cell r="Z28" t="str">
            <v xml:space="preserve">LEONARDO SANTOS </v>
          </cell>
        </row>
        <row r="29">
          <cell r="V29" t="str">
            <v>Manutenção Mecanica Karitel</v>
          </cell>
          <cell r="W29" t="str">
            <v>Operações Karitel</v>
          </cell>
          <cell r="X29" t="str">
            <v>RAFAEL XAVIER</v>
          </cell>
          <cell r="Y29" t="str">
            <v>FERNANDO GUILHERME</v>
          </cell>
          <cell r="Z29" t="str">
            <v>JUNIO COSTA</v>
          </cell>
        </row>
        <row r="30">
          <cell r="V30" t="str">
            <v>Planejamento Irrigação Grãos</v>
          </cell>
          <cell r="W30" t="str">
            <v>Operações Karitel</v>
          </cell>
          <cell r="X30" t="str">
            <v>PAULO BONIFÁCIO</v>
          </cell>
          <cell r="Y30" t="str">
            <v>PAULO BONIFÁCIO</v>
          </cell>
          <cell r="Z30" t="str">
            <v xml:space="preserve">LEONARDO SANTOS </v>
          </cell>
        </row>
        <row r="31">
          <cell r="V31" t="str">
            <v>Gestor Algodoeira</v>
          </cell>
          <cell r="W31" t="str">
            <v>Operações Karitel</v>
          </cell>
          <cell r="X31" t="str">
            <v>PAULO BONIFÁCIO</v>
          </cell>
          <cell r="Y31" t="str">
            <v>PAULO BONIFÁCIO</v>
          </cell>
        </row>
        <row r="32">
          <cell r="V32" t="str">
            <v>Campo Agricola Cacau</v>
          </cell>
          <cell r="W32" t="str">
            <v>Operações Karitel</v>
          </cell>
          <cell r="X32" t="str">
            <v>JOSÉ GOUVEA</v>
          </cell>
          <cell r="Y32" t="str">
            <v>ALEX DIAS</v>
          </cell>
        </row>
        <row r="33">
          <cell r="V33" t="str">
            <v>Campo Agricola Grãos</v>
          </cell>
          <cell r="W33" t="str">
            <v>Operações Karitel</v>
          </cell>
          <cell r="X33" t="str">
            <v>PAULO BONIFÁCIO</v>
          </cell>
          <cell r="Y33" t="str">
            <v>MAURICIO SANTOS</v>
          </cell>
          <cell r="Z33" t="str">
            <v xml:space="preserve">EDSON/MARCELO LIMA </v>
          </cell>
        </row>
        <row r="34">
          <cell r="V34" t="str">
            <v>Campo Agricola Cacau</v>
          </cell>
          <cell r="W34" t="str">
            <v>Operações Karitel</v>
          </cell>
          <cell r="X34" t="str">
            <v>JOSÉ GOUVEA</v>
          </cell>
          <cell r="Y34" t="str">
            <v>ALEX DIAS</v>
          </cell>
        </row>
        <row r="35">
          <cell r="V35" t="str">
            <v>Campo Agricola Cacau - CAPEX</v>
          </cell>
          <cell r="W35" t="str">
            <v>Operações Karitel</v>
          </cell>
          <cell r="X35" t="str">
            <v>JOSÉ GOUVEA</v>
          </cell>
          <cell r="Y35" t="str">
            <v>ALEX DIAS</v>
          </cell>
        </row>
        <row r="36">
          <cell r="V36" t="str">
            <v>Almoxarifado - Karitel</v>
          </cell>
          <cell r="W36" t="str">
            <v>Finanças</v>
          </cell>
          <cell r="X36" t="str">
            <v>ANDREZA LARDO</v>
          </cell>
          <cell r="Y36" t="str">
            <v>ANDREZA LARDO</v>
          </cell>
          <cell r="Z36" t="str">
            <v>ADENILTON RODRIGUES</v>
          </cell>
        </row>
        <row r="37">
          <cell r="V37" t="str">
            <v>Manutenção Mecanica Karitel</v>
          </cell>
          <cell r="W37" t="str">
            <v>Operações Karitel</v>
          </cell>
          <cell r="X37" t="str">
            <v>RAFAEL XAVIER</v>
          </cell>
          <cell r="Y37" t="str">
            <v>FERNANDO GUILHERME</v>
          </cell>
          <cell r="Z37" t="str">
            <v>JUNIO COSTA</v>
          </cell>
        </row>
        <row r="38">
          <cell r="V38" t="str">
            <v>Gestor Cacau</v>
          </cell>
          <cell r="W38" t="str">
            <v>Operações Karitel</v>
          </cell>
          <cell r="X38" t="str">
            <v>JOSÉ GOUVEA</v>
          </cell>
          <cell r="Y38" t="str">
            <v>JOSÉ GOUVEA</v>
          </cell>
        </row>
        <row r="39">
          <cell r="V39" t="str">
            <v>Facilities - Karitel</v>
          </cell>
          <cell r="W39" t="str">
            <v>Gente e Gestão</v>
          </cell>
          <cell r="X39" t="str">
            <v xml:space="preserve">LEIDJANE MARTINS </v>
          </cell>
          <cell r="Y39" t="str">
            <v xml:space="preserve">LEIDJANE MARTINS </v>
          </cell>
          <cell r="Z39" t="str">
            <v>DENIS ACASSIO</v>
          </cell>
        </row>
        <row r="40">
          <cell r="V40" t="str">
            <v>Planejamento Irrigação Grãos</v>
          </cell>
          <cell r="W40" t="str">
            <v>Operações Karitel</v>
          </cell>
          <cell r="X40" t="str">
            <v>PAULO BONIFÁCIO</v>
          </cell>
          <cell r="Y40" t="str">
            <v>PAULO BONIFÁCIO</v>
          </cell>
          <cell r="Z40" t="str">
            <v xml:space="preserve">LEONARDO SANTOS </v>
          </cell>
        </row>
        <row r="41">
          <cell r="V41" t="str">
            <v>Campo Agricola Cacau - CAPEX</v>
          </cell>
          <cell r="W41" t="str">
            <v>Operações Karitel</v>
          </cell>
          <cell r="X41" t="str">
            <v>JOSÉ GOUVEA</v>
          </cell>
          <cell r="Y41" t="str">
            <v>ALEX DIAS</v>
          </cell>
        </row>
        <row r="42">
          <cell r="V42" t="str">
            <v>Campo Agricola Cacau</v>
          </cell>
          <cell r="W42" t="str">
            <v>Operações Karitel</v>
          </cell>
          <cell r="X42" t="str">
            <v>JOSÉ GOUVEA</v>
          </cell>
          <cell r="Y42" t="str">
            <v>ALEX DIAS</v>
          </cell>
        </row>
        <row r="43">
          <cell r="V43" t="str">
            <v>Planejamento Irrigação Grãos</v>
          </cell>
          <cell r="W43" t="str">
            <v>Operações Karitel</v>
          </cell>
          <cell r="X43" t="str">
            <v>PAULO BONIFÁCIO</v>
          </cell>
          <cell r="Y43" t="str">
            <v>PAULO BONIFÁCIO</v>
          </cell>
          <cell r="Z43" t="str">
            <v xml:space="preserve">LEONARDO SANTOS </v>
          </cell>
        </row>
        <row r="44">
          <cell r="V44" t="str">
            <v>Pulverização Rio do Meio</v>
          </cell>
          <cell r="W44" t="str">
            <v>Operações Karitel</v>
          </cell>
          <cell r="X44" t="str">
            <v>PAULO BONIFÁCIO</v>
          </cell>
          <cell r="Y44" t="str">
            <v xml:space="preserve">JOÃO KOMURA </v>
          </cell>
        </row>
        <row r="45">
          <cell r="V45" t="str">
            <v>Apontamento Karitel</v>
          </cell>
          <cell r="W45" t="str">
            <v>Operações Karitel</v>
          </cell>
          <cell r="X45" t="str">
            <v>MATHEUS FERNANDES</v>
          </cell>
          <cell r="Y45" t="str">
            <v>MATHEUS FERNANDES</v>
          </cell>
        </row>
        <row r="46">
          <cell r="V46" t="str">
            <v>Campo Agricola Grãos</v>
          </cell>
          <cell r="W46" t="str">
            <v>Operações Karitel</v>
          </cell>
          <cell r="X46" t="str">
            <v>PAULO BONIFÁCIO</v>
          </cell>
          <cell r="Y46" t="str">
            <v>MAURICIO SANTOS</v>
          </cell>
          <cell r="Z46" t="str">
            <v xml:space="preserve">EDSON/MARCELO LIMA </v>
          </cell>
        </row>
        <row r="47">
          <cell r="V47" t="str">
            <v>Campo Agricola Cacau</v>
          </cell>
          <cell r="W47" t="str">
            <v>Operações Karitel</v>
          </cell>
          <cell r="X47" t="str">
            <v>JOSÉ GOUVEA</v>
          </cell>
          <cell r="Y47" t="str">
            <v>ALEX DIAS</v>
          </cell>
        </row>
        <row r="48">
          <cell r="V48" t="str">
            <v>Campo Agricola Rio do Meio</v>
          </cell>
          <cell r="W48" t="str">
            <v>Operações Karitel</v>
          </cell>
          <cell r="X48" t="str">
            <v>PAULO BONIFÁCIO</v>
          </cell>
          <cell r="Y48" t="str">
            <v>MAURICIO SANTOS</v>
          </cell>
          <cell r="Z48" t="str">
            <v>EDIS MOREIRA</v>
          </cell>
        </row>
        <row r="49">
          <cell r="V49" t="str">
            <v>Eucalipto Capex</v>
          </cell>
          <cell r="W49" t="str">
            <v>Operações Karitel</v>
          </cell>
          <cell r="X49" t="str">
            <v>JOSÉ GOUVEA</v>
          </cell>
          <cell r="Y49" t="str">
            <v>ALEX DIAS</v>
          </cell>
        </row>
        <row r="50">
          <cell r="V50" t="str">
            <v>Programas Corporativos</v>
          </cell>
          <cell r="W50" t="str">
            <v>Gente e Gestão</v>
          </cell>
          <cell r="X50" t="str">
            <v xml:space="preserve">LEIDJANE MARTINS </v>
          </cell>
          <cell r="Y50" t="str">
            <v xml:space="preserve">LEIDJANE MARTINS </v>
          </cell>
        </row>
        <row r="51">
          <cell r="V51" t="str">
            <v>Manutenção Predial Karitel</v>
          </cell>
          <cell r="W51" t="str">
            <v>Operações Karitel</v>
          </cell>
          <cell r="X51" t="str">
            <v>RAFAEL XAVIER</v>
          </cell>
          <cell r="Y51" t="str">
            <v>IVONEI CAMPOS</v>
          </cell>
          <cell r="Z51" t="str">
            <v>ANDRÉ CUBA</v>
          </cell>
        </row>
        <row r="52">
          <cell r="V52" t="str">
            <v>Almoxarifado - Karitel</v>
          </cell>
          <cell r="W52" t="str">
            <v>Finanças</v>
          </cell>
          <cell r="X52" t="str">
            <v>ANDREZA LARDO</v>
          </cell>
          <cell r="Y52" t="str">
            <v>ANDREZA LARDO</v>
          </cell>
          <cell r="Z52" t="str">
            <v>ADENILTON RODRIGUES</v>
          </cell>
        </row>
        <row r="53">
          <cell r="V53" t="str">
            <v>Manutenção Mecanica Karitel</v>
          </cell>
          <cell r="W53" t="str">
            <v>Operações Karitel</v>
          </cell>
          <cell r="X53" t="str">
            <v>RAFAEL XAVIER</v>
          </cell>
          <cell r="Y53" t="str">
            <v>FERNANDO GUILHERME</v>
          </cell>
          <cell r="Z53" t="str">
            <v>JUNIO COSTA</v>
          </cell>
        </row>
        <row r="54">
          <cell r="V54" t="str">
            <v>Campo Agricola Cacau</v>
          </cell>
          <cell r="W54" t="str">
            <v>Operações Karitel</v>
          </cell>
          <cell r="X54" t="str">
            <v>JOSÉ GOUVEA</v>
          </cell>
          <cell r="Y54" t="str">
            <v>ALEX DIAS</v>
          </cell>
        </row>
        <row r="55">
          <cell r="V55" t="str">
            <v>Campo Agricola Cacau</v>
          </cell>
          <cell r="W55" t="str">
            <v>Operações Karitel</v>
          </cell>
          <cell r="X55" t="str">
            <v>JOSÉ GOUVEA</v>
          </cell>
          <cell r="Y55" t="str">
            <v>ALEX DIAS</v>
          </cell>
        </row>
        <row r="56">
          <cell r="V56" t="str">
            <v>Campo Agricola Rio do Meio</v>
          </cell>
          <cell r="W56" t="str">
            <v>Operações Karitel</v>
          </cell>
          <cell r="X56" t="str">
            <v>PAULO BONIFÁCIO</v>
          </cell>
          <cell r="Y56" t="str">
            <v>MAURICIO SANTOS</v>
          </cell>
          <cell r="Z56" t="str">
            <v>EDIS MOREIRA</v>
          </cell>
        </row>
        <row r="57">
          <cell r="V57" t="str">
            <v>Campo Agricola Cacau</v>
          </cell>
          <cell r="W57" t="str">
            <v>Operações Karitel</v>
          </cell>
          <cell r="X57" t="str">
            <v>JOSÉ GOUVEA</v>
          </cell>
          <cell r="Y57" t="str">
            <v>ALEX DIAS</v>
          </cell>
        </row>
        <row r="58">
          <cell r="V58" t="str">
            <v>Campo Agricola Cacau</v>
          </cell>
          <cell r="W58" t="str">
            <v>Operações Karitel</v>
          </cell>
          <cell r="X58" t="str">
            <v>JOSÉ GOUVEA</v>
          </cell>
          <cell r="Y58" t="str">
            <v>ALEX DIAS</v>
          </cell>
        </row>
        <row r="59">
          <cell r="V59" t="str">
            <v>Campo Agricola Cacau</v>
          </cell>
          <cell r="W59" t="str">
            <v>Operações Karitel</v>
          </cell>
          <cell r="X59" t="str">
            <v>JOSÉ GOUVEA</v>
          </cell>
          <cell r="Y59" t="str">
            <v>ALEX DIAS</v>
          </cell>
        </row>
        <row r="60">
          <cell r="V60" t="str">
            <v>Planejamento Irrigação Grãos</v>
          </cell>
          <cell r="W60" t="str">
            <v>Operações Karitel</v>
          </cell>
          <cell r="X60" t="str">
            <v>PAULO BONIFÁCIO</v>
          </cell>
          <cell r="Y60" t="str">
            <v>PAULO BONIFÁCIO</v>
          </cell>
          <cell r="Z60" t="str">
            <v xml:space="preserve">LEONARDO SANTOS </v>
          </cell>
        </row>
        <row r="61">
          <cell r="V61" t="str">
            <v>Algodoeira</v>
          </cell>
          <cell r="W61" t="str">
            <v>Operações Karitel</v>
          </cell>
          <cell r="X61" t="str">
            <v>PAULO BONIFÁCIO</v>
          </cell>
          <cell r="Y61" t="str">
            <v>ALDAIR BORGES</v>
          </cell>
          <cell r="Z61" t="str">
            <v>WARLEY RIBEIRO</v>
          </cell>
        </row>
        <row r="62">
          <cell r="V62" t="str">
            <v>Manutenção Mecanica Karitel</v>
          </cell>
          <cell r="W62" t="str">
            <v>Operações Karitel</v>
          </cell>
          <cell r="X62" t="str">
            <v>RAFAEL XAVIER</v>
          </cell>
          <cell r="Y62" t="str">
            <v>FERNANDO GUILHERME</v>
          </cell>
          <cell r="Z62" t="str">
            <v>JUNIO COSTA</v>
          </cell>
        </row>
        <row r="63">
          <cell r="V63" t="str">
            <v>Pulverização Grãos</v>
          </cell>
          <cell r="W63" t="str">
            <v>Operações Karitel</v>
          </cell>
          <cell r="X63" t="str">
            <v>PAULO BONIFÁCIO</v>
          </cell>
          <cell r="Y63" t="str">
            <v xml:space="preserve">JOÃO KOMURA </v>
          </cell>
          <cell r="Z63" t="str">
            <v>LUAN ABADIA</v>
          </cell>
        </row>
        <row r="64">
          <cell r="V64" t="str">
            <v>Programas Corporativos</v>
          </cell>
          <cell r="W64" t="str">
            <v>Gente e Gestão</v>
          </cell>
          <cell r="X64" t="str">
            <v xml:space="preserve">LEIDJANE MARTINS </v>
          </cell>
          <cell r="Y64" t="str">
            <v xml:space="preserve">LEIDJANE MARTINS </v>
          </cell>
        </row>
        <row r="65">
          <cell r="V65" t="str">
            <v>Facilities - Karitel</v>
          </cell>
          <cell r="W65" t="str">
            <v>Gente e Gestão</v>
          </cell>
          <cell r="X65" t="str">
            <v xml:space="preserve">LEIDJANE MARTINS </v>
          </cell>
          <cell r="Y65" t="str">
            <v xml:space="preserve">LEIDJANE MARTINS </v>
          </cell>
          <cell r="Z65" t="str">
            <v>DENIS ACASSIO</v>
          </cell>
        </row>
        <row r="66">
          <cell r="V66" t="str">
            <v>Campo Agricola Cacau</v>
          </cell>
          <cell r="W66" t="str">
            <v>Operações Karitel</v>
          </cell>
          <cell r="X66" t="str">
            <v>JOSÉ GOUVEA</v>
          </cell>
          <cell r="Y66" t="str">
            <v>ALEX DIAS</v>
          </cell>
        </row>
        <row r="67">
          <cell r="V67" t="str">
            <v>Juridico - Karitel</v>
          </cell>
          <cell r="W67" t="str">
            <v>Jurídico</v>
          </cell>
          <cell r="X67" t="str">
            <v xml:space="preserve">RAFAEL VIRGENS </v>
          </cell>
          <cell r="Y67" t="str">
            <v xml:space="preserve">RAFAEL VIRGENS </v>
          </cell>
        </row>
        <row r="68">
          <cell r="V68" t="str">
            <v>Manutenção Mecanica Karitel</v>
          </cell>
          <cell r="W68" t="str">
            <v>Operações Karitel</v>
          </cell>
          <cell r="X68" t="str">
            <v>RAFAEL XAVIER</v>
          </cell>
          <cell r="Y68" t="str">
            <v>FERNANDO GUILHERME</v>
          </cell>
          <cell r="Z68" t="str">
            <v>JUNIO COSTA</v>
          </cell>
        </row>
        <row r="69">
          <cell r="V69" t="str">
            <v>Manuteção Irrigação</v>
          </cell>
          <cell r="W69" t="str">
            <v>Operações Karitel</v>
          </cell>
          <cell r="X69" t="str">
            <v>RAFAEL XAVIER</v>
          </cell>
          <cell r="Y69" t="str">
            <v>IVONEI CAMPOS</v>
          </cell>
          <cell r="Z69" t="str">
            <v xml:space="preserve">MARCOS VINICIUS </v>
          </cell>
        </row>
        <row r="70">
          <cell r="V70" t="str">
            <v>Manutenção Mecanica Karitel</v>
          </cell>
          <cell r="W70" t="str">
            <v>Operações Karitel</v>
          </cell>
          <cell r="X70" t="str">
            <v>RAFAEL XAVIER</v>
          </cell>
          <cell r="Y70" t="str">
            <v>FERNANDO GUILHERME</v>
          </cell>
          <cell r="Z70" t="str">
            <v>JUNIO COSTA</v>
          </cell>
        </row>
        <row r="71">
          <cell r="V71" t="str">
            <v>Campo Agricola Cacau</v>
          </cell>
          <cell r="W71" t="str">
            <v>Operações Karitel</v>
          </cell>
          <cell r="X71" t="str">
            <v>JOSÉ GOUVEA</v>
          </cell>
          <cell r="Y71" t="str">
            <v>ALEX DIAS</v>
          </cell>
        </row>
        <row r="72">
          <cell r="V72" t="str">
            <v>Silo</v>
          </cell>
          <cell r="W72" t="str">
            <v>Operações Karitel</v>
          </cell>
          <cell r="X72" t="str">
            <v>PAULO BONIFÁCIO</v>
          </cell>
          <cell r="Y72" t="str">
            <v>ALDAIR BORGES</v>
          </cell>
          <cell r="Z72" t="str">
            <v>ISAC NONATO</v>
          </cell>
        </row>
        <row r="73">
          <cell r="V73" t="str">
            <v>Colheita Grãos</v>
          </cell>
          <cell r="W73" t="str">
            <v>Operações Karitel</v>
          </cell>
          <cell r="X73" t="str">
            <v>PAULO BONIFÁCIO</v>
          </cell>
          <cell r="Y73" t="str">
            <v>MAURICIO SANTOS</v>
          </cell>
          <cell r="Z73" t="str">
            <v>FABIANO</v>
          </cell>
        </row>
        <row r="74">
          <cell r="V74" t="str">
            <v>Campo Agricola Cacau</v>
          </cell>
          <cell r="W74" t="str">
            <v>Operações Karitel</v>
          </cell>
          <cell r="X74" t="str">
            <v>JOSÉ GOUVEA</v>
          </cell>
          <cell r="Y74" t="str">
            <v>ALEX DIAS</v>
          </cell>
        </row>
        <row r="75">
          <cell r="V75" t="str">
            <v>Pulverização Grãos</v>
          </cell>
          <cell r="W75" t="str">
            <v>Operações Karitel</v>
          </cell>
          <cell r="X75" t="str">
            <v>PAULO BONIFÁCIO</v>
          </cell>
          <cell r="Y75" t="str">
            <v xml:space="preserve">JOÃO KOMURA </v>
          </cell>
          <cell r="Z75" t="str">
            <v>LUAN ABADIA</v>
          </cell>
        </row>
        <row r="76">
          <cell r="V76" t="str">
            <v>Manuteção Elétrica</v>
          </cell>
          <cell r="W76" t="str">
            <v>Operações Karitel</v>
          </cell>
          <cell r="X76" t="str">
            <v>RAFAEL XAVIER</v>
          </cell>
          <cell r="Y76" t="str">
            <v>IVONEI CAMPOS</v>
          </cell>
          <cell r="Z76" t="str">
            <v>TALLES RYAN</v>
          </cell>
        </row>
        <row r="77">
          <cell r="V77" t="str">
            <v>Colheita Grãos</v>
          </cell>
          <cell r="W77" t="str">
            <v>Operações Karitel</v>
          </cell>
          <cell r="X77" t="str">
            <v>PAULO BONIFÁCIO</v>
          </cell>
          <cell r="Y77" t="str">
            <v>MAURICIO SANTOS</v>
          </cell>
          <cell r="Z77" t="str">
            <v>FABIANO</v>
          </cell>
        </row>
        <row r="78">
          <cell r="V78" t="str">
            <v>Apontamento Karitel</v>
          </cell>
          <cell r="W78" t="str">
            <v>Operações Karitel</v>
          </cell>
          <cell r="X78" t="str">
            <v>MATHEUS FERNANDES</v>
          </cell>
          <cell r="Y78" t="str">
            <v>MATHEUS FERNANDES</v>
          </cell>
        </row>
        <row r="79">
          <cell r="V79" t="str">
            <v>Manutenção Mecanica Karitel</v>
          </cell>
          <cell r="W79" t="str">
            <v>Operações Karitel</v>
          </cell>
          <cell r="X79" t="str">
            <v>RAFAEL XAVIER</v>
          </cell>
          <cell r="Y79" t="str">
            <v>FERNANDO GUILHERME</v>
          </cell>
          <cell r="Z79" t="str">
            <v>JUNIO COSTA</v>
          </cell>
        </row>
        <row r="80">
          <cell r="V80" t="str">
            <v>Almoxarifado - Karitel</v>
          </cell>
          <cell r="W80" t="str">
            <v>Finanças</v>
          </cell>
          <cell r="X80" t="str">
            <v>ANDREZA LARDO</v>
          </cell>
          <cell r="Y80" t="str">
            <v>ANDREZA LARDO</v>
          </cell>
          <cell r="Z80" t="str">
            <v>ADENILTON RODRIGUES</v>
          </cell>
        </row>
        <row r="81">
          <cell r="V81" t="str">
            <v>Melhoria Continua - Karitel</v>
          </cell>
          <cell r="W81" t="str">
            <v>Gente e Gestão</v>
          </cell>
          <cell r="X81" t="str">
            <v xml:space="preserve">GISELE NASCENTE </v>
          </cell>
          <cell r="Y81" t="str">
            <v xml:space="preserve">GISELE NASCENTE </v>
          </cell>
          <cell r="Z81" t="str">
            <v>MARCOS OLIVEIRA</v>
          </cell>
        </row>
        <row r="82">
          <cell r="V82" t="str">
            <v>Planejamento Irrigação Grãos</v>
          </cell>
          <cell r="W82" t="str">
            <v>Operações Karitel</v>
          </cell>
          <cell r="X82" t="str">
            <v>PAULO BONIFÁCIO</v>
          </cell>
          <cell r="Y82" t="str">
            <v>PAULO BONIFÁCIO</v>
          </cell>
          <cell r="Z82" t="str">
            <v xml:space="preserve">LEONARDO SANTOS </v>
          </cell>
        </row>
        <row r="83">
          <cell r="V83" t="str">
            <v>Manutenção Mecanica Karitel</v>
          </cell>
          <cell r="W83" t="str">
            <v>Operações Karitel</v>
          </cell>
          <cell r="X83" t="str">
            <v>RAFAEL XAVIER</v>
          </cell>
          <cell r="Y83" t="str">
            <v>FERNANDO GUILHERME</v>
          </cell>
          <cell r="Z83" t="str">
            <v>JUNIO COSTA</v>
          </cell>
        </row>
        <row r="84">
          <cell r="V84" t="str">
            <v>Manutenção Mecanica Karitel</v>
          </cell>
          <cell r="W84" t="str">
            <v>Operações Karitel</v>
          </cell>
          <cell r="X84" t="str">
            <v>RAFAEL XAVIER</v>
          </cell>
          <cell r="Y84" t="str">
            <v>FERNANDO GUILHERME</v>
          </cell>
          <cell r="Z84" t="str">
            <v>JUNIO COSTA</v>
          </cell>
        </row>
        <row r="85">
          <cell r="V85" t="str">
            <v>Manutenção Mecanica Karitel</v>
          </cell>
          <cell r="W85" t="str">
            <v>Operações Karitel</v>
          </cell>
          <cell r="X85" t="str">
            <v>RAFAEL XAVIER</v>
          </cell>
          <cell r="Y85" t="str">
            <v>FERNANDO GUILHERME</v>
          </cell>
          <cell r="Z85" t="str">
            <v>JUNIO COSTA</v>
          </cell>
        </row>
        <row r="86">
          <cell r="V86" t="str">
            <v>Planejamento Irrigação Grãos</v>
          </cell>
          <cell r="W86" t="str">
            <v>Operações Karitel</v>
          </cell>
          <cell r="X86" t="str">
            <v>PAULO BONIFÁCIO</v>
          </cell>
          <cell r="Y86" t="str">
            <v>PAULO BONIFÁCIO</v>
          </cell>
          <cell r="Z86" t="str">
            <v xml:space="preserve">LEONARDO SANTOS </v>
          </cell>
        </row>
        <row r="87">
          <cell r="V87" t="str">
            <v>Pulverização Grãos</v>
          </cell>
          <cell r="W87" t="str">
            <v>Operações Karitel</v>
          </cell>
          <cell r="X87" t="str">
            <v>PAULO BONIFÁCIO</v>
          </cell>
          <cell r="Y87" t="str">
            <v xml:space="preserve">JOÃO KOMURA </v>
          </cell>
          <cell r="Z87" t="str">
            <v>LUAN ABADIA</v>
          </cell>
        </row>
        <row r="88">
          <cell r="V88" t="str">
            <v>Campo Agricola Grãos</v>
          </cell>
          <cell r="W88" t="str">
            <v>Operações Karitel</v>
          </cell>
          <cell r="X88" t="str">
            <v>PAULO BONIFÁCIO</v>
          </cell>
          <cell r="Y88" t="str">
            <v>MAURICIO SANTOS</v>
          </cell>
          <cell r="Z88" t="str">
            <v xml:space="preserve">EDSON/MARCELO LIMA </v>
          </cell>
        </row>
        <row r="89">
          <cell r="V89" t="str">
            <v>Melhoria Continua - Karitel</v>
          </cell>
          <cell r="W89" t="str">
            <v>Gente e Gestão</v>
          </cell>
          <cell r="X89" t="str">
            <v xml:space="preserve">GISELE NASCENTE </v>
          </cell>
          <cell r="Y89" t="str">
            <v xml:space="preserve">GISELE NASCENTE </v>
          </cell>
          <cell r="Z89" t="str">
            <v>MARCOS OLIVEIRA</v>
          </cell>
        </row>
        <row r="90">
          <cell r="V90" t="str">
            <v>Manutenção Predial Karitel</v>
          </cell>
          <cell r="W90" t="str">
            <v>Operações Karitel</v>
          </cell>
          <cell r="X90" t="str">
            <v>RAFAEL XAVIER</v>
          </cell>
          <cell r="Y90" t="str">
            <v>IVONEI CAMPOS</v>
          </cell>
          <cell r="Z90" t="str">
            <v>ANDRÉ CUBA</v>
          </cell>
        </row>
        <row r="91">
          <cell r="V91" t="str">
            <v>Pulverização Grãos</v>
          </cell>
          <cell r="W91" t="str">
            <v>Operações Karitel</v>
          </cell>
          <cell r="X91" t="str">
            <v>PAULO BONIFÁCIO</v>
          </cell>
          <cell r="Y91" t="str">
            <v xml:space="preserve">JOÃO KOMURA </v>
          </cell>
          <cell r="Z91" t="str">
            <v>LUAN ABADIA</v>
          </cell>
        </row>
        <row r="92">
          <cell r="V92" t="str">
            <v>Pulverização Grãos</v>
          </cell>
          <cell r="W92" t="str">
            <v>Operações Karitel</v>
          </cell>
          <cell r="X92" t="str">
            <v>PAULO BONIFÁCIO</v>
          </cell>
          <cell r="Y92" t="str">
            <v xml:space="preserve">JOÃO KOMURA </v>
          </cell>
          <cell r="Z92" t="str">
            <v>LUAN ABADIA</v>
          </cell>
        </row>
        <row r="93">
          <cell r="V93" t="str">
            <v>Campo Agricola Cacau</v>
          </cell>
          <cell r="W93" t="str">
            <v>Operações Karitel</v>
          </cell>
          <cell r="X93" t="str">
            <v>JOSÉ GOUVEA</v>
          </cell>
          <cell r="Y93" t="str">
            <v>ALEX DIAS</v>
          </cell>
        </row>
        <row r="94">
          <cell r="V94" t="str">
            <v>Manuteção Elétrica</v>
          </cell>
          <cell r="W94" t="str">
            <v>Operações Karitel</v>
          </cell>
          <cell r="X94" t="str">
            <v>RAFAEL XAVIER</v>
          </cell>
          <cell r="Y94" t="str">
            <v>IVONEI CAMPOS</v>
          </cell>
          <cell r="Z94" t="str">
            <v>TALLES RYAN</v>
          </cell>
        </row>
        <row r="95">
          <cell r="V95" t="str">
            <v>Pulverização Grãos</v>
          </cell>
          <cell r="W95" t="str">
            <v>Operações Karitel</v>
          </cell>
          <cell r="X95" t="str">
            <v>PAULO BONIFÁCIO</v>
          </cell>
          <cell r="Y95" t="str">
            <v xml:space="preserve">JOÃO KOMURA </v>
          </cell>
          <cell r="Z95" t="str">
            <v>LUAN ABADIA</v>
          </cell>
        </row>
        <row r="96">
          <cell r="V96" t="str">
            <v>Pulverização Grãos</v>
          </cell>
          <cell r="W96" t="str">
            <v>Operações Karitel</v>
          </cell>
          <cell r="X96" t="str">
            <v>PAULO BONIFÁCIO</v>
          </cell>
          <cell r="Y96" t="str">
            <v xml:space="preserve">JOÃO KOMURA </v>
          </cell>
          <cell r="Z96" t="str">
            <v>LUAN ABADIA</v>
          </cell>
        </row>
        <row r="97">
          <cell r="V97" t="str">
            <v>Pulverização Rio do Meio</v>
          </cell>
          <cell r="W97" t="str">
            <v>Operações Karitel</v>
          </cell>
          <cell r="X97" t="str">
            <v>PAULO BONIFÁCIO</v>
          </cell>
          <cell r="Y97" t="str">
            <v xml:space="preserve">JOÃO KOMURA </v>
          </cell>
        </row>
        <row r="98">
          <cell r="V98" t="str">
            <v>Planejamento Irrigação Grãos</v>
          </cell>
          <cell r="W98" t="str">
            <v>Operações Karitel</v>
          </cell>
          <cell r="X98" t="str">
            <v>PAULO BONIFÁCIO</v>
          </cell>
          <cell r="Y98" t="str">
            <v>PAULO BONIFÁCIO</v>
          </cell>
          <cell r="Z98" t="str">
            <v xml:space="preserve">LEONARDO SANTOS </v>
          </cell>
        </row>
        <row r="99">
          <cell r="V99" t="str">
            <v>Campo Agricola Grãos</v>
          </cell>
          <cell r="W99" t="str">
            <v>Operações Karitel</v>
          </cell>
          <cell r="X99" t="str">
            <v>PAULO BONIFÁCIO</v>
          </cell>
          <cell r="Y99" t="str">
            <v>MAURICIO SANTOS</v>
          </cell>
          <cell r="Z99" t="str">
            <v xml:space="preserve">EDSON/MARCELO LIMA </v>
          </cell>
        </row>
        <row r="100">
          <cell r="V100" t="str">
            <v>Campo Agricola Cacau</v>
          </cell>
          <cell r="W100" t="str">
            <v>Operações Karitel</v>
          </cell>
          <cell r="X100" t="str">
            <v>JOSÉ GOUVEA</v>
          </cell>
          <cell r="Y100" t="str">
            <v>ALEX DIAS</v>
          </cell>
        </row>
        <row r="101">
          <cell r="V101" t="str">
            <v>Planejamento Irrigação Grãos</v>
          </cell>
          <cell r="W101" t="str">
            <v>Operações Karitel</v>
          </cell>
          <cell r="X101" t="str">
            <v>PAULO BONIFÁCIO</v>
          </cell>
          <cell r="Y101" t="str">
            <v>PAULO BONIFÁCIO</v>
          </cell>
          <cell r="Z101" t="str">
            <v xml:space="preserve">LEONARDO SANTOS </v>
          </cell>
        </row>
        <row r="102">
          <cell r="V102" t="str">
            <v>Campo Agricola Grãos</v>
          </cell>
          <cell r="W102" t="str">
            <v>Operações Karitel</v>
          </cell>
          <cell r="X102" t="str">
            <v>PAULO BONIFÁCIO</v>
          </cell>
          <cell r="Y102" t="str">
            <v>MAURICIO SANTOS</v>
          </cell>
          <cell r="Z102" t="str">
            <v xml:space="preserve">EDSON/MARCELO LIMA </v>
          </cell>
        </row>
        <row r="103">
          <cell r="V103" t="str">
            <v>Almoxarifado - Karitel</v>
          </cell>
          <cell r="W103" t="str">
            <v>Finanças</v>
          </cell>
          <cell r="X103" t="str">
            <v>ANDREZA LARDO</v>
          </cell>
          <cell r="Y103" t="str">
            <v>ANDREZA LARDO</v>
          </cell>
          <cell r="Z103" t="str">
            <v>ADENILTON RODRIGUES</v>
          </cell>
        </row>
        <row r="104">
          <cell r="V104" t="str">
            <v>Campo Agricola Cacau</v>
          </cell>
          <cell r="W104" t="str">
            <v>Operações Karitel</v>
          </cell>
          <cell r="X104" t="str">
            <v>JOSÉ GOUVEA</v>
          </cell>
          <cell r="Y104" t="str">
            <v>ALEX DIAS</v>
          </cell>
        </row>
        <row r="105">
          <cell r="V105" t="str">
            <v>Campo Agricola Rio do Meio</v>
          </cell>
          <cell r="W105" t="str">
            <v>Operações Karitel</v>
          </cell>
          <cell r="X105" t="str">
            <v>PAULO BONIFÁCIO</v>
          </cell>
          <cell r="Y105" t="str">
            <v>MAURICIO SANTOS</v>
          </cell>
          <cell r="Z105" t="str">
            <v>EDIS MOREIRA</v>
          </cell>
        </row>
        <row r="106">
          <cell r="V106" t="str">
            <v>Campo Agricola Cacau</v>
          </cell>
          <cell r="W106" t="str">
            <v>Operações Karitel</v>
          </cell>
          <cell r="X106" t="str">
            <v>JOSÉ GOUVEA</v>
          </cell>
          <cell r="Y106" t="str">
            <v>ALEX DIAS</v>
          </cell>
        </row>
        <row r="107">
          <cell r="V107" t="str">
            <v>Campo Agricola Cacau</v>
          </cell>
          <cell r="W107" t="str">
            <v>Operações Karitel</v>
          </cell>
          <cell r="X107" t="str">
            <v>JOSÉ GOUVEA</v>
          </cell>
          <cell r="Y107" t="str">
            <v>ALEX DIAS</v>
          </cell>
        </row>
        <row r="108">
          <cell r="V108" t="str">
            <v>Campo Agricola Cacau</v>
          </cell>
          <cell r="W108" t="str">
            <v>Operações Karitel</v>
          </cell>
          <cell r="X108" t="str">
            <v>JOSÉ GOUVEA</v>
          </cell>
          <cell r="Y108" t="str">
            <v>ALEX DIAS</v>
          </cell>
        </row>
        <row r="109">
          <cell r="V109" t="str">
            <v>Campo Agricola Grãos</v>
          </cell>
          <cell r="W109" t="str">
            <v>Operações Karitel</v>
          </cell>
          <cell r="X109" t="str">
            <v>PAULO BONIFÁCIO</v>
          </cell>
          <cell r="Y109" t="str">
            <v>MAURICIO SANTOS</v>
          </cell>
          <cell r="Z109" t="str">
            <v xml:space="preserve">EDSON/MARCELO LIMA </v>
          </cell>
        </row>
        <row r="110">
          <cell r="V110" t="str">
            <v>Campo Agricola Grãos</v>
          </cell>
          <cell r="W110" t="str">
            <v>Operações Karitel</v>
          </cell>
          <cell r="X110" t="str">
            <v>PAULO BONIFÁCIO</v>
          </cell>
          <cell r="Y110" t="str">
            <v>MAURICIO SANTOS</v>
          </cell>
          <cell r="Z110" t="str">
            <v xml:space="preserve">EDSON/MARCELO LIMA </v>
          </cell>
        </row>
        <row r="111">
          <cell r="V111" t="str">
            <v>Campo Agricola Rio do Meio</v>
          </cell>
          <cell r="W111" t="str">
            <v>Operações Karitel</v>
          </cell>
          <cell r="X111" t="str">
            <v>PAULO BONIFÁCIO</v>
          </cell>
          <cell r="Y111" t="str">
            <v>MAURICIO SANTOS</v>
          </cell>
          <cell r="Z111" t="str">
            <v>EDIS MOREIRA</v>
          </cell>
        </row>
        <row r="112">
          <cell r="V112" t="str">
            <v>Campo Agricola Cacau</v>
          </cell>
          <cell r="W112" t="str">
            <v>Operações Karitel</v>
          </cell>
          <cell r="X112" t="str">
            <v>JOSÉ GOUVEA</v>
          </cell>
          <cell r="Y112" t="str">
            <v>ALEX DIAS</v>
          </cell>
        </row>
        <row r="113">
          <cell r="V113" t="str">
            <v>Campo Agricola Cacau</v>
          </cell>
          <cell r="W113" t="str">
            <v>Operações Karitel</v>
          </cell>
          <cell r="X113" t="str">
            <v>JOSÉ GOUVEA</v>
          </cell>
          <cell r="Y113" t="str">
            <v>ALEX DIAS</v>
          </cell>
        </row>
        <row r="114">
          <cell r="V114" t="str">
            <v>Facilities - Karitel</v>
          </cell>
          <cell r="W114" t="str">
            <v>Gente e Gestão</v>
          </cell>
          <cell r="X114" t="str">
            <v xml:space="preserve">LEIDJANE MARTINS </v>
          </cell>
          <cell r="Y114" t="str">
            <v xml:space="preserve">LEIDJANE MARTINS </v>
          </cell>
          <cell r="Z114" t="str">
            <v>DENIS ACASSIO</v>
          </cell>
        </row>
        <row r="115">
          <cell r="V115" t="str">
            <v>Manutenção Mecanica Karitel</v>
          </cell>
          <cell r="W115" t="str">
            <v>Operações Karitel</v>
          </cell>
          <cell r="X115" t="str">
            <v>RAFAEL XAVIER</v>
          </cell>
          <cell r="Y115" t="str">
            <v>FERNANDO GUILHERME</v>
          </cell>
          <cell r="Z115" t="str">
            <v>JUNIO COSTA</v>
          </cell>
        </row>
        <row r="116">
          <cell r="V116" t="str">
            <v>Campo Agricola Cacau</v>
          </cell>
          <cell r="W116" t="str">
            <v>Operações Karitel</v>
          </cell>
          <cell r="X116" t="str">
            <v>JOSÉ GOUVEA</v>
          </cell>
          <cell r="Y116" t="str">
            <v>ALEX DIAS</v>
          </cell>
        </row>
        <row r="117">
          <cell r="V117" t="str">
            <v>Facilities - Karitel</v>
          </cell>
          <cell r="W117" t="str">
            <v>Gente e Gestão</v>
          </cell>
          <cell r="X117" t="str">
            <v xml:space="preserve">LEIDJANE MARTINS </v>
          </cell>
          <cell r="Y117" t="str">
            <v xml:space="preserve">LEIDJANE MARTINS </v>
          </cell>
          <cell r="Z117" t="str">
            <v>DENIS ACASSIO</v>
          </cell>
        </row>
        <row r="118">
          <cell r="V118" t="str">
            <v>Eucalipto Capex</v>
          </cell>
          <cell r="W118" t="str">
            <v>Operações Karitel</v>
          </cell>
          <cell r="X118" t="str">
            <v>JOSÉ GOUVEA</v>
          </cell>
          <cell r="Y118" t="str">
            <v>ALEX DIAS</v>
          </cell>
        </row>
        <row r="119">
          <cell r="V119" t="str">
            <v>Facilities - Karitel</v>
          </cell>
          <cell r="W119" t="str">
            <v>Gente e Gestão</v>
          </cell>
          <cell r="X119" t="str">
            <v xml:space="preserve">LEIDJANE MARTINS </v>
          </cell>
          <cell r="Y119" t="str">
            <v xml:space="preserve">LEIDJANE MARTINS </v>
          </cell>
          <cell r="Z119" t="str">
            <v>DENIS ACASSIO</v>
          </cell>
        </row>
        <row r="120">
          <cell r="V120" t="str">
            <v>Usina Cacau</v>
          </cell>
          <cell r="W120" t="str">
            <v>Operações Karitel</v>
          </cell>
          <cell r="X120" t="str">
            <v>JOSÉ GOUVEA</v>
          </cell>
          <cell r="Y120" t="str">
            <v>JOSÉ GOUVEA</v>
          </cell>
        </row>
        <row r="121">
          <cell r="V121" t="str">
            <v>Campo Agricola Cacau - CAPEX</v>
          </cell>
          <cell r="W121" t="str">
            <v>Operações Karitel</v>
          </cell>
          <cell r="X121" t="str">
            <v>JOSÉ GOUVEA</v>
          </cell>
          <cell r="Y121" t="str">
            <v>ALEX DIAS</v>
          </cell>
        </row>
        <row r="122">
          <cell r="V122" t="str">
            <v>Usina Cacau</v>
          </cell>
          <cell r="W122" t="str">
            <v>Operações Karitel</v>
          </cell>
          <cell r="X122" t="str">
            <v>JOSÉ GOUVEA</v>
          </cell>
          <cell r="Y122" t="str">
            <v>JOSÉ GOUVEA</v>
          </cell>
        </row>
        <row r="123">
          <cell r="V123" t="str">
            <v>Colheita Grãos</v>
          </cell>
          <cell r="W123" t="str">
            <v>Operações Karitel</v>
          </cell>
          <cell r="X123" t="str">
            <v>PAULO BONIFÁCIO</v>
          </cell>
          <cell r="Y123" t="str">
            <v>MAURICIO SANTOS</v>
          </cell>
          <cell r="Z123" t="str">
            <v>FABIANO</v>
          </cell>
        </row>
        <row r="124">
          <cell r="V124" t="str">
            <v>Gestor Cacau</v>
          </cell>
          <cell r="W124" t="str">
            <v>Operações Karitel</v>
          </cell>
          <cell r="X124" t="str">
            <v>JOSÉ GOUVEA</v>
          </cell>
          <cell r="Y124" t="str">
            <v>JOSÉ GOUVEA</v>
          </cell>
        </row>
        <row r="125">
          <cell r="V125" t="str">
            <v>Manutenção Mecanica Karitel</v>
          </cell>
          <cell r="W125" t="str">
            <v>Operações Karitel</v>
          </cell>
          <cell r="X125" t="str">
            <v>RAFAEL XAVIER</v>
          </cell>
          <cell r="Y125" t="str">
            <v>FERNANDO GUILHERME</v>
          </cell>
          <cell r="Z125" t="str">
            <v>JUNIO COSTA</v>
          </cell>
        </row>
        <row r="126">
          <cell r="V126" t="str">
            <v>Algodoeira</v>
          </cell>
          <cell r="W126" t="str">
            <v>Operações Karitel</v>
          </cell>
          <cell r="X126" t="str">
            <v>PAULO BONIFÁCIO</v>
          </cell>
          <cell r="Y126" t="str">
            <v>ALDAIR BORGES</v>
          </cell>
          <cell r="Z126" t="str">
            <v>WARLEY RIBEIRO</v>
          </cell>
        </row>
        <row r="127">
          <cell r="V127" t="str">
            <v>Facilities - Karitel</v>
          </cell>
          <cell r="W127" t="str">
            <v>Gente e Gestão</v>
          </cell>
          <cell r="X127" t="str">
            <v xml:space="preserve">LEIDJANE MARTINS </v>
          </cell>
          <cell r="Y127" t="str">
            <v xml:space="preserve">LEIDJANE MARTINS </v>
          </cell>
          <cell r="Z127" t="str">
            <v>DENIS ACASSIO</v>
          </cell>
        </row>
        <row r="128">
          <cell r="V128" t="str">
            <v>Manuteção Elétrica</v>
          </cell>
          <cell r="W128" t="str">
            <v>Operações Karitel</v>
          </cell>
          <cell r="X128" t="str">
            <v>RAFAEL XAVIER</v>
          </cell>
          <cell r="Y128" t="str">
            <v>IVONEI CAMPOS</v>
          </cell>
          <cell r="Z128" t="str">
            <v>TALLES RYAN</v>
          </cell>
        </row>
        <row r="129">
          <cell r="V129" t="str">
            <v>Planejamento Irrigação Grãos</v>
          </cell>
          <cell r="W129" t="str">
            <v>Operações Karitel</v>
          </cell>
          <cell r="X129" t="str">
            <v>PAULO BONIFÁCIO</v>
          </cell>
          <cell r="Y129" t="str">
            <v>PAULO BONIFÁCIO</v>
          </cell>
          <cell r="Z129" t="str">
            <v xml:space="preserve">LEONARDO SANTOS </v>
          </cell>
        </row>
        <row r="130">
          <cell r="V130" t="str">
            <v>Manutenção Mecanica Karitel</v>
          </cell>
          <cell r="W130" t="str">
            <v>Operações Karitel</v>
          </cell>
          <cell r="X130" t="str">
            <v>RAFAEL XAVIER</v>
          </cell>
          <cell r="Y130" t="str">
            <v>FERNANDO GUILHERME</v>
          </cell>
          <cell r="Z130" t="str">
            <v>JUNIO COSTA</v>
          </cell>
        </row>
        <row r="131">
          <cell r="V131" t="str">
            <v>Campo Agricola Rio do Meio</v>
          </cell>
          <cell r="W131" t="str">
            <v>Operações Karitel</v>
          </cell>
          <cell r="X131" t="str">
            <v>PAULO BONIFÁCIO</v>
          </cell>
          <cell r="Y131" t="str">
            <v>MAURICIO SANTOS</v>
          </cell>
          <cell r="Z131" t="str">
            <v>EDIS MOREIRA</v>
          </cell>
        </row>
        <row r="132">
          <cell r="V132" t="str">
            <v>Almoxarifado - Karitel</v>
          </cell>
          <cell r="W132" t="str">
            <v>Finanças</v>
          </cell>
          <cell r="X132" t="str">
            <v>ANDREZA LARDO</v>
          </cell>
          <cell r="Y132" t="str">
            <v>ANDREZA LARDO</v>
          </cell>
          <cell r="Z132" t="str">
            <v>ADENILTON RODRIGUES</v>
          </cell>
        </row>
        <row r="133">
          <cell r="V133" t="str">
            <v>ADM Karitel</v>
          </cell>
          <cell r="W133" t="str">
            <v>Finanças</v>
          </cell>
          <cell r="X133" t="str">
            <v>ANDREZA LARDO</v>
          </cell>
          <cell r="Y133" t="str">
            <v>ANDREZA LARDO</v>
          </cell>
          <cell r="Z133" t="str">
            <v>ADENILTON RODRIGUES</v>
          </cell>
        </row>
        <row r="134">
          <cell r="V134" t="str">
            <v>Campo Agricola Rio do Meio</v>
          </cell>
          <cell r="W134" t="str">
            <v>Operações Karitel</v>
          </cell>
          <cell r="X134" t="str">
            <v>PAULO BONIFÁCIO</v>
          </cell>
          <cell r="Y134" t="str">
            <v>MAURICIO SANTOS</v>
          </cell>
          <cell r="Z134" t="str">
            <v>EDIS MOREIRA</v>
          </cell>
        </row>
        <row r="135">
          <cell r="V135" t="str">
            <v>Algodoeira</v>
          </cell>
          <cell r="W135" t="str">
            <v>Operações Karitel</v>
          </cell>
          <cell r="X135" t="str">
            <v>PAULO BONIFÁCIO</v>
          </cell>
          <cell r="Y135" t="str">
            <v>ALDAIR BORGES</v>
          </cell>
          <cell r="Z135" t="str">
            <v>WARLEY RIBEIRO</v>
          </cell>
        </row>
        <row r="136">
          <cell r="V136" t="str">
            <v>Planejamento Irrigação Grãos</v>
          </cell>
          <cell r="W136" t="str">
            <v>Operações Karitel</v>
          </cell>
          <cell r="X136" t="str">
            <v>PAULO BONIFÁCIO</v>
          </cell>
          <cell r="Y136" t="str">
            <v>PAULO BONIFÁCIO</v>
          </cell>
          <cell r="Z136" t="str">
            <v xml:space="preserve">LEONARDO SANTOS </v>
          </cell>
        </row>
        <row r="137">
          <cell r="V137" t="str">
            <v>Campo Agricola Cacau</v>
          </cell>
          <cell r="W137" t="str">
            <v>Operações Karitel</v>
          </cell>
          <cell r="X137" t="str">
            <v>JOSÉ GOUVEA</v>
          </cell>
          <cell r="Y137" t="str">
            <v>ALEX DIAS</v>
          </cell>
        </row>
        <row r="138">
          <cell r="V138" t="str">
            <v>Facilities - Karitel</v>
          </cell>
          <cell r="W138" t="str">
            <v>Gente e Gestão</v>
          </cell>
          <cell r="X138" t="str">
            <v xml:space="preserve">LEIDJANE MARTINS </v>
          </cell>
          <cell r="Y138" t="str">
            <v xml:space="preserve">LEIDJANE MARTINS </v>
          </cell>
          <cell r="Z138" t="str">
            <v>DENIS ACASSIO</v>
          </cell>
        </row>
        <row r="139">
          <cell r="V139" t="str">
            <v>Campo Agricola Rio do Meio</v>
          </cell>
          <cell r="W139" t="str">
            <v>Operações Karitel</v>
          </cell>
          <cell r="X139" t="str">
            <v>PAULO BONIFÁCIO</v>
          </cell>
          <cell r="Y139" t="str">
            <v>MAURICIO SANTOS</v>
          </cell>
          <cell r="Z139" t="str">
            <v>EDIS MOREIRA</v>
          </cell>
        </row>
        <row r="140">
          <cell r="V140" t="str">
            <v>Campo Agricola Cacau - CAPEX</v>
          </cell>
          <cell r="W140" t="str">
            <v>Operações Karitel</v>
          </cell>
          <cell r="X140" t="str">
            <v>JOSÉ GOUVEA</v>
          </cell>
          <cell r="Y140" t="str">
            <v>ALEX DIAS</v>
          </cell>
        </row>
        <row r="141">
          <cell r="V141" t="str">
            <v>Algodoeira</v>
          </cell>
          <cell r="W141" t="str">
            <v>Operações Karitel</v>
          </cell>
          <cell r="X141" t="str">
            <v>PAULO BONIFÁCIO</v>
          </cell>
          <cell r="Y141" t="str">
            <v>ALDAIR BORGES</v>
          </cell>
          <cell r="Z141" t="str">
            <v>WARLEY RIBEIRO</v>
          </cell>
        </row>
        <row r="142">
          <cell r="V142" t="str">
            <v>Campo Agricola Grãos</v>
          </cell>
          <cell r="W142" t="str">
            <v>Operações Karitel</v>
          </cell>
          <cell r="X142" t="str">
            <v>PAULO BONIFÁCIO</v>
          </cell>
          <cell r="Y142" t="str">
            <v>MAURICIO SANTOS</v>
          </cell>
          <cell r="Z142" t="str">
            <v xml:space="preserve">EDSON/MARCELO LIMA </v>
          </cell>
        </row>
        <row r="143">
          <cell r="V143" t="str">
            <v>Manuteção Irrigação</v>
          </cell>
          <cell r="W143" t="str">
            <v>Operações Karitel</v>
          </cell>
          <cell r="X143" t="str">
            <v>RAFAEL XAVIER</v>
          </cell>
          <cell r="Y143" t="str">
            <v>IVONEI CAMPOS</v>
          </cell>
          <cell r="Z143" t="str">
            <v xml:space="preserve">MARCOS VINICIUS </v>
          </cell>
        </row>
        <row r="144">
          <cell r="V144" t="str">
            <v>Campo Agricola Cacau</v>
          </cell>
          <cell r="W144" t="str">
            <v>Operações Karitel</v>
          </cell>
          <cell r="X144" t="str">
            <v>JOSÉ GOUVEA</v>
          </cell>
          <cell r="Y144" t="str">
            <v>ALEX DIAS</v>
          </cell>
        </row>
        <row r="145">
          <cell r="V145" t="str">
            <v>Manutenção Mecanica Karitel</v>
          </cell>
          <cell r="W145" t="str">
            <v>Operações Karitel</v>
          </cell>
          <cell r="X145" t="str">
            <v>RAFAEL XAVIER</v>
          </cell>
          <cell r="Y145" t="str">
            <v>FERNANDO GUILHERME</v>
          </cell>
          <cell r="Z145" t="str">
            <v>JUNIO COSTA</v>
          </cell>
        </row>
        <row r="146">
          <cell r="V146" t="str">
            <v>Programas Corporativos</v>
          </cell>
          <cell r="W146" t="str">
            <v>Gente e Gestão</v>
          </cell>
          <cell r="X146" t="str">
            <v xml:space="preserve">LEIDJANE MARTINS </v>
          </cell>
          <cell r="Y146" t="str">
            <v xml:space="preserve">LEIDJANE MARTINS </v>
          </cell>
        </row>
        <row r="147">
          <cell r="V147" t="str">
            <v>Campo Agricola Cacau</v>
          </cell>
          <cell r="W147" t="str">
            <v>Operações Karitel</v>
          </cell>
          <cell r="X147" t="str">
            <v>JOSÉ GOUVEA</v>
          </cell>
          <cell r="Y147" t="str">
            <v>ALEX DIAS</v>
          </cell>
        </row>
        <row r="148">
          <cell r="V148" t="str">
            <v>Pulverização Rio do Meio</v>
          </cell>
          <cell r="W148" t="str">
            <v>Operações Karitel</v>
          </cell>
          <cell r="X148" t="str">
            <v>PAULO BONIFÁCIO</v>
          </cell>
          <cell r="Y148" t="str">
            <v xml:space="preserve">JOÃO KOMURA </v>
          </cell>
        </row>
        <row r="149">
          <cell r="V149" t="str">
            <v>Facilities - Karitel</v>
          </cell>
          <cell r="W149" t="str">
            <v>Gente e Gestão</v>
          </cell>
          <cell r="X149" t="str">
            <v xml:space="preserve">LEIDJANE MARTINS </v>
          </cell>
          <cell r="Y149" t="str">
            <v xml:space="preserve">LEIDJANE MARTINS </v>
          </cell>
          <cell r="Z149" t="str">
            <v>DENIS ACASSIO</v>
          </cell>
        </row>
        <row r="150">
          <cell r="V150" t="str">
            <v>Campo Agricola Cacau</v>
          </cell>
          <cell r="W150" t="str">
            <v>Operações Karitel</v>
          </cell>
          <cell r="X150" t="str">
            <v>JOSÉ GOUVEA</v>
          </cell>
          <cell r="Y150" t="str">
            <v>ALEX DIAS</v>
          </cell>
        </row>
        <row r="151">
          <cell r="V151" t="str">
            <v>Meio Ambiente e Qualidade</v>
          </cell>
          <cell r="W151" t="str">
            <v>Gente e Gestão</v>
          </cell>
          <cell r="X151" t="str">
            <v>CARSON NEVES</v>
          </cell>
          <cell r="Y151" t="str">
            <v>CARSON NEVES</v>
          </cell>
        </row>
        <row r="152">
          <cell r="V152" t="str">
            <v>Algodoeira</v>
          </cell>
          <cell r="W152" t="str">
            <v>Operações Karitel</v>
          </cell>
          <cell r="X152" t="str">
            <v>PAULO BONIFÁCIO</v>
          </cell>
          <cell r="Y152" t="str">
            <v>ALDAIR BORGES</v>
          </cell>
          <cell r="Z152" t="str">
            <v>WARLEY RIBEIRO</v>
          </cell>
        </row>
        <row r="153">
          <cell r="V153" t="str">
            <v>Campo Agricola Cacau</v>
          </cell>
          <cell r="W153" t="str">
            <v>Operações Karitel</v>
          </cell>
          <cell r="X153" t="str">
            <v>JOSÉ GOUVEA</v>
          </cell>
          <cell r="Y153" t="str">
            <v>ALEX DIAS</v>
          </cell>
        </row>
        <row r="154">
          <cell r="V154" t="str">
            <v>Campo Agricola Cacau</v>
          </cell>
          <cell r="W154" t="str">
            <v>Operações Karitel</v>
          </cell>
          <cell r="X154" t="str">
            <v>JOSÉ GOUVEA</v>
          </cell>
          <cell r="Y154" t="str">
            <v>ALEX DIAS</v>
          </cell>
        </row>
        <row r="155">
          <cell r="V155" t="str">
            <v>Manutenção Predial Karitel</v>
          </cell>
          <cell r="W155" t="str">
            <v>Operações Karitel</v>
          </cell>
          <cell r="X155" t="str">
            <v>RAFAEL XAVIER</v>
          </cell>
          <cell r="Y155" t="str">
            <v>IVONEI CAMPOS</v>
          </cell>
          <cell r="Z155" t="str">
            <v>ANDRÉ CUBA</v>
          </cell>
        </row>
        <row r="156">
          <cell r="V156" t="str">
            <v>Campo Agricola Cacau</v>
          </cell>
          <cell r="W156" t="str">
            <v>Operações Karitel</v>
          </cell>
          <cell r="X156" t="str">
            <v>JOSÉ GOUVEA</v>
          </cell>
          <cell r="Y156" t="str">
            <v>ALEX DIAS</v>
          </cell>
        </row>
        <row r="157">
          <cell r="V157" t="str">
            <v>Campo Agricola Cacau</v>
          </cell>
          <cell r="W157" t="str">
            <v>Operações Karitel</v>
          </cell>
          <cell r="X157" t="str">
            <v>JOSÉ GOUVEA</v>
          </cell>
          <cell r="Y157" t="str">
            <v>ALEX DIAS</v>
          </cell>
        </row>
        <row r="158">
          <cell r="V158" t="str">
            <v>Meio Ambiente e Qualidade</v>
          </cell>
          <cell r="W158" t="str">
            <v>Gente e Gestão</v>
          </cell>
          <cell r="X158" t="str">
            <v>CARSON NEVES</v>
          </cell>
          <cell r="Y158" t="str">
            <v>CARSON NEVES</v>
          </cell>
        </row>
        <row r="159">
          <cell r="V159" t="str">
            <v>Colheita Grãos</v>
          </cell>
          <cell r="W159" t="str">
            <v>Operações Karitel</v>
          </cell>
          <cell r="X159" t="str">
            <v>PAULO BONIFÁCIO</v>
          </cell>
          <cell r="Y159" t="str">
            <v>MAURICIO SANTOS</v>
          </cell>
          <cell r="Z159" t="str">
            <v>FABIANO</v>
          </cell>
        </row>
        <row r="160">
          <cell r="V160" t="str">
            <v>Campo Agricola Cacau</v>
          </cell>
          <cell r="W160" t="str">
            <v>Operações Karitel</v>
          </cell>
          <cell r="X160" t="str">
            <v>JOSÉ GOUVEA</v>
          </cell>
          <cell r="Y160" t="str">
            <v>ALEX DIAS</v>
          </cell>
        </row>
        <row r="161">
          <cell r="V161" t="str">
            <v>Algodoeira</v>
          </cell>
          <cell r="W161" t="str">
            <v>Operações Karitel</v>
          </cell>
          <cell r="X161" t="str">
            <v>PAULO BONIFÁCIO</v>
          </cell>
          <cell r="Y161" t="str">
            <v>ALDAIR BORGES</v>
          </cell>
          <cell r="Z161" t="str">
            <v>WARLEY RIBEIRO</v>
          </cell>
        </row>
        <row r="162">
          <cell r="V162" t="str">
            <v>Campo Agricola Cacau</v>
          </cell>
          <cell r="W162" t="str">
            <v>Operações Karitel</v>
          </cell>
          <cell r="X162" t="str">
            <v>JOSÉ GOUVEA</v>
          </cell>
          <cell r="Y162" t="str">
            <v>ALEX DIAS</v>
          </cell>
        </row>
        <row r="163">
          <cell r="V163" t="str">
            <v>Campo Agricola Grãos</v>
          </cell>
          <cell r="W163" t="str">
            <v>Operações Karitel</v>
          </cell>
          <cell r="X163" t="str">
            <v>PAULO BONIFÁCIO</v>
          </cell>
          <cell r="Y163" t="str">
            <v>MAURICIO SANTOS</v>
          </cell>
          <cell r="Z163" t="str">
            <v xml:space="preserve">EDSON/MARCELO LIMA </v>
          </cell>
        </row>
        <row r="164">
          <cell r="V164" t="str">
            <v>Campo Agricola Cacau</v>
          </cell>
          <cell r="W164" t="str">
            <v>Operações Karitel</v>
          </cell>
          <cell r="X164" t="str">
            <v>JOSÉ GOUVEA</v>
          </cell>
          <cell r="Y164" t="str">
            <v>ALEX DIAS</v>
          </cell>
        </row>
        <row r="165">
          <cell r="V165" t="str">
            <v>Manutenção Mecanica Karitel</v>
          </cell>
          <cell r="W165" t="str">
            <v>Operações Karitel</v>
          </cell>
          <cell r="X165" t="str">
            <v>RAFAEL XAVIER</v>
          </cell>
          <cell r="Y165" t="str">
            <v>FERNANDO GUILHERME</v>
          </cell>
          <cell r="Z165" t="str">
            <v>JUNIO COSTA</v>
          </cell>
        </row>
        <row r="166">
          <cell r="V166" t="str">
            <v>Almoxarifado - Karitel</v>
          </cell>
          <cell r="W166" t="str">
            <v>Finanças</v>
          </cell>
          <cell r="X166" t="str">
            <v>ANDREZA LARDO</v>
          </cell>
          <cell r="Y166" t="str">
            <v>ANDREZA LARDO</v>
          </cell>
          <cell r="Z166" t="str">
            <v>ADENILTON RODRIGUES</v>
          </cell>
        </row>
        <row r="167">
          <cell r="V167" t="str">
            <v>Campo Agricola Grãos</v>
          </cell>
          <cell r="W167" t="str">
            <v>Operações Karitel</v>
          </cell>
          <cell r="X167" t="str">
            <v>PAULO BONIFÁCIO</v>
          </cell>
          <cell r="Y167" t="str">
            <v>MAURICIO SANTOS</v>
          </cell>
          <cell r="Z167" t="str">
            <v xml:space="preserve">EDSON/MARCELO LIMA </v>
          </cell>
        </row>
        <row r="168">
          <cell r="V168" t="str">
            <v>Colheita Grãos</v>
          </cell>
          <cell r="W168" t="str">
            <v>Operações Karitel</v>
          </cell>
          <cell r="X168" t="str">
            <v>PAULO BONIFÁCIO</v>
          </cell>
          <cell r="Y168" t="str">
            <v>MAURICIO SANTOS</v>
          </cell>
          <cell r="Z168" t="str">
            <v>FABIANO</v>
          </cell>
        </row>
        <row r="169">
          <cell r="V169" t="str">
            <v>Facilities - Karitel</v>
          </cell>
          <cell r="W169" t="str">
            <v>Gente e Gestão</v>
          </cell>
          <cell r="X169" t="str">
            <v xml:space="preserve">LEIDJANE MARTINS </v>
          </cell>
          <cell r="Y169" t="str">
            <v xml:space="preserve">LEIDJANE MARTINS </v>
          </cell>
          <cell r="Z169" t="str">
            <v>DENIS ACASSIO</v>
          </cell>
        </row>
        <row r="170">
          <cell r="V170" t="str">
            <v>Colheita Grãos</v>
          </cell>
          <cell r="W170" t="str">
            <v>Operações Karitel</v>
          </cell>
          <cell r="X170" t="str">
            <v>PAULO BONIFÁCIO</v>
          </cell>
          <cell r="Y170" t="str">
            <v>MAURICIO SANTOS</v>
          </cell>
          <cell r="Z170" t="str">
            <v>FABIANO</v>
          </cell>
        </row>
        <row r="171">
          <cell r="V171" t="str">
            <v>Campo Agricola Grãos</v>
          </cell>
          <cell r="W171" t="str">
            <v>Operações Karitel</v>
          </cell>
          <cell r="X171" t="str">
            <v>PAULO BONIFÁCIO</v>
          </cell>
          <cell r="Y171" t="str">
            <v>MAURICIO SANTOS</v>
          </cell>
          <cell r="Z171" t="str">
            <v xml:space="preserve">EDSON/MARCELO LIMA </v>
          </cell>
        </row>
        <row r="172">
          <cell r="V172" t="str">
            <v>Campo Agricola Cacau</v>
          </cell>
          <cell r="W172" t="str">
            <v>Operações Karitel</v>
          </cell>
          <cell r="X172" t="str">
            <v>JOSÉ GOUVEA</v>
          </cell>
          <cell r="Y172" t="str">
            <v>ALEX DIAS</v>
          </cell>
        </row>
        <row r="173">
          <cell r="V173" t="str">
            <v>Campo Agricola Cacau</v>
          </cell>
          <cell r="W173" t="str">
            <v>Operações Karitel</v>
          </cell>
          <cell r="X173" t="str">
            <v>JOSÉ GOUVEA</v>
          </cell>
          <cell r="Y173" t="str">
            <v>ALEX DIAS</v>
          </cell>
        </row>
        <row r="174">
          <cell r="V174" t="str">
            <v>Programas Corporativos</v>
          </cell>
          <cell r="W174" t="str">
            <v>Gente e Gestão</v>
          </cell>
          <cell r="X174" t="str">
            <v xml:space="preserve">LEIDJANE MARTINS </v>
          </cell>
          <cell r="Y174" t="str">
            <v xml:space="preserve">LEIDJANE MARTINS </v>
          </cell>
        </row>
        <row r="175">
          <cell r="V175" t="str">
            <v>Campo Agricola Rio do Meio</v>
          </cell>
          <cell r="W175" t="str">
            <v>Operações Karitel</v>
          </cell>
          <cell r="X175" t="str">
            <v>PAULO BONIFÁCIO</v>
          </cell>
          <cell r="Y175" t="str">
            <v>MAURICIO SANTOS</v>
          </cell>
          <cell r="Z175" t="str">
            <v>EDIS MOREIRA</v>
          </cell>
        </row>
        <row r="176">
          <cell r="V176" t="str">
            <v>Campo Agricola Cacau</v>
          </cell>
          <cell r="W176" t="str">
            <v>Operações Karitel</v>
          </cell>
          <cell r="X176" t="str">
            <v>JOSÉ GOUVEA</v>
          </cell>
          <cell r="Y176" t="str">
            <v>ALEX DIAS</v>
          </cell>
        </row>
        <row r="177">
          <cell r="V177" t="str">
            <v>Campo Agricola Grãos</v>
          </cell>
          <cell r="W177" t="str">
            <v>Operações Karitel</v>
          </cell>
          <cell r="X177" t="str">
            <v>PAULO BONIFÁCIO</v>
          </cell>
          <cell r="Y177" t="str">
            <v>MAURICIO SANTOS</v>
          </cell>
          <cell r="Z177" t="str">
            <v xml:space="preserve">EDSON/MARCELO LIMA </v>
          </cell>
        </row>
        <row r="178">
          <cell r="V178" t="str">
            <v>Campo Agricola Cacau</v>
          </cell>
          <cell r="W178" t="str">
            <v>Operações Karitel</v>
          </cell>
          <cell r="X178" t="str">
            <v>JOSÉ GOUVEA</v>
          </cell>
          <cell r="Y178" t="str">
            <v>ALEX DIAS</v>
          </cell>
        </row>
        <row r="179">
          <cell r="V179" t="str">
            <v>Campo Agricola Grãos</v>
          </cell>
          <cell r="W179" t="str">
            <v>Operações Karitel</v>
          </cell>
          <cell r="X179" t="str">
            <v>PAULO BONIFÁCIO</v>
          </cell>
          <cell r="Y179" t="str">
            <v>MAURICIO SANTOS</v>
          </cell>
          <cell r="Z179" t="str">
            <v xml:space="preserve">EDSON/MARCELO LIMA </v>
          </cell>
        </row>
        <row r="180">
          <cell r="V180" t="str">
            <v>Pulverização Rio do Meio</v>
          </cell>
          <cell r="W180" t="str">
            <v>Operações Karitel</v>
          </cell>
          <cell r="X180" t="str">
            <v>PAULO BONIFÁCIO</v>
          </cell>
          <cell r="Y180" t="str">
            <v xml:space="preserve">JOÃO KOMURA </v>
          </cell>
        </row>
        <row r="181">
          <cell r="V181" t="str">
            <v>Planejamento Irrigação Grãos</v>
          </cell>
          <cell r="W181" t="str">
            <v>Operações Karitel</v>
          </cell>
          <cell r="X181" t="str">
            <v>PAULO BONIFÁCIO</v>
          </cell>
          <cell r="Y181" t="str">
            <v>PAULO BONIFÁCIO</v>
          </cell>
          <cell r="Z181" t="str">
            <v xml:space="preserve">LEONARDO SANTOS </v>
          </cell>
        </row>
        <row r="182">
          <cell r="V182" t="str">
            <v>Manuteção Elétrica</v>
          </cell>
          <cell r="W182" t="str">
            <v>Operações Karitel</v>
          </cell>
          <cell r="X182" t="str">
            <v>RAFAEL XAVIER</v>
          </cell>
          <cell r="Y182" t="str">
            <v>IVONEI CAMPOS</v>
          </cell>
          <cell r="Z182" t="str">
            <v>TALLES RYAN</v>
          </cell>
        </row>
        <row r="183">
          <cell r="V183" t="str">
            <v>Gestao Manut Infra</v>
          </cell>
          <cell r="W183" t="str">
            <v>Operações Karitel</v>
          </cell>
          <cell r="X183" t="str">
            <v>RAFAEL XAVIER</v>
          </cell>
        </row>
        <row r="184">
          <cell r="V184" t="str">
            <v>Manutenção Mecanica Karitel</v>
          </cell>
          <cell r="W184" t="str">
            <v>Operações Karitel</v>
          </cell>
          <cell r="X184" t="str">
            <v>RAFAEL XAVIER</v>
          </cell>
          <cell r="Y184" t="str">
            <v>FERNANDO GUILHERME</v>
          </cell>
          <cell r="Z184" t="str">
            <v>JUNIO COSTA</v>
          </cell>
        </row>
        <row r="185">
          <cell r="V185" t="str">
            <v>Algodoeira</v>
          </cell>
          <cell r="W185" t="str">
            <v>Operações Karitel</v>
          </cell>
          <cell r="X185" t="str">
            <v>PAULO BONIFÁCIO</v>
          </cell>
          <cell r="Y185" t="str">
            <v>ALDAIR BORGES</v>
          </cell>
          <cell r="Z185" t="str">
            <v>WARLEY RIBEIRO</v>
          </cell>
        </row>
        <row r="186">
          <cell r="V186" t="str">
            <v>Pulverização Grãos</v>
          </cell>
          <cell r="W186" t="str">
            <v>Operações Karitel</v>
          </cell>
          <cell r="X186" t="str">
            <v>PAULO BONIFÁCIO</v>
          </cell>
          <cell r="Y186" t="str">
            <v xml:space="preserve">JOÃO KOMURA </v>
          </cell>
          <cell r="Z186" t="str">
            <v>LUAN ABADIA</v>
          </cell>
        </row>
        <row r="187">
          <cell r="V187" t="str">
            <v>Programas Corporativos</v>
          </cell>
          <cell r="W187" t="str">
            <v>Gente e Gestão</v>
          </cell>
          <cell r="X187" t="str">
            <v xml:space="preserve">LEIDJANE MARTINS </v>
          </cell>
          <cell r="Y187" t="str">
            <v xml:space="preserve">LEIDJANE MARTINS </v>
          </cell>
        </row>
        <row r="188">
          <cell r="V188" t="str">
            <v>Facilities - Karitel</v>
          </cell>
          <cell r="W188" t="str">
            <v>Gente e Gestão</v>
          </cell>
          <cell r="X188" t="str">
            <v xml:space="preserve">LEIDJANE MARTINS </v>
          </cell>
          <cell r="Y188" t="str">
            <v xml:space="preserve">LEIDJANE MARTINS </v>
          </cell>
          <cell r="Z188" t="str">
            <v>DENIS ACASSIO</v>
          </cell>
        </row>
        <row r="189">
          <cell r="V189" t="str">
            <v>Apontamento Graos/Tabaco</v>
          </cell>
          <cell r="W189" t="str">
            <v>Operações Karitel</v>
          </cell>
          <cell r="X189" t="str">
            <v>MATHEUS FERNANDES</v>
          </cell>
          <cell r="Y189" t="str">
            <v>MATHEUS FERNANDES</v>
          </cell>
        </row>
        <row r="190">
          <cell r="V190" t="str">
            <v>Manutenção Mecanica Karitel</v>
          </cell>
          <cell r="W190" t="str">
            <v>Operações Karitel</v>
          </cell>
          <cell r="X190" t="str">
            <v>RAFAEL XAVIER</v>
          </cell>
          <cell r="Y190" t="str">
            <v>FERNANDO GUILHERME</v>
          </cell>
          <cell r="Z190" t="str">
            <v>JUNIO COSTA</v>
          </cell>
        </row>
        <row r="191">
          <cell r="V191" t="str">
            <v>Colheita Grãos</v>
          </cell>
          <cell r="W191" t="str">
            <v>Operações Karitel</v>
          </cell>
          <cell r="X191" t="str">
            <v>PAULO BONIFÁCIO</v>
          </cell>
          <cell r="Y191" t="str">
            <v>MAURICIO SANTOS</v>
          </cell>
          <cell r="Z191" t="str">
            <v>FABIANO</v>
          </cell>
        </row>
        <row r="192">
          <cell r="V192" t="str">
            <v>Silo</v>
          </cell>
          <cell r="W192" t="str">
            <v>Operações Karitel</v>
          </cell>
          <cell r="X192" t="str">
            <v>PAULO BONIFÁCIO</v>
          </cell>
          <cell r="Y192" t="str">
            <v>ALDAIR BORGES</v>
          </cell>
          <cell r="Z192" t="str">
            <v>ISAC NONATO</v>
          </cell>
        </row>
        <row r="193">
          <cell r="V193" t="str">
            <v>Campo Agricola Cacau</v>
          </cell>
          <cell r="W193" t="str">
            <v>Operações Karitel</v>
          </cell>
          <cell r="X193" t="str">
            <v>JOSÉ GOUVEA</v>
          </cell>
          <cell r="Y193" t="str">
            <v>ALEX DIAS</v>
          </cell>
        </row>
        <row r="194">
          <cell r="V194" t="str">
            <v>Campo Agricola Cacau</v>
          </cell>
          <cell r="W194" t="str">
            <v>Operações Karitel</v>
          </cell>
          <cell r="X194" t="str">
            <v>JOSÉ GOUVEA</v>
          </cell>
          <cell r="Y194" t="str">
            <v>ALEX DIAS</v>
          </cell>
        </row>
        <row r="195">
          <cell r="V195" t="str">
            <v>Silo</v>
          </cell>
          <cell r="W195" t="str">
            <v>Operações Karitel</v>
          </cell>
          <cell r="X195" t="str">
            <v>PAULO BONIFÁCIO</v>
          </cell>
          <cell r="Y195" t="str">
            <v>ALDAIR BORGES</v>
          </cell>
          <cell r="Z195" t="str">
            <v>ISAC NONATO</v>
          </cell>
        </row>
        <row r="196">
          <cell r="V196" t="str">
            <v>Campo Agricola Grãos</v>
          </cell>
          <cell r="W196" t="str">
            <v>Operações Karitel</v>
          </cell>
          <cell r="X196" t="str">
            <v>PAULO BONIFÁCIO</v>
          </cell>
          <cell r="Y196" t="str">
            <v>MAURICIO SANTOS</v>
          </cell>
          <cell r="Z196" t="str">
            <v xml:space="preserve">EDSON/MARCELO LIMA </v>
          </cell>
        </row>
        <row r="197">
          <cell r="V197" t="str">
            <v>Campo Agricola Cacau</v>
          </cell>
          <cell r="W197" t="str">
            <v>Operações Karitel</v>
          </cell>
          <cell r="X197" t="str">
            <v>JOSÉ GOUVEA</v>
          </cell>
          <cell r="Y197" t="str">
            <v>ALEX DIAS</v>
          </cell>
        </row>
        <row r="198">
          <cell r="V198" t="str">
            <v>Campo Agricola Cacau - CAPEX</v>
          </cell>
          <cell r="W198" t="str">
            <v>Operações Karitel</v>
          </cell>
          <cell r="X198" t="str">
            <v>JOSÉ GOUVEA</v>
          </cell>
          <cell r="Y198" t="str">
            <v>ALEX DIAS</v>
          </cell>
        </row>
        <row r="199">
          <cell r="V199" t="str">
            <v>Manutenção Mecanica Karitel</v>
          </cell>
          <cell r="W199" t="str">
            <v>Operações Karitel</v>
          </cell>
          <cell r="X199" t="str">
            <v>RAFAEL XAVIER</v>
          </cell>
          <cell r="Y199" t="str">
            <v>FERNANDO GUILHERME</v>
          </cell>
          <cell r="Z199" t="str">
            <v>JUNIO COSTA</v>
          </cell>
        </row>
        <row r="200">
          <cell r="V200" t="str">
            <v>Campo Agricola Cacau</v>
          </cell>
          <cell r="W200" t="str">
            <v>Operações Karitel</v>
          </cell>
          <cell r="X200" t="str">
            <v>JOSÉ GOUVEA</v>
          </cell>
          <cell r="Y200" t="str">
            <v>ALEX DIAS</v>
          </cell>
        </row>
        <row r="201">
          <cell r="V201" t="str">
            <v>Pulverização Rio do Meio</v>
          </cell>
          <cell r="W201" t="str">
            <v>Operações Karitel</v>
          </cell>
          <cell r="X201" t="str">
            <v>PAULO BONIFÁCIO</v>
          </cell>
          <cell r="Y201" t="str">
            <v xml:space="preserve">JOÃO KOMURA </v>
          </cell>
        </row>
        <row r="202">
          <cell r="V202" t="str">
            <v>Facilities - Karitel</v>
          </cell>
          <cell r="W202" t="str">
            <v>Gente e Gestão</v>
          </cell>
          <cell r="X202" t="str">
            <v xml:space="preserve">LEIDJANE MARTINS </v>
          </cell>
          <cell r="Y202" t="str">
            <v xml:space="preserve">LEIDJANE MARTINS </v>
          </cell>
          <cell r="Z202" t="str">
            <v>DENIS ACASSIO</v>
          </cell>
        </row>
        <row r="203">
          <cell r="V203" t="str">
            <v>Manutenção Mecanica Karitel</v>
          </cell>
          <cell r="W203" t="str">
            <v>Operações Karitel</v>
          </cell>
          <cell r="X203" t="str">
            <v>RAFAEL XAVIER</v>
          </cell>
          <cell r="Y203" t="str">
            <v>FERNANDO GUILHERME</v>
          </cell>
          <cell r="Z203" t="str">
            <v>JUNIO COSTA</v>
          </cell>
        </row>
        <row r="204">
          <cell r="V204" t="str">
            <v>Campo Agricola Cacau</v>
          </cell>
          <cell r="W204" t="str">
            <v>Operações Karitel</v>
          </cell>
          <cell r="X204" t="str">
            <v>JOSÉ GOUVEA</v>
          </cell>
          <cell r="Y204" t="str">
            <v>ALEX DIAS</v>
          </cell>
        </row>
        <row r="205">
          <cell r="V205" t="str">
            <v>Algodoeira</v>
          </cell>
          <cell r="W205" t="str">
            <v>Operações Karitel</v>
          </cell>
          <cell r="X205" t="str">
            <v>PAULO BONIFÁCIO</v>
          </cell>
          <cell r="Y205" t="str">
            <v>ALDAIR BORGES</v>
          </cell>
          <cell r="Z205" t="str">
            <v>WARLEY RIBEIRO</v>
          </cell>
        </row>
        <row r="206">
          <cell r="V206" t="str">
            <v>Campo Agricola Rio do Meio</v>
          </cell>
          <cell r="W206" t="str">
            <v>Operações Karitel</v>
          </cell>
          <cell r="X206" t="str">
            <v>PAULO BONIFÁCIO</v>
          </cell>
          <cell r="Y206" t="str">
            <v>MAURICIO SANTOS</v>
          </cell>
          <cell r="Z206" t="str">
            <v>EDIS MOREIRA</v>
          </cell>
        </row>
        <row r="207">
          <cell r="V207" t="str">
            <v>Manuteção Irrigação</v>
          </cell>
          <cell r="W207" t="str">
            <v>Operações Karitel</v>
          </cell>
          <cell r="X207" t="str">
            <v>RAFAEL XAVIER</v>
          </cell>
          <cell r="Y207" t="str">
            <v>IVONEI CAMPOS</v>
          </cell>
          <cell r="Z207" t="str">
            <v xml:space="preserve">MARCOS VINICIUS </v>
          </cell>
        </row>
        <row r="208">
          <cell r="V208" t="str">
            <v>Manutenção Predial Karitel</v>
          </cell>
          <cell r="W208" t="str">
            <v>Operações Karitel</v>
          </cell>
          <cell r="X208" t="str">
            <v>RAFAEL XAVIER</v>
          </cell>
          <cell r="Y208" t="str">
            <v>IVONEI CAMPOS</v>
          </cell>
          <cell r="Z208" t="str">
            <v>ANDRÉ CUBA</v>
          </cell>
        </row>
        <row r="209">
          <cell r="V209" t="str">
            <v>Planejamento Irrigação Grãos</v>
          </cell>
          <cell r="W209" t="str">
            <v>Operações Karitel</v>
          </cell>
          <cell r="X209" t="str">
            <v>PAULO BONIFÁCIO</v>
          </cell>
          <cell r="Y209" t="str">
            <v>PAULO BONIFÁCIO</v>
          </cell>
          <cell r="Z209" t="str">
            <v xml:space="preserve">LEONARDO SANTOS </v>
          </cell>
        </row>
        <row r="210">
          <cell r="V210" t="str">
            <v>Apontamento Karitel</v>
          </cell>
          <cell r="W210" t="str">
            <v>Operações Karitel</v>
          </cell>
          <cell r="X210" t="str">
            <v>MATHEUS FERNANDES</v>
          </cell>
          <cell r="Y210" t="str">
            <v>MATHEUS FERNANDES</v>
          </cell>
        </row>
        <row r="211">
          <cell r="V211" t="str">
            <v>Apontamento Karitel</v>
          </cell>
          <cell r="W211" t="str">
            <v>Operações Karitel</v>
          </cell>
          <cell r="X211" t="str">
            <v>MATHEUS FERNANDES</v>
          </cell>
          <cell r="Y211" t="str">
            <v>MATHEUS FERNANDES</v>
          </cell>
        </row>
        <row r="212">
          <cell r="V212" t="str">
            <v>Campo Agricola Grãos</v>
          </cell>
          <cell r="W212" t="str">
            <v>Operações Karitel</v>
          </cell>
          <cell r="X212" t="str">
            <v>PAULO BONIFÁCIO</v>
          </cell>
          <cell r="Y212" t="str">
            <v>MAURICIO SANTOS</v>
          </cell>
          <cell r="Z212" t="str">
            <v xml:space="preserve">EDSON/MARCELO LIMA </v>
          </cell>
        </row>
        <row r="213">
          <cell r="V213" t="str">
            <v>Campo Agricola Cacau</v>
          </cell>
          <cell r="W213" t="str">
            <v>Operações Karitel</v>
          </cell>
          <cell r="X213" t="str">
            <v>JOSÉ GOUVEA</v>
          </cell>
          <cell r="Y213" t="str">
            <v>ALEX DIAS</v>
          </cell>
        </row>
        <row r="214">
          <cell r="V214" t="str">
            <v>Campo Agricola Grãos</v>
          </cell>
          <cell r="W214" t="str">
            <v>Operações Karitel</v>
          </cell>
          <cell r="X214" t="str">
            <v>PAULO BONIFÁCIO</v>
          </cell>
          <cell r="Y214" t="str">
            <v>MAURICIO SANTOS</v>
          </cell>
          <cell r="Z214" t="str">
            <v xml:space="preserve">EDSON/MARCELO LIMA </v>
          </cell>
        </row>
        <row r="215">
          <cell r="V215" t="str">
            <v>Colheita Grãos</v>
          </cell>
          <cell r="W215" t="str">
            <v>Operações Karitel</v>
          </cell>
          <cell r="X215" t="str">
            <v>PAULO BONIFÁCIO</v>
          </cell>
          <cell r="Y215" t="str">
            <v>MAURICIO SANTOS</v>
          </cell>
          <cell r="Z215" t="str">
            <v>FABIANO</v>
          </cell>
        </row>
        <row r="216">
          <cell r="V216" t="str">
            <v>Campo Agricola Cacau</v>
          </cell>
          <cell r="W216" t="str">
            <v>Operações Karitel</v>
          </cell>
          <cell r="X216" t="str">
            <v>JOSÉ GOUVEA</v>
          </cell>
          <cell r="Y216" t="str">
            <v>ALEX DIAS</v>
          </cell>
        </row>
        <row r="217">
          <cell r="V217" t="str">
            <v>Campo Agricola Cacau - CAPEX</v>
          </cell>
          <cell r="W217" t="str">
            <v>Operações Karitel</v>
          </cell>
          <cell r="X217" t="str">
            <v>JOSÉ GOUVEA</v>
          </cell>
          <cell r="Y217" t="str">
            <v>ALEX DIAS</v>
          </cell>
        </row>
        <row r="218">
          <cell r="V218" t="str">
            <v>Manutenção Mecanica Karitel</v>
          </cell>
          <cell r="W218" t="str">
            <v>Operações Karitel</v>
          </cell>
          <cell r="X218" t="str">
            <v>RAFAEL XAVIER</v>
          </cell>
          <cell r="Y218" t="str">
            <v>FERNANDO GUILHERME</v>
          </cell>
          <cell r="Z218" t="str">
            <v>JUNIO COSTA</v>
          </cell>
        </row>
        <row r="219">
          <cell r="V219" t="str">
            <v>Campo Agricola Cacau</v>
          </cell>
          <cell r="W219" t="str">
            <v>Operações Karitel</v>
          </cell>
          <cell r="X219" t="str">
            <v>JOSÉ GOUVEA</v>
          </cell>
          <cell r="Y219" t="str">
            <v>ALEX DIAS</v>
          </cell>
        </row>
        <row r="220">
          <cell r="V220" t="str">
            <v>Campo Agricola Grãos</v>
          </cell>
          <cell r="W220" t="str">
            <v>Operações Karitel</v>
          </cell>
          <cell r="X220" t="str">
            <v>PAULO BONIFÁCIO</v>
          </cell>
          <cell r="Y220" t="str">
            <v>MAURICIO SANTOS</v>
          </cell>
          <cell r="Z220" t="str">
            <v xml:space="preserve">EDSON/MARCELO LIMA </v>
          </cell>
        </row>
        <row r="221">
          <cell r="V221" t="str">
            <v>Algodoeira</v>
          </cell>
          <cell r="W221" t="str">
            <v>Operações Karitel</v>
          </cell>
          <cell r="X221" t="str">
            <v>PAULO BONIFÁCIO</v>
          </cell>
          <cell r="Y221" t="str">
            <v>ALDAIR BORGES</v>
          </cell>
          <cell r="Z221" t="str">
            <v>WARLEY RIBEIRO</v>
          </cell>
        </row>
        <row r="222">
          <cell r="V222" t="str">
            <v>Campo Agricola Grãos</v>
          </cell>
          <cell r="W222" t="str">
            <v>Operações Karitel</v>
          </cell>
          <cell r="X222" t="str">
            <v>PAULO BONIFÁCIO</v>
          </cell>
          <cell r="Y222" t="str">
            <v>MAURICIO SANTOS</v>
          </cell>
          <cell r="Z222" t="str">
            <v xml:space="preserve">EDSON/MARCELO LIMA </v>
          </cell>
        </row>
        <row r="223">
          <cell r="V223" t="str">
            <v>Campo Agricola Rio do Meio</v>
          </cell>
          <cell r="W223" t="str">
            <v>Operações Karitel</v>
          </cell>
          <cell r="X223" t="str">
            <v>PAULO BONIFÁCIO</v>
          </cell>
          <cell r="Y223" t="str">
            <v>MAURICIO SANTOS</v>
          </cell>
          <cell r="Z223" t="str">
            <v>EDIS MOREIRA</v>
          </cell>
        </row>
        <row r="224">
          <cell r="V224" t="str">
            <v>Campo Agricola Cacau</v>
          </cell>
          <cell r="W224" t="str">
            <v>Operações Karitel</v>
          </cell>
          <cell r="X224" t="str">
            <v>JOSÉ GOUVEA</v>
          </cell>
          <cell r="Y224" t="str">
            <v>ALEX DIAS</v>
          </cell>
        </row>
        <row r="225">
          <cell r="V225" t="str">
            <v>Campo Agricola Cacau</v>
          </cell>
          <cell r="W225" t="str">
            <v>Operações Karitel</v>
          </cell>
          <cell r="X225" t="str">
            <v>JOSÉ GOUVEA</v>
          </cell>
          <cell r="Y225" t="str">
            <v>ALEX DIAS</v>
          </cell>
        </row>
        <row r="226">
          <cell r="V226" t="str">
            <v>Silo</v>
          </cell>
          <cell r="W226" t="str">
            <v>Operações Karitel</v>
          </cell>
          <cell r="X226" t="str">
            <v>PAULO BONIFÁCIO</v>
          </cell>
          <cell r="Y226" t="str">
            <v>ALDAIR BORGES</v>
          </cell>
          <cell r="Z226" t="str">
            <v>ISAC NONATO</v>
          </cell>
        </row>
        <row r="227">
          <cell r="V227" t="str">
            <v>Campo Agricola Rio do Meio</v>
          </cell>
          <cell r="W227" t="str">
            <v>Operações Karitel</v>
          </cell>
          <cell r="X227" t="str">
            <v>PAULO BONIFÁCIO</v>
          </cell>
          <cell r="Y227" t="str">
            <v>MAURICIO SANTOS</v>
          </cell>
          <cell r="Z227" t="str">
            <v>EDIS MOREIRA</v>
          </cell>
        </row>
        <row r="228">
          <cell r="V228" t="str">
            <v>Manutenção Mecanica Karitel</v>
          </cell>
          <cell r="W228" t="str">
            <v>Operações Karitel</v>
          </cell>
          <cell r="X228" t="str">
            <v>RAFAEL XAVIER</v>
          </cell>
          <cell r="Y228" t="str">
            <v>FERNANDO GUILHERME</v>
          </cell>
          <cell r="Z228" t="str">
            <v>JUNIO COSTA</v>
          </cell>
        </row>
        <row r="229">
          <cell r="V229" t="str">
            <v>Pulverização Grãos</v>
          </cell>
          <cell r="W229" t="str">
            <v>Operações Karitel</v>
          </cell>
          <cell r="X229" t="str">
            <v>PAULO BONIFÁCIO</v>
          </cell>
          <cell r="Y229" t="str">
            <v xml:space="preserve">JOÃO KOMURA </v>
          </cell>
          <cell r="Z229" t="str">
            <v>LUAN ABADIA</v>
          </cell>
        </row>
        <row r="230">
          <cell r="V230" t="str">
            <v>Campo Agricola Grãos</v>
          </cell>
          <cell r="W230" t="str">
            <v>Operações Karitel</v>
          </cell>
          <cell r="X230" t="str">
            <v>PAULO BONIFÁCIO</v>
          </cell>
          <cell r="Y230" t="str">
            <v>MAURICIO SANTOS</v>
          </cell>
          <cell r="Z230" t="str">
            <v xml:space="preserve">EDSON/MARCELO LIMA </v>
          </cell>
        </row>
        <row r="231">
          <cell r="V231" t="str">
            <v>Manutenção Mecanica Karitel</v>
          </cell>
          <cell r="W231" t="str">
            <v>Operações Karitel</v>
          </cell>
          <cell r="X231" t="str">
            <v>RAFAEL XAVIER</v>
          </cell>
          <cell r="Y231" t="str">
            <v>FERNANDO GUILHERME</v>
          </cell>
          <cell r="Z231" t="str">
            <v>JUNIO COSTA</v>
          </cell>
        </row>
        <row r="232">
          <cell r="V232" t="str">
            <v>Pulverização Grãos</v>
          </cell>
          <cell r="W232" t="str">
            <v>Operações Karitel</v>
          </cell>
          <cell r="X232" t="str">
            <v>PAULO BONIFÁCIO</v>
          </cell>
          <cell r="Y232" t="str">
            <v xml:space="preserve">JOÃO KOMURA </v>
          </cell>
          <cell r="Z232" t="str">
            <v>LUAN ABADIA</v>
          </cell>
        </row>
        <row r="233">
          <cell r="V233" t="str">
            <v>Campo Agricola Cacau</v>
          </cell>
          <cell r="W233" t="str">
            <v>Operações Karitel</v>
          </cell>
          <cell r="X233" t="str">
            <v>JOSÉ GOUVEA</v>
          </cell>
          <cell r="Y233" t="str">
            <v>ALEX DIAS</v>
          </cell>
        </row>
        <row r="234">
          <cell r="V234" t="str">
            <v>Campo Agricola Grãos</v>
          </cell>
          <cell r="W234" t="str">
            <v>Operações Karitel</v>
          </cell>
          <cell r="X234" t="str">
            <v>PAULO BONIFÁCIO</v>
          </cell>
          <cell r="Y234" t="str">
            <v>MAURICIO SANTOS</v>
          </cell>
          <cell r="Z234" t="str">
            <v xml:space="preserve">EDSON/MARCELO LIMA </v>
          </cell>
        </row>
        <row r="235">
          <cell r="V235" t="str">
            <v>Campo Agricola Cacau</v>
          </cell>
          <cell r="W235" t="str">
            <v>Operações Karitel</v>
          </cell>
          <cell r="X235" t="str">
            <v>JOSÉ GOUVEA</v>
          </cell>
          <cell r="Y235" t="str">
            <v>ALEX DIAS</v>
          </cell>
        </row>
        <row r="236">
          <cell r="V236" t="str">
            <v>Gestao Manut Infra</v>
          </cell>
          <cell r="W236" t="str">
            <v>Operações Karitel</v>
          </cell>
          <cell r="X236" t="str">
            <v>RAFAEL XAVIER</v>
          </cell>
        </row>
        <row r="237">
          <cell r="V237" t="str">
            <v>Campo Agricola Cacau</v>
          </cell>
          <cell r="W237" t="str">
            <v>Operações Karitel</v>
          </cell>
          <cell r="X237" t="str">
            <v>JOSÉ GOUVEA</v>
          </cell>
          <cell r="Y237" t="str">
            <v>ALEX DIAS</v>
          </cell>
        </row>
        <row r="238">
          <cell r="V238" t="str">
            <v>Manutenção Mecanica Karitel</v>
          </cell>
          <cell r="W238" t="str">
            <v>Operações Karitel</v>
          </cell>
          <cell r="X238" t="str">
            <v>RAFAEL XAVIER</v>
          </cell>
          <cell r="Y238" t="str">
            <v>FERNANDO GUILHERME</v>
          </cell>
          <cell r="Z238" t="str">
            <v>JUNIO COSTA</v>
          </cell>
        </row>
        <row r="239">
          <cell r="V239" t="str">
            <v>Algodoeira</v>
          </cell>
          <cell r="W239" t="str">
            <v>Operações Karitel</v>
          </cell>
          <cell r="X239" t="str">
            <v>PAULO BONIFÁCIO</v>
          </cell>
          <cell r="Y239" t="str">
            <v>ALDAIR BORGES</v>
          </cell>
          <cell r="Z239" t="str">
            <v>WARLEY RIBEIRO</v>
          </cell>
        </row>
        <row r="240">
          <cell r="V240" t="str">
            <v>Campo Agricola Grãos</v>
          </cell>
          <cell r="W240" t="str">
            <v>Operações Karitel</v>
          </cell>
          <cell r="X240" t="str">
            <v>PAULO BONIFÁCIO</v>
          </cell>
          <cell r="Y240" t="str">
            <v>MAURICIO SANTOS</v>
          </cell>
          <cell r="Z240" t="str">
            <v xml:space="preserve">EDSON/MARCELO LIMA </v>
          </cell>
        </row>
        <row r="241">
          <cell r="V241" t="str">
            <v>Manutenção Mecanica Karitel</v>
          </cell>
          <cell r="W241" t="str">
            <v>Operações Karitel</v>
          </cell>
          <cell r="X241" t="str">
            <v>RAFAEL XAVIER</v>
          </cell>
          <cell r="Y241" t="str">
            <v>FERNANDO GUILHERME</v>
          </cell>
          <cell r="Z241" t="str">
            <v>JUNIO COSTA</v>
          </cell>
        </row>
        <row r="242">
          <cell r="V242" t="str">
            <v>Planejamento Irrigação Grãos</v>
          </cell>
          <cell r="W242" t="str">
            <v>Operações Karitel</v>
          </cell>
          <cell r="X242" t="str">
            <v>PAULO BONIFÁCIO</v>
          </cell>
          <cell r="Y242" t="str">
            <v>PAULO BONIFÁCIO</v>
          </cell>
          <cell r="Z242" t="str">
            <v xml:space="preserve">LEONARDO SANTOS </v>
          </cell>
        </row>
        <row r="243">
          <cell r="V243" t="str">
            <v>Manutenção Mecanica Karitel</v>
          </cell>
          <cell r="W243" t="str">
            <v>Operações Karitel</v>
          </cell>
          <cell r="X243" t="str">
            <v>RAFAEL XAVIER</v>
          </cell>
          <cell r="Y243" t="str">
            <v>FERNANDO GUILHERME</v>
          </cell>
          <cell r="Z243" t="str">
            <v>JUNIO COSTA</v>
          </cell>
        </row>
        <row r="244">
          <cell r="V244" t="str">
            <v>Gente e Gestão</v>
          </cell>
          <cell r="W244" t="str">
            <v>Gente e Gestão</v>
          </cell>
          <cell r="X244" t="str">
            <v xml:space="preserve">LEIDJANE MARTINS </v>
          </cell>
          <cell r="Y244" t="str">
            <v xml:space="preserve">LEIDJANE MARTINS </v>
          </cell>
        </row>
        <row r="245">
          <cell r="V245" t="str">
            <v>Facilities - Karitel</v>
          </cell>
          <cell r="W245" t="str">
            <v>Gente e Gestão</v>
          </cell>
          <cell r="X245" t="str">
            <v xml:space="preserve">LEIDJANE MARTINS </v>
          </cell>
          <cell r="Y245" t="str">
            <v xml:space="preserve">LEIDJANE MARTINS </v>
          </cell>
          <cell r="Z245" t="str">
            <v>DENIS ACASSIO</v>
          </cell>
        </row>
        <row r="246">
          <cell r="V246" t="str">
            <v>Silo</v>
          </cell>
          <cell r="W246" t="str">
            <v>Operações Karitel</v>
          </cell>
          <cell r="X246" t="str">
            <v>PAULO BONIFÁCIO</v>
          </cell>
          <cell r="Y246" t="str">
            <v>ALDAIR BORGES</v>
          </cell>
          <cell r="Z246" t="str">
            <v>ISAC NONATO</v>
          </cell>
        </row>
        <row r="247">
          <cell r="V247" t="str">
            <v>Manutenção Mecanica Karitel</v>
          </cell>
          <cell r="W247" t="str">
            <v>Operações Karitel</v>
          </cell>
          <cell r="X247" t="str">
            <v>RAFAEL XAVIER</v>
          </cell>
          <cell r="Y247" t="str">
            <v>FERNANDO GUILHERME</v>
          </cell>
          <cell r="Z247" t="str">
            <v>JUNIO COSTA</v>
          </cell>
        </row>
        <row r="248">
          <cell r="V248" t="str">
            <v>Campo Agricola Cacau</v>
          </cell>
          <cell r="W248" t="str">
            <v>Operações Karitel</v>
          </cell>
          <cell r="X248" t="str">
            <v>JOSÉ GOUVEA</v>
          </cell>
          <cell r="Y248" t="str">
            <v>ALEX DIAS</v>
          </cell>
        </row>
        <row r="249">
          <cell r="V249" t="str">
            <v>Campo Agricola Cacau</v>
          </cell>
          <cell r="W249" t="str">
            <v>Operações Karitel</v>
          </cell>
          <cell r="X249" t="str">
            <v>JOSÉ GOUVEA</v>
          </cell>
          <cell r="Y249" t="str">
            <v>ALEX DIAS</v>
          </cell>
        </row>
        <row r="250">
          <cell r="V250" t="str">
            <v>Campo Agricola Cacau</v>
          </cell>
          <cell r="W250" t="str">
            <v>Operações Karitel</v>
          </cell>
          <cell r="X250" t="str">
            <v>JOSÉ GOUVEA</v>
          </cell>
          <cell r="Y250" t="str">
            <v>ALEX DIAS</v>
          </cell>
        </row>
        <row r="251">
          <cell r="V251" t="str">
            <v>Manutenção Mecanica Karitel</v>
          </cell>
          <cell r="W251" t="str">
            <v>Operações Karitel</v>
          </cell>
          <cell r="X251" t="str">
            <v>RAFAEL XAVIER</v>
          </cell>
          <cell r="Y251" t="str">
            <v>FERNANDO GUILHERME</v>
          </cell>
          <cell r="Z251" t="str">
            <v>JUNIO COSTA</v>
          </cell>
        </row>
        <row r="252">
          <cell r="V252" t="str">
            <v>Planejamento Irrigação Grãos</v>
          </cell>
          <cell r="W252" t="str">
            <v>Operações Karitel</v>
          </cell>
          <cell r="X252" t="str">
            <v>PAULO BONIFÁCIO</v>
          </cell>
          <cell r="Y252" t="str">
            <v>PAULO BONIFÁCIO</v>
          </cell>
          <cell r="Z252" t="str">
            <v xml:space="preserve">LEONARDO SANTOS </v>
          </cell>
        </row>
        <row r="253">
          <cell r="V253" t="str">
            <v>Planejamento Irrigação Grãos</v>
          </cell>
          <cell r="W253" t="str">
            <v>Operações Karitel</v>
          </cell>
          <cell r="X253" t="str">
            <v>PAULO BONIFÁCIO</v>
          </cell>
          <cell r="Y253" t="str">
            <v>PAULO BONIFÁCIO</v>
          </cell>
          <cell r="Z253" t="str">
            <v xml:space="preserve">LEONARDO SANTOS </v>
          </cell>
        </row>
        <row r="254">
          <cell r="V254" t="str">
            <v>Planejamento Irrigação Grãos</v>
          </cell>
          <cell r="W254" t="str">
            <v>Operações Karitel</v>
          </cell>
          <cell r="X254" t="str">
            <v>PAULO BONIFÁCIO</v>
          </cell>
          <cell r="Y254" t="str">
            <v>PAULO BONIFÁCIO</v>
          </cell>
          <cell r="Z254" t="str">
            <v xml:space="preserve">LEONARDO SANTOS </v>
          </cell>
        </row>
        <row r="255">
          <cell r="V255" t="str">
            <v>Campo Agricola Grãos</v>
          </cell>
          <cell r="W255" t="str">
            <v>Operações Karitel</v>
          </cell>
          <cell r="X255" t="str">
            <v>PAULO BONIFÁCIO</v>
          </cell>
          <cell r="Y255" t="str">
            <v>MAURICIO SANTOS</v>
          </cell>
          <cell r="Z255" t="str">
            <v xml:space="preserve">EDSON/MARCELO LIMA </v>
          </cell>
        </row>
        <row r="256">
          <cell r="V256" t="str">
            <v>Campo Agricola Cacau - CAPEX</v>
          </cell>
          <cell r="W256" t="str">
            <v>Operações Karitel</v>
          </cell>
          <cell r="X256" t="str">
            <v>JOSÉ GOUVEA</v>
          </cell>
          <cell r="Y256" t="str">
            <v>ALEX DIAS</v>
          </cell>
        </row>
        <row r="257">
          <cell r="V257" t="str">
            <v>Colheita Grãos</v>
          </cell>
          <cell r="W257" t="str">
            <v>Operações Karitel</v>
          </cell>
          <cell r="X257" t="str">
            <v>PAULO BONIFÁCIO</v>
          </cell>
          <cell r="Y257" t="str">
            <v>MAURICIO SANTOS</v>
          </cell>
          <cell r="Z257" t="str">
            <v>FABIANO</v>
          </cell>
        </row>
        <row r="258">
          <cell r="V258" t="str">
            <v>Manuteção Irrigação</v>
          </cell>
          <cell r="W258" t="str">
            <v>Operações Karitel</v>
          </cell>
          <cell r="X258" t="str">
            <v>RAFAEL XAVIER</v>
          </cell>
          <cell r="Y258" t="str">
            <v>IVONEI CAMPOS</v>
          </cell>
          <cell r="Z258" t="str">
            <v xml:space="preserve">MARCOS VINICIUS </v>
          </cell>
        </row>
        <row r="259">
          <cell r="V259" t="str">
            <v>Manutenção Predial Karitel</v>
          </cell>
          <cell r="W259" t="str">
            <v>Operações Karitel</v>
          </cell>
          <cell r="X259" t="str">
            <v>RAFAEL XAVIER</v>
          </cell>
          <cell r="Y259" t="str">
            <v>IVONEI CAMPOS</v>
          </cell>
          <cell r="Z259" t="str">
            <v>ANDRÉ CUBA</v>
          </cell>
        </row>
        <row r="260">
          <cell r="V260" t="str">
            <v>Algodoeira</v>
          </cell>
          <cell r="W260" t="str">
            <v>Operações Karitel</v>
          </cell>
          <cell r="X260" t="str">
            <v>PAULO BONIFÁCIO</v>
          </cell>
          <cell r="Y260" t="str">
            <v>ALDAIR BORGES</v>
          </cell>
          <cell r="Z260" t="str">
            <v>WARLEY RIBEIRO</v>
          </cell>
        </row>
        <row r="261">
          <cell r="V261" t="str">
            <v>Planejamento Irrigação Grãos</v>
          </cell>
          <cell r="W261" t="str">
            <v>Operações Karitel</v>
          </cell>
          <cell r="X261" t="str">
            <v>PAULO BONIFÁCIO</v>
          </cell>
          <cell r="Y261" t="str">
            <v>PAULO BONIFÁCIO</v>
          </cell>
          <cell r="Z261" t="str">
            <v xml:space="preserve">LEONARDO SANTOS </v>
          </cell>
        </row>
        <row r="262">
          <cell r="V262" t="str">
            <v>Campo Agricola Cacau</v>
          </cell>
          <cell r="W262" t="str">
            <v>Operações Karitel</v>
          </cell>
          <cell r="X262" t="str">
            <v>JOSÉ GOUVEA</v>
          </cell>
          <cell r="Y262" t="str">
            <v>ALEX DIAS</v>
          </cell>
        </row>
        <row r="263">
          <cell r="V263" t="str">
            <v>Manutenção Predial Karitel</v>
          </cell>
          <cell r="W263" t="str">
            <v>Operações Karitel</v>
          </cell>
          <cell r="X263" t="str">
            <v>RAFAEL XAVIER</v>
          </cell>
          <cell r="Y263" t="str">
            <v>IVONEI CAMPOS</v>
          </cell>
          <cell r="Z263" t="str">
            <v>ANDRÉ CUBA</v>
          </cell>
        </row>
        <row r="264">
          <cell r="V264" t="str">
            <v>Algodoeira</v>
          </cell>
          <cell r="W264" t="str">
            <v>Operações Karitel</v>
          </cell>
          <cell r="X264" t="str">
            <v>PAULO BONIFÁCIO</v>
          </cell>
          <cell r="Y264" t="str">
            <v>ALDAIR BORGES</v>
          </cell>
          <cell r="Z264" t="str">
            <v>WARLEY RIBEIRO</v>
          </cell>
        </row>
        <row r="265">
          <cell r="V265" t="str">
            <v>Manutenção Predial Karitel</v>
          </cell>
          <cell r="W265" t="str">
            <v>Operações Karitel</v>
          </cell>
          <cell r="X265" t="str">
            <v>RAFAEL XAVIER</v>
          </cell>
          <cell r="Y265" t="str">
            <v>IVONEI CAMPOS</v>
          </cell>
          <cell r="Z265" t="str">
            <v>ANDRÉ CUBA</v>
          </cell>
        </row>
        <row r="266">
          <cell r="V266" t="str">
            <v>Facilities - Karitel</v>
          </cell>
          <cell r="W266" t="str">
            <v>Gente e Gestão</v>
          </cell>
          <cell r="X266" t="str">
            <v xml:space="preserve">LEIDJANE MARTINS </v>
          </cell>
          <cell r="Y266" t="str">
            <v xml:space="preserve">LEIDJANE MARTINS </v>
          </cell>
          <cell r="Z266" t="str">
            <v>DENIS ACASSIO</v>
          </cell>
        </row>
        <row r="267">
          <cell r="V267" t="str">
            <v>Almoxarifado - Karitel</v>
          </cell>
          <cell r="W267" t="str">
            <v>Finanças</v>
          </cell>
          <cell r="X267" t="str">
            <v>ANDREZA LARDO</v>
          </cell>
          <cell r="Y267" t="str">
            <v>ANDREZA LARDO</v>
          </cell>
          <cell r="Z267" t="str">
            <v>ADENILTON RODRIGUES</v>
          </cell>
        </row>
        <row r="268">
          <cell r="V268" t="str">
            <v>Pulverização Grãos</v>
          </cell>
          <cell r="W268" t="str">
            <v>Operações Karitel</v>
          </cell>
          <cell r="X268" t="str">
            <v>PAULO BONIFÁCIO</v>
          </cell>
          <cell r="Y268" t="str">
            <v xml:space="preserve">JOÃO KOMURA </v>
          </cell>
          <cell r="Z268" t="str">
            <v>LUAN ABADIA</v>
          </cell>
        </row>
        <row r="269">
          <cell r="V269" t="str">
            <v>Planejamento Irrigação Grãos</v>
          </cell>
          <cell r="W269" t="str">
            <v>Operações Karitel</v>
          </cell>
          <cell r="X269" t="str">
            <v>PAULO BONIFÁCIO</v>
          </cell>
          <cell r="Y269" t="str">
            <v>PAULO BONIFÁCIO</v>
          </cell>
          <cell r="Z269" t="str">
            <v xml:space="preserve">LEONARDO SANTOS </v>
          </cell>
        </row>
        <row r="270">
          <cell r="V270" t="str">
            <v>Campo Agricola Cacau</v>
          </cell>
          <cell r="W270" t="str">
            <v>Operações Karitel</v>
          </cell>
          <cell r="X270" t="str">
            <v>JOSÉ GOUVEA</v>
          </cell>
          <cell r="Y270" t="str">
            <v>ALEX DIAS</v>
          </cell>
        </row>
        <row r="271">
          <cell r="V271" t="str">
            <v>Campo Agricola Cacau</v>
          </cell>
          <cell r="W271" t="str">
            <v>Operações Karitel</v>
          </cell>
          <cell r="X271" t="str">
            <v>JOSÉ GOUVEA</v>
          </cell>
          <cell r="Y271" t="str">
            <v>ALEX DIAS</v>
          </cell>
        </row>
        <row r="272">
          <cell r="V272" t="str">
            <v>Pulverização Rio do Meio</v>
          </cell>
          <cell r="W272" t="str">
            <v>Operações Karitel</v>
          </cell>
          <cell r="X272" t="str">
            <v>PAULO BONIFÁCIO</v>
          </cell>
          <cell r="Y272" t="str">
            <v xml:space="preserve">JOÃO KOMURA </v>
          </cell>
        </row>
        <row r="273">
          <cell r="V273" t="str">
            <v>Gestor de Grãos IV</v>
          </cell>
          <cell r="W273" t="str">
            <v>Operações Karitel</v>
          </cell>
          <cell r="X273" t="str">
            <v xml:space="preserve">CARLOS OLIVEIRA </v>
          </cell>
          <cell r="Y273" t="str">
            <v xml:space="preserve">CARLOS OLIVEIRA </v>
          </cell>
        </row>
        <row r="274">
          <cell r="V274" t="str">
            <v>Campo Agricola Grãos</v>
          </cell>
          <cell r="W274" t="str">
            <v>Operações Karitel</v>
          </cell>
          <cell r="X274" t="str">
            <v>PAULO BONIFÁCIO</v>
          </cell>
          <cell r="Y274" t="str">
            <v>MAURICIO SANTOS</v>
          </cell>
          <cell r="Z274" t="str">
            <v xml:space="preserve">EDSON/MARCELO LIMA </v>
          </cell>
        </row>
        <row r="275">
          <cell r="V275" t="str">
            <v>Pulverização Grãos</v>
          </cell>
          <cell r="W275" t="str">
            <v>Operações Karitel</v>
          </cell>
          <cell r="X275" t="str">
            <v>PAULO BONIFÁCIO</v>
          </cell>
          <cell r="Y275" t="str">
            <v xml:space="preserve">JOÃO KOMURA </v>
          </cell>
          <cell r="Z275" t="str">
            <v>LUAN ABADIA</v>
          </cell>
        </row>
        <row r="276">
          <cell r="V276" t="str">
            <v>Planejamento Irrigação Grãos</v>
          </cell>
          <cell r="W276" t="str">
            <v>Operações Karitel</v>
          </cell>
          <cell r="X276" t="str">
            <v>PAULO BONIFÁCIO</v>
          </cell>
          <cell r="Y276" t="str">
            <v>PAULO BONIFÁCIO</v>
          </cell>
          <cell r="Z276" t="str">
            <v xml:space="preserve">LEONARDO SANTOS </v>
          </cell>
        </row>
        <row r="277">
          <cell r="V277" t="str">
            <v>Eucalipto Capex</v>
          </cell>
          <cell r="W277" t="str">
            <v>Operações Karitel</v>
          </cell>
          <cell r="X277" t="str">
            <v>JOSÉ GOUVEA</v>
          </cell>
          <cell r="Y277" t="str">
            <v>ALEX DIAS</v>
          </cell>
        </row>
        <row r="278">
          <cell r="V278" t="str">
            <v>Campo Agricola Cacau</v>
          </cell>
          <cell r="W278" t="str">
            <v>Operações Karitel</v>
          </cell>
          <cell r="X278" t="str">
            <v>JOSÉ GOUVEA</v>
          </cell>
          <cell r="Y278" t="str">
            <v>ALEX DIAS</v>
          </cell>
        </row>
        <row r="279">
          <cell r="V279" t="str">
            <v>Manuteção Irrigação</v>
          </cell>
          <cell r="W279" t="str">
            <v>Operações Karitel</v>
          </cell>
          <cell r="X279" t="str">
            <v>RAFAEL XAVIER</v>
          </cell>
          <cell r="Y279" t="str">
            <v>IVONEI CAMPOS</v>
          </cell>
          <cell r="Z279" t="str">
            <v xml:space="preserve">MARCOS VINICIUS </v>
          </cell>
        </row>
        <row r="280">
          <cell r="V280" t="str">
            <v>Manutenção Mecanica Karitel</v>
          </cell>
          <cell r="W280" t="str">
            <v>Operações Karitel</v>
          </cell>
          <cell r="X280" t="str">
            <v>RAFAEL XAVIER</v>
          </cell>
          <cell r="Y280" t="str">
            <v>FERNANDO GUILHERME</v>
          </cell>
          <cell r="Z280" t="str">
            <v>JUNIO COSTA</v>
          </cell>
        </row>
        <row r="281">
          <cell r="V281" t="str">
            <v>Campo Agricola Cacau</v>
          </cell>
          <cell r="W281" t="str">
            <v>Operações Karitel</v>
          </cell>
          <cell r="X281" t="str">
            <v>JOSÉ GOUVEA</v>
          </cell>
          <cell r="Y281" t="str">
            <v>ALEX DIAS</v>
          </cell>
        </row>
        <row r="282">
          <cell r="V282" t="str">
            <v>Campo Agricola Cacau</v>
          </cell>
          <cell r="W282" t="str">
            <v>Operações Karitel</v>
          </cell>
          <cell r="X282" t="str">
            <v>JOSÉ GOUVEA</v>
          </cell>
          <cell r="Y282" t="str">
            <v>ALEX DIAS</v>
          </cell>
        </row>
        <row r="283">
          <cell r="V283" t="str">
            <v>Manutenção Predial Karitel</v>
          </cell>
          <cell r="W283" t="str">
            <v>Operações Karitel</v>
          </cell>
          <cell r="X283" t="str">
            <v>RAFAEL XAVIER</v>
          </cell>
          <cell r="Y283" t="str">
            <v>IVONEI CAMPOS</v>
          </cell>
          <cell r="Z283" t="str">
            <v>ANDRÉ CUBA</v>
          </cell>
        </row>
        <row r="284">
          <cell r="V284" t="str">
            <v>Facilities - Karitel</v>
          </cell>
          <cell r="W284" t="str">
            <v>Gente e Gestão</v>
          </cell>
          <cell r="X284" t="str">
            <v xml:space="preserve">LEIDJANE MARTINS </v>
          </cell>
          <cell r="Y284" t="str">
            <v xml:space="preserve">LEIDJANE MARTINS </v>
          </cell>
          <cell r="Z284" t="str">
            <v>DENIS ACASSIO</v>
          </cell>
        </row>
        <row r="285">
          <cell r="V285" t="str">
            <v>Manutenção Mecanica Karitel</v>
          </cell>
          <cell r="W285" t="str">
            <v>Operações Karitel</v>
          </cell>
          <cell r="X285" t="str">
            <v>RAFAEL XAVIER</v>
          </cell>
          <cell r="Y285" t="str">
            <v>FERNANDO GUILHERME</v>
          </cell>
          <cell r="Z285" t="str">
            <v>JUNIO COSTA</v>
          </cell>
        </row>
        <row r="286">
          <cell r="V286" t="str">
            <v>Campo Agricola Cacau</v>
          </cell>
          <cell r="W286" t="str">
            <v>Operações Karitel</v>
          </cell>
          <cell r="X286" t="str">
            <v>JOSÉ GOUVEA</v>
          </cell>
          <cell r="Y286" t="str">
            <v>ALEX DIAS</v>
          </cell>
        </row>
        <row r="287">
          <cell r="V287" t="str">
            <v>Gestao Diretoria</v>
          </cell>
          <cell r="W287" t="str">
            <v>Operações Karitel</v>
          </cell>
          <cell r="X287" t="str">
            <v xml:space="preserve">CARLOS OLIVEIRA </v>
          </cell>
          <cell r="Y287" t="str">
            <v xml:space="preserve">CARLOS OLIVEIRA </v>
          </cell>
        </row>
        <row r="288">
          <cell r="V288" t="str">
            <v>Silo</v>
          </cell>
          <cell r="W288" t="str">
            <v>Operações Karitel</v>
          </cell>
          <cell r="X288" t="str">
            <v>PAULO BONIFÁCIO</v>
          </cell>
          <cell r="Y288" t="str">
            <v>ALDAIR BORGES</v>
          </cell>
          <cell r="Z288" t="str">
            <v>ISAC NONATO</v>
          </cell>
        </row>
        <row r="289">
          <cell r="V289" t="str">
            <v>Campo Agricola Cacau</v>
          </cell>
          <cell r="W289" t="str">
            <v>Operações Karitel</v>
          </cell>
          <cell r="X289" t="str">
            <v>JOSÉ GOUVEA</v>
          </cell>
          <cell r="Y289" t="str">
            <v>ALEX DIAS</v>
          </cell>
        </row>
        <row r="290">
          <cell r="V290" t="str">
            <v>Colheita Grãos</v>
          </cell>
          <cell r="W290" t="str">
            <v>Operações Karitel</v>
          </cell>
          <cell r="X290" t="str">
            <v>PAULO BONIFÁCIO</v>
          </cell>
          <cell r="Y290" t="str">
            <v>MAURICIO SANTOS</v>
          </cell>
          <cell r="Z290" t="str">
            <v>FABIANO</v>
          </cell>
        </row>
        <row r="291">
          <cell r="V291" t="str">
            <v>Manuteção Irrigação</v>
          </cell>
          <cell r="W291" t="str">
            <v>Operações Karitel</v>
          </cell>
          <cell r="X291" t="str">
            <v>RAFAEL XAVIER</v>
          </cell>
          <cell r="Y291" t="str">
            <v>IVONEI CAMPOS</v>
          </cell>
          <cell r="Z291" t="str">
            <v xml:space="preserve">MARCOS VINICIUS </v>
          </cell>
        </row>
        <row r="292">
          <cell r="V292" t="str">
            <v>Campo Agricola Cacau - CAPEX</v>
          </cell>
          <cell r="W292" t="str">
            <v>Operações Karitel</v>
          </cell>
          <cell r="X292" t="str">
            <v>JOSÉ GOUVEA</v>
          </cell>
          <cell r="Y292" t="str">
            <v>ALEX DIAS</v>
          </cell>
        </row>
        <row r="293">
          <cell r="V293" t="str">
            <v>Campo Agricola Rio do Meio</v>
          </cell>
          <cell r="W293" t="str">
            <v>Operações Karitel</v>
          </cell>
          <cell r="X293" t="str">
            <v>PAULO BONIFÁCIO</v>
          </cell>
          <cell r="Y293" t="str">
            <v>MAURICIO SANTOS</v>
          </cell>
          <cell r="Z293" t="str">
            <v>EDIS MOREIRA</v>
          </cell>
        </row>
        <row r="294">
          <cell r="V294" t="str">
            <v>Pulverização Grãos</v>
          </cell>
          <cell r="W294" t="str">
            <v>Operações Karitel</v>
          </cell>
          <cell r="X294" t="str">
            <v>PAULO BONIFÁCIO</v>
          </cell>
          <cell r="Y294" t="str">
            <v xml:space="preserve">JOÃO KOMURA </v>
          </cell>
          <cell r="Z294" t="str">
            <v>LUAN ABADIA</v>
          </cell>
        </row>
        <row r="295">
          <cell r="V295" t="str">
            <v>Pulverização Grãos</v>
          </cell>
          <cell r="W295" t="str">
            <v>Operações Karitel</v>
          </cell>
          <cell r="X295" t="str">
            <v>PAULO BONIFÁCIO</v>
          </cell>
          <cell r="Y295" t="str">
            <v xml:space="preserve">JOÃO KOMURA </v>
          </cell>
          <cell r="Z295" t="str">
            <v>LUAN ABADIA</v>
          </cell>
        </row>
        <row r="296">
          <cell r="V296" t="str">
            <v>Eucalipto Capex</v>
          </cell>
          <cell r="W296" t="str">
            <v>Operações Karitel</v>
          </cell>
          <cell r="X296" t="str">
            <v>JOSÉ GOUVEA</v>
          </cell>
          <cell r="Y296" t="str">
            <v>ALEX DIAS</v>
          </cell>
        </row>
        <row r="297">
          <cell r="V297" t="str">
            <v>Campo Agricola Cacau</v>
          </cell>
          <cell r="W297" t="str">
            <v>Operações Karitel</v>
          </cell>
          <cell r="X297" t="str">
            <v>JOSÉ GOUVEA</v>
          </cell>
          <cell r="Y297" t="str">
            <v>ALEX DIAS</v>
          </cell>
        </row>
        <row r="298">
          <cell r="V298" t="str">
            <v>Algodoeira</v>
          </cell>
          <cell r="W298" t="str">
            <v>Operações Karitel</v>
          </cell>
          <cell r="X298" t="str">
            <v>PAULO BONIFÁCIO</v>
          </cell>
          <cell r="Y298" t="str">
            <v>ALDAIR BORGES</v>
          </cell>
          <cell r="Z298" t="str">
            <v>WARLEY RIBEIRO</v>
          </cell>
        </row>
        <row r="299">
          <cell r="V299" t="str">
            <v>Manutenção Mecanica Karitel</v>
          </cell>
          <cell r="W299" t="str">
            <v>Operações Karitel</v>
          </cell>
          <cell r="X299" t="str">
            <v>RAFAEL XAVIER</v>
          </cell>
          <cell r="Y299" t="str">
            <v>FERNANDO GUILHERME</v>
          </cell>
          <cell r="Z299" t="str">
            <v>JUNIO COSTA</v>
          </cell>
        </row>
        <row r="300">
          <cell r="V300" t="str">
            <v>Campo Agricola Cacau</v>
          </cell>
          <cell r="W300" t="str">
            <v>Operações Karitel</v>
          </cell>
          <cell r="X300" t="str">
            <v>JOSÉ GOUVEA</v>
          </cell>
          <cell r="Y300" t="str">
            <v>ALEX DIAS</v>
          </cell>
        </row>
        <row r="301">
          <cell r="V301" t="str">
            <v>Campo Agricola Rio do Meio</v>
          </cell>
          <cell r="W301" t="str">
            <v>Operações Karitel</v>
          </cell>
          <cell r="X301" t="str">
            <v>PAULO BONIFÁCIO</v>
          </cell>
          <cell r="Y301" t="str">
            <v>MAURICIO SANTOS</v>
          </cell>
          <cell r="Z301" t="str">
            <v>EDIS MOREIRA</v>
          </cell>
        </row>
        <row r="302">
          <cell r="V302" t="str">
            <v>Campo Agricola Rio do Meio</v>
          </cell>
          <cell r="W302" t="str">
            <v>Operações Karitel</v>
          </cell>
          <cell r="X302" t="str">
            <v>PAULO BONIFÁCIO</v>
          </cell>
          <cell r="Y302" t="str">
            <v>MAURICIO SANTOS</v>
          </cell>
          <cell r="Z302" t="str">
            <v>EDIS MOREIRA</v>
          </cell>
        </row>
        <row r="303">
          <cell r="V303" t="str">
            <v>Campo Agricola Cacau</v>
          </cell>
          <cell r="W303" t="str">
            <v>Operações Karitel</v>
          </cell>
          <cell r="X303" t="str">
            <v>JOSÉ GOUVEA</v>
          </cell>
          <cell r="Y303" t="str">
            <v>ALEX DIAS</v>
          </cell>
        </row>
        <row r="304">
          <cell r="V304" t="str">
            <v>Facilities - Karitel</v>
          </cell>
          <cell r="W304" t="str">
            <v>Gente e Gestão</v>
          </cell>
          <cell r="X304" t="str">
            <v xml:space="preserve">LEIDJANE MARTINS </v>
          </cell>
          <cell r="Y304" t="str">
            <v xml:space="preserve">LEIDJANE MARTINS </v>
          </cell>
          <cell r="Z304" t="str">
            <v>DENIS ACASSIO</v>
          </cell>
        </row>
        <row r="305">
          <cell r="V305" t="str">
            <v>Campo Agricola Cacau</v>
          </cell>
          <cell r="W305" t="str">
            <v>Operações Karitel</v>
          </cell>
          <cell r="X305" t="str">
            <v>JOSÉ GOUVEA</v>
          </cell>
          <cell r="Y305" t="str">
            <v>ALEX DIAS</v>
          </cell>
        </row>
        <row r="306">
          <cell r="V306" t="str">
            <v>Silo</v>
          </cell>
          <cell r="W306" t="str">
            <v>Operações Karitel</v>
          </cell>
          <cell r="X306" t="str">
            <v>PAULO BONIFÁCIO</v>
          </cell>
          <cell r="Y306" t="str">
            <v>ALDAIR BORGES</v>
          </cell>
          <cell r="Z306" t="str">
            <v>ISAC NONATO</v>
          </cell>
        </row>
        <row r="307">
          <cell r="V307" t="str">
            <v>Campo Agricola Cacau</v>
          </cell>
          <cell r="W307" t="str">
            <v>Operações Karitel</v>
          </cell>
          <cell r="X307" t="str">
            <v>JOSÉ GOUVEA</v>
          </cell>
          <cell r="Y307" t="str">
            <v>ALEX DIAS</v>
          </cell>
        </row>
        <row r="308">
          <cell r="V308" t="str">
            <v>Campo Agricola Cacau</v>
          </cell>
          <cell r="W308" t="str">
            <v>Operações Karitel</v>
          </cell>
          <cell r="X308" t="str">
            <v>JOSÉ GOUVEA</v>
          </cell>
          <cell r="Y308" t="str">
            <v>ALEX DIAS</v>
          </cell>
        </row>
        <row r="309">
          <cell r="V309" t="str">
            <v>Campo Agricola Cacau - CAPEX</v>
          </cell>
          <cell r="W309" t="str">
            <v>Operações Karitel</v>
          </cell>
          <cell r="X309" t="str">
            <v>JOSÉ GOUVEA</v>
          </cell>
          <cell r="Y309" t="str">
            <v>ALEX DIAS</v>
          </cell>
        </row>
        <row r="310">
          <cell r="V310" t="str">
            <v>Facilities - Karitel</v>
          </cell>
          <cell r="W310" t="str">
            <v>Gente e Gestão</v>
          </cell>
          <cell r="X310" t="str">
            <v xml:space="preserve">LEIDJANE MARTINS </v>
          </cell>
          <cell r="Y310" t="str">
            <v xml:space="preserve">LEIDJANE MARTINS </v>
          </cell>
          <cell r="Z310" t="str">
            <v>DENIS ACASSIO</v>
          </cell>
        </row>
        <row r="311">
          <cell r="V311" t="str">
            <v>Manutenção Mecanica Karitel</v>
          </cell>
          <cell r="W311" t="str">
            <v>Operações Karitel</v>
          </cell>
          <cell r="X311" t="str">
            <v>RAFAEL XAVIER</v>
          </cell>
          <cell r="Y311" t="str">
            <v>FERNANDO GUILHERME</v>
          </cell>
          <cell r="Z311" t="str">
            <v>JUNIO COSTA</v>
          </cell>
        </row>
        <row r="312">
          <cell r="V312" t="str">
            <v>Planejamento Irrigação Grãos</v>
          </cell>
          <cell r="W312" t="str">
            <v>Operações Karitel</v>
          </cell>
          <cell r="X312" t="str">
            <v>PAULO BONIFÁCIO</v>
          </cell>
          <cell r="Y312" t="str">
            <v>PAULO BONIFÁCIO</v>
          </cell>
          <cell r="Z312" t="str">
            <v xml:space="preserve">LEONARDO SANTOS </v>
          </cell>
        </row>
        <row r="313">
          <cell r="V313" t="str">
            <v>Planejamento Irrigação Grãos</v>
          </cell>
          <cell r="W313" t="str">
            <v>Operações Karitel</v>
          </cell>
          <cell r="X313" t="str">
            <v>PAULO BONIFÁCIO</v>
          </cell>
          <cell r="Y313" t="str">
            <v>PAULO BONIFÁCIO</v>
          </cell>
          <cell r="Z313" t="str">
            <v xml:space="preserve">LEONARDO SANTOS </v>
          </cell>
        </row>
        <row r="314">
          <cell r="V314" t="str">
            <v>Planejamento Irrigação Grãos</v>
          </cell>
          <cell r="W314" t="str">
            <v>Operações Karitel</v>
          </cell>
          <cell r="X314" t="str">
            <v>PAULO BONIFÁCIO</v>
          </cell>
          <cell r="Y314" t="str">
            <v>PAULO BONIFÁCIO</v>
          </cell>
          <cell r="Z314" t="str">
            <v xml:space="preserve">LEONARDO SANTOS </v>
          </cell>
        </row>
        <row r="315">
          <cell r="V315" t="str">
            <v>Campo Agricola Cacau</v>
          </cell>
          <cell r="W315" t="str">
            <v>Operações Karitel</v>
          </cell>
          <cell r="X315" t="str">
            <v>JOSÉ GOUVEA</v>
          </cell>
          <cell r="Y315" t="str">
            <v>ALEX DIAS</v>
          </cell>
        </row>
        <row r="316">
          <cell r="V316" t="str">
            <v>Algodoeira</v>
          </cell>
          <cell r="W316" t="str">
            <v>Operações Karitel</v>
          </cell>
          <cell r="X316" t="str">
            <v>PAULO BONIFÁCIO</v>
          </cell>
          <cell r="Y316" t="str">
            <v>ALDAIR BORGES</v>
          </cell>
          <cell r="Z316" t="str">
            <v>WARLEY RIBEIRO</v>
          </cell>
        </row>
        <row r="317">
          <cell r="V317" t="str">
            <v>Campo Agricola Cacau</v>
          </cell>
          <cell r="W317" t="str">
            <v>Operações Karitel</v>
          </cell>
          <cell r="X317" t="str">
            <v>JOSÉ GOUVEA</v>
          </cell>
          <cell r="Y317" t="str">
            <v>ALEX DIAS</v>
          </cell>
        </row>
        <row r="318">
          <cell r="V318" t="str">
            <v>Planejamento Irrigação Grãos</v>
          </cell>
          <cell r="W318" t="str">
            <v>Operações Karitel</v>
          </cell>
          <cell r="X318" t="str">
            <v>PAULO BONIFÁCIO</v>
          </cell>
          <cell r="Y318" t="str">
            <v>PAULO BONIFÁCIO</v>
          </cell>
          <cell r="Z318" t="str">
            <v xml:space="preserve">LEONARDO SANTOS </v>
          </cell>
        </row>
        <row r="319">
          <cell r="V319" t="str">
            <v>SSMA - Karitel</v>
          </cell>
          <cell r="W319" t="str">
            <v>Gente e Gestão</v>
          </cell>
          <cell r="X319" t="str">
            <v>CARSON NEVES</v>
          </cell>
          <cell r="Y319" t="str">
            <v>CARSON NEVES</v>
          </cell>
        </row>
        <row r="320">
          <cell r="V320" t="str">
            <v>Campo Agricola Cacau</v>
          </cell>
          <cell r="W320" t="str">
            <v>Operações Karitel</v>
          </cell>
          <cell r="X320" t="str">
            <v>JOSÉ GOUVEA</v>
          </cell>
          <cell r="Y320" t="str">
            <v>ALEX DIAS</v>
          </cell>
        </row>
        <row r="321">
          <cell r="V321" t="str">
            <v>Manutenção Mecanica Karitel</v>
          </cell>
          <cell r="W321" t="str">
            <v>Operações Karitel</v>
          </cell>
          <cell r="X321" t="str">
            <v>RAFAEL XAVIER</v>
          </cell>
          <cell r="Y321" t="str">
            <v>FERNANDO GUILHERME</v>
          </cell>
          <cell r="Z321" t="str">
            <v>JUNIO COSTA</v>
          </cell>
        </row>
        <row r="322">
          <cell r="V322" t="str">
            <v>SSMA - Karitel</v>
          </cell>
          <cell r="W322" t="str">
            <v>Gente e Gestão</v>
          </cell>
          <cell r="X322" t="str">
            <v>CARSON NEVES</v>
          </cell>
          <cell r="Y322" t="str">
            <v>CARSON NEVES</v>
          </cell>
        </row>
        <row r="323">
          <cell r="V323" t="str">
            <v>Algodoeira</v>
          </cell>
          <cell r="W323" t="str">
            <v>Operações Karitel</v>
          </cell>
          <cell r="X323" t="str">
            <v>PAULO BONIFÁCIO</v>
          </cell>
          <cell r="Y323" t="str">
            <v>ALDAIR BORGES</v>
          </cell>
          <cell r="Z323" t="str">
            <v>WARLEY RIBEIRO</v>
          </cell>
        </row>
        <row r="324">
          <cell r="V324" t="str">
            <v>Pulverização Rio do Meio</v>
          </cell>
          <cell r="W324" t="str">
            <v>Operações Karitel</v>
          </cell>
          <cell r="X324" t="str">
            <v>PAULO BONIFÁCIO</v>
          </cell>
          <cell r="Y324" t="str">
            <v xml:space="preserve">JOÃO KOMURA </v>
          </cell>
        </row>
        <row r="325">
          <cell r="V325" t="str">
            <v>Apontamento Karitel</v>
          </cell>
          <cell r="W325" t="str">
            <v>Operações Karitel</v>
          </cell>
          <cell r="X325" t="str">
            <v>MATHEUS FERNANDES</v>
          </cell>
          <cell r="Y325" t="str">
            <v>MATHEUS FERNANDES</v>
          </cell>
        </row>
        <row r="326">
          <cell r="V326" t="str">
            <v>Campo Agricola Cacau</v>
          </cell>
          <cell r="W326" t="str">
            <v>Operações Karitel</v>
          </cell>
          <cell r="X326" t="str">
            <v>JOSÉ GOUVEA</v>
          </cell>
          <cell r="Y326" t="str">
            <v>ALEX DIAS</v>
          </cell>
        </row>
        <row r="327">
          <cell r="V327" t="str">
            <v>TI - Karitel</v>
          </cell>
          <cell r="W327" t="str">
            <v>Finanças</v>
          </cell>
          <cell r="X327" t="str">
            <v>JOÃO GORGULHO</v>
          </cell>
          <cell r="Y327" t="str">
            <v>JOÃO GORGULHO</v>
          </cell>
        </row>
        <row r="328">
          <cell r="V328" t="str">
            <v>Campo Agricola Cacau</v>
          </cell>
          <cell r="W328" t="str">
            <v>Operações Karitel</v>
          </cell>
          <cell r="X328" t="str">
            <v>JOSÉ GOUVEA</v>
          </cell>
          <cell r="Y328" t="str">
            <v>ALEX DIAS</v>
          </cell>
        </row>
        <row r="329">
          <cell r="V329" t="str">
            <v>Campo Agricola Cacau</v>
          </cell>
          <cell r="W329" t="str">
            <v>Operações Karitel</v>
          </cell>
          <cell r="X329" t="str">
            <v>JOSÉ GOUVEA</v>
          </cell>
          <cell r="Y329" t="str">
            <v>ALEX DIAS</v>
          </cell>
        </row>
        <row r="330">
          <cell r="V330" t="str">
            <v>Programas Corporativos</v>
          </cell>
          <cell r="W330" t="str">
            <v>Gente e Gestão</v>
          </cell>
          <cell r="X330" t="str">
            <v xml:space="preserve">LEIDJANE MARTINS </v>
          </cell>
          <cell r="Y330" t="str">
            <v xml:space="preserve">LEIDJANE MARTINS </v>
          </cell>
        </row>
        <row r="331">
          <cell r="V331" t="str">
            <v>Manutenção Mecanica Karitel</v>
          </cell>
          <cell r="W331" t="str">
            <v>Operações Karitel</v>
          </cell>
          <cell r="X331" t="str">
            <v>RAFAEL XAVIER</v>
          </cell>
          <cell r="Y331" t="str">
            <v>FERNANDO GUILHERME</v>
          </cell>
          <cell r="Z331" t="str">
            <v>JUNIO COSTA</v>
          </cell>
        </row>
        <row r="332">
          <cell r="V332" t="str">
            <v>Campo Agricola Grãos</v>
          </cell>
          <cell r="W332" t="str">
            <v>Operações Karitel</v>
          </cell>
          <cell r="X332" t="str">
            <v>PAULO BONIFÁCIO</v>
          </cell>
          <cell r="Y332" t="str">
            <v>MAURICIO SANTOS</v>
          </cell>
          <cell r="Z332" t="str">
            <v xml:space="preserve">EDSON/MARCELO LIMA </v>
          </cell>
        </row>
        <row r="333">
          <cell r="V333" t="str">
            <v>Pulverização Grãos</v>
          </cell>
          <cell r="W333" t="str">
            <v>Operações Karitel</v>
          </cell>
          <cell r="X333" t="str">
            <v>PAULO BONIFÁCIO</v>
          </cell>
          <cell r="Y333" t="str">
            <v xml:space="preserve">JOÃO KOMURA </v>
          </cell>
          <cell r="Z333" t="str">
            <v>LUAN ABADIA</v>
          </cell>
        </row>
        <row r="334">
          <cell r="V334" t="str">
            <v>Campo Agricola Cacau</v>
          </cell>
          <cell r="W334" t="str">
            <v>Operações Karitel</v>
          </cell>
          <cell r="X334" t="str">
            <v>JOSÉ GOUVEA</v>
          </cell>
          <cell r="Y334" t="str">
            <v>ALEX DIAS</v>
          </cell>
        </row>
        <row r="335">
          <cell r="V335" t="str">
            <v>SSMA - Karitel</v>
          </cell>
          <cell r="W335" t="str">
            <v>Gente e Gestão</v>
          </cell>
          <cell r="X335" t="str">
            <v>CARSON NEVES</v>
          </cell>
          <cell r="Y335" t="str">
            <v>CARSON NEVES</v>
          </cell>
        </row>
        <row r="336">
          <cell r="V336" t="str">
            <v>ADM Karitel</v>
          </cell>
          <cell r="W336" t="str">
            <v>Finanças</v>
          </cell>
          <cell r="X336" t="str">
            <v>ANDREZA LARDO</v>
          </cell>
          <cell r="Y336" t="str">
            <v>ANDREZA LARDO</v>
          </cell>
          <cell r="Z336" t="str">
            <v>ADENILTON RODRIGUES</v>
          </cell>
        </row>
        <row r="337">
          <cell r="V337" t="str">
            <v>ADM Karitel</v>
          </cell>
          <cell r="W337" t="str">
            <v>Finanças</v>
          </cell>
          <cell r="X337" t="str">
            <v>ANDREZA LARDO</v>
          </cell>
          <cell r="Y337" t="str">
            <v>ANDREZA LARDO</v>
          </cell>
          <cell r="Z337" t="str">
            <v>ADENILTON RODRIGUES</v>
          </cell>
        </row>
        <row r="338">
          <cell r="V338" t="str">
            <v>Campo Agricola Cacau</v>
          </cell>
          <cell r="W338" t="str">
            <v>Operações Karitel</v>
          </cell>
          <cell r="X338" t="str">
            <v>JOSÉ GOUVEA</v>
          </cell>
          <cell r="Y338" t="str">
            <v>ALEX DIAS</v>
          </cell>
        </row>
        <row r="339">
          <cell r="V339" t="str">
            <v>Campo Agricola Cacau</v>
          </cell>
          <cell r="W339" t="str">
            <v>Operações Karitel</v>
          </cell>
          <cell r="X339" t="str">
            <v>JOSÉ GOUVEA</v>
          </cell>
          <cell r="Y339" t="str">
            <v>ALEX DIAS</v>
          </cell>
        </row>
        <row r="340">
          <cell r="V340" t="str">
            <v>Campo Agricola Grãos</v>
          </cell>
          <cell r="W340" t="str">
            <v>Operações Karitel</v>
          </cell>
          <cell r="X340" t="str">
            <v>PAULO BONIFÁCIO</v>
          </cell>
          <cell r="Y340" t="str">
            <v>MAURICIO SANTOS</v>
          </cell>
          <cell r="Z340" t="str">
            <v xml:space="preserve">EDSON/MARCELO LIMA </v>
          </cell>
        </row>
        <row r="341">
          <cell r="V341" t="str">
            <v>Algodoeira</v>
          </cell>
          <cell r="W341" t="str">
            <v>Operações Karitel</v>
          </cell>
          <cell r="X341" t="str">
            <v>PAULO BONIFÁCIO</v>
          </cell>
          <cell r="Y341" t="str">
            <v>ALDAIR BORGES</v>
          </cell>
          <cell r="Z341" t="str">
            <v>WARLEY RIBEIRO</v>
          </cell>
        </row>
        <row r="342">
          <cell r="V342" t="str">
            <v>Colheita Grãos</v>
          </cell>
          <cell r="W342" t="str">
            <v>Operações Karitel</v>
          </cell>
          <cell r="X342" t="str">
            <v>PAULO BONIFÁCIO</v>
          </cell>
          <cell r="Y342" t="str">
            <v>MAURICIO SANTOS</v>
          </cell>
          <cell r="Z342" t="str">
            <v>FABIANO</v>
          </cell>
        </row>
        <row r="343">
          <cell r="V343" t="str">
            <v>Manutenção Mecanica Karitel</v>
          </cell>
          <cell r="W343" t="str">
            <v>Operações Karitel</v>
          </cell>
          <cell r="X343" t="str">
            <v>RAFAEL XAVIER</v>
          </cell>
          <cell r="Y343" t="str">
            <v>FERNANDO GUILHERME</v>
          </cell>
          <cell r="Z343" t="str">
            <v>JUNIO COSTA</v>
          </cell>
        </row>
        <row r="344">
          <cell r="V344" t="str">
            <v>Colheita Grãos</v>
          </cell>
          <cell r="W344" t="str">
            <v>Operações Karitel</v>
          </cell>
          <cell r="X344" t="str">
            <v>PAULO BONIFÁCIO</v>
          </cell>
          <cell r="Y344" t="str">
            <v>MAURICIO SANTOS</v>
          </cell>
          <cell r="Z344" t="str">
            <v>FABIANO</v>
          </cell>
        </row>
        <row r="345">
          <cell r="V345" t="str">
            <v>SSMA - Karitel</v>
          </cell>
          <cell r="W345" t="str">
            <v>Gente e Gestão</v>
          </cell>
          <cell r="X345" t="str">
            <v>CARSON NEVES</v>
          </cell>
          <cell r="Y345" t="str">
            <v>CARSON NEVES</v>
          </cell>
        </row>
        <row r="346">
          <cell r="V346" t="str">
            <v>Manutenção Predial Karitel</v>
          </cell>
          <cell r="W346" t="str">
            <v>Operações Karitel</v>
          </cell>
          <cell r="X346" t="str">
            <v>RAFAEL XAVIER</v>
          </cell>
          <cell r="Y346" t="str">
            <v>IVONEI CAMPOS</v>
          </cell>
          <cell r="Z346" t="str">
            <v>ANDRÉ CUBA</v>
          </cell>
        </row>
        <row r="347">
          <cell r="V347" t="str">
            <v>Gestor de Gente e Gestão</v>
          </cell>
          <cell r="W347" t="str">
            <v>Gente e Gestão</v>
          </cell>
          <cell r="X347" t="str">
            <v xml:space="preserve">GISELE NASCENTE </v>
          </cell>
        </row>
        <row r="348">
          <cell r="V348" t="str">
            <v>Campo Agricola Cacau</v>
          </cell>
          <cell r="W348" t="str">
            <v>Operações Karitel</v>
          </cell>
          <cell r="X348" t="str">
            <v>JOSÉ GOUVEA</v>
          </cell>
          <cell r="Y348" t="str">
            <v>ALEX DIAS</v>
          </cell>
        </row>
        <row r="349">
          <cell r="V349" t="str">
            <v>Planejamento Irrigação Grãos</v>
          </cell>
          <cell r="W349" t="str">
            <v>Operações Karitel</v>
          </cell>
          <cell r="X349" t="str">
            <v>PAULO BONIFÁCIO</v>
          </cell>
          <cell r="Y349" t="str">
            <v>PAULO BONIFÁCIO</v>
          </cell>
          <cell r="Z349" t="str">
            <v xml:space="preserve">LEONARDO SANTOS </v>
          </cell>
        </row>
        <row r="350">
          <cell r="V350" t="str">
            <v>Campo Agricola Grãos</v>
          </cell>
          <cell r="W350" t="str">
            <v>Operações Karitel</v>
          </cell>
          <cell r="X350" t="str">
            <v>PAULO BONIFÁCIO</v>
          </cell>
          <cell r="Y350" t="str">
            <v>MAURICIO SANTOS</v>
          </cell>
          <cell r="Z350" t="str">
            <v xml:space="preserve">EDSON/MARCELO LIMA </v>
          </cell>
        </row>
        <row r="351">
          <cell r="V351" t="str">
            <v>Campo Agricola Cacau</v>
          </cell>
          <cell r="W351" t="str">
            <v>Operações Karitel</v>
          </cell>
          <cell r="X351" t="str">
            <v>JOSÉ GOUVEA</v>
          </cell>
          <cell r="Y351" t="str">
            <v>ALEX DIAS</v>
          </cell>
        </row>
        <row r="352">
          <cell r="V352" t="str">
            <v>Silo</v>
          </cell>
          <cell r="W352" t="str">
            <v>Operações Karitel</v>
          </cell>
          <cell r="X352" t="str">
            <v>PAULO BONIFÁCIO</v>
          </cell>
          <cell r="Y352" t="str">
            <v>ALDAIR BORGES</v>
          </cell>
          <cell r="Z352" t="str">
            <v>ISAC NONATO</v>
          </cell>
        </row>
        <row r="353">
          <cell r="V353" t="str">
            <v>SSMA - Karitel</v>
          </cell>
          <cell r="W353" t="str">
            <v>Gente e Gestão</v>
          </cell>
          <cell r="X353" t="str">
            <v>CARSON NEVES</v>
          </cell>
          <cell r="Y353" t="str">
            <v>CARSON NEVES</v>
          </cell>
        </row>
        <row r="354">
          <cell r="V354" t="str">
            <v>Campo Agricola Cacau</v>
          </cell>
          <cell r="W354" t="str">
            <v>Operações Karitel</v>
          </cell>
          <cell r="X354" t="str">
            <v>JOSÉ GOUVEA</v>
          </cell>
          <cell r="Y354" t="str">
            <v>ALEX DIAS</v>
          </cell>
        </row>
        <row r="355">
          <cell r="V355" t="str">
            <v>Silo</v>
          </cell>
          <cell r="W355" t="str">
            <v>Operações Karitel</v>
          </cell>
          <cell r="X355" t="str">
            <v>PAULO BONIFÁCIO</v>
          </cell>
          <cell r="Y355" t="str">
            <v>ALDAIR BORGES</v>
          </cell>
          <cell r="Z355" t="str">
            <v>ISAC NONATO</v>
          </cell>
        </row>
        <row r="356">
          <cell r="V356" t="str">
            <v>Campo Agricola Grãos</v>
          </cell>
          <cell r="W356" t="str">
            <v>Operações Karitel</v>
          </cell>
          <cell r="X356" t="str">
            <v>PAULO BONIFÁCIO</v>
          </cell>
          <cell r="Y356" t="str">
            <v>MAURICIO SANTOS</v>
          </cell>
          <cell r="Z356" t="str">
            <v xml:space="preserve">EDSON/MARCELO LIMA </v>
          </cell>
        </row>
        <row r="357">
          <cell r="V357" t="str">
            <v>Pulverização Grãos</v>
          </cell>
          <cell r="W357" t="str">
            <v>Operações Karitel</v>
          </cell>
          <cell r="X357" t="str">
            <v>PAULO BONIFÁCIO</v>
          </cell>
          <cell r="Y357" t="str">
            <v xml:space="preserve">JOÃO KOMURA </v>
          </cell>
          <cell r="Z357" t="str">
            <v>LUAN ABADIA</v>
          </cell>
        </row>
        <row r="358">
          <cell r="V358" t="str">
            <v>Campo Agricola Grãos</v>
          </cell>
          <cell r="W358" t="str">
            <v>Operações Karitel</v>
          </cell>
          <cell r="X358" t="str">
            <v>PAULO BONIFÁCIO</v>
          </cell>
          <cell r="Y358" t="str">
            <v>MAURICIO SANTOS</v>
          </cell>
          <cell r="Z358" t="str">
            <v xml:space="preserve">EDSON/MARCELO LIMA </v>
          </cell>
        </row>
        <row r="359">
          <cell r="V359" t="str">
            <v>Planejamento Irrigação Grãos</v>
          </cell>
          <cell r="W359" t="str">
            <v>Operações Karitel</v>
          </cell>
          <cell r="X359" t="str">
            <v>PAULO BONIFÁCIO</v>
          </cell>
          <cell r="Y359" t="str">
            <v>PAULO BONIFÁCIO</v>
          </cell>
          <cell r="Z359" t="str">
            <v xml:space="preserve">LEONARDO SANTOS </v>
          </cell>
        </row>
        <row r="360">
          <cell r="V360" t="str">
            <v>Silo</v>
          </cell>
          <cell r="W360" t="str">
            <v>Operações Karitel</v>
          </cell>
          <cell r="X360" t="str">
            <v>PAULO BONIFÁCIO</v>
          </cell>
          <cell r="Y360" t="str">
            <v>ALDAIR BORGES</v>
          </cell>
          <cell r="Z360" t="str">
            <v>ISAC NONATO</v>
          </cell>
        </row>
        <row r="361">
          <cell r="V361" t="str">
            <v>Campo Agricola Cacau</v>
          </cell>
          <cell r="W361" t="str">
            <v>Operações Karitel</v>
          </cell>
          <cell r="X361" t="str">
            <v>JOSÉ GOUVEA</v>
          </cell>
          <cell r="Y361" t="str">
            <v>ALEX DIAS</v>
          </cell>
        </row>
        <row r="362">
          <cell r="V362" t="str">
            <v>Manuteção Elétrica</v>
          </cell>
          <cell r="W362" t="str">
            <v>Operações Karitel</v>
          </cell>
          <cell r="X362" t="str">
            <v>RAFAEL XAVIER</v>
          </cell>
          <cell r="Y362" t="str">
            <v>IVONEI CAMPOS</v>
          </cell>
          <cell r="Z362" t="str">
            <v>TALLES RYAN</v>
          </cell>
        </row>
        <row r="363">
          <cell r="V363" t="str">
            <v>Campo Agricola Cacau</v>
          </cell>
          <cell r="W363" t="str">
            <v>Operações Karitel</v>
          </cell>
          <cell r="X363" t="str">
            <v>JOSÉ GOUVEA</v>
          </cell>
          <cell r="Y363" t="str">
            <v>ALEX DIAS</v>
          </cell>
        </row>
        <row r="364">
          <cell r="V364" t="str">
            <v>Algodoeira</v>
          </cell>
          <cell r="W364" t="str">
            <v>Operações Karitel</v>
          </cell>
          <cell r="X364" t="str">
            <v>PAULO BONIFÁCIO</v>
          </cell>
          <cell r="Y364" t="str">
            <v>ALDAIR BORGES</v>
          </cell>
          <cell r="Z364" t="str">
            <v>WARLEY RIBEIRO</v>
          </cell>
        </row>
        <row r="365">
          <cell r="V365" t="str">
            <v>Pulverização Grãos</v>
          </cell>
          <cell r="W365" t="str">
            <v>Operações Karitel</v>
          </cell>
          <cell r="X365" t="str">
            <v>PAULO BONIFÁCIO</v>
          </cell>
          <cell r="Y365" t="str">
            <v xml:space="preserve">JOÃO KOMURA </v>
          </cell>
          <cell r="Z365" t="str">
            <v>LUAN ABADIA</v>
          </cell>
        </row>
        <row r="366">
          <cell r="V366" t="str">
            <v>Campo Agricola Cacau</v>
          </cell>
          <cell r="W366" t="str">
            <v>Operações Karitel</v>
          </cell>
          <cell r="X366" t="str">
            <v>JOSÉ GOUVEA</v>
          </cell>
          <cell r="Y366" t="str">
            <v>ALEX DIAS</v>
          </cell>
        </row>
        <row r="367">
          <cell r="V367" t="str">
            <v>Planejamento Irrigação Grãos</v>
          </cell>
          <cell r="W367" t="str">
            <v>Operações Karitel</v>
          </cell>
          <cell r="X367" t="str">
            <v>PAULO BONIFÁCIO</v>
          </cell>
          <cell r="Y367" t="str">
            <v>PAULO BONIFÁCIO</v>
          </cell>
          <cell r="Z367" t="str">
            <v xml:space="preserve">LEONARDO SANTOS </v>
          </cell>
        </row>
        <row r="368">
          <cell r="V368" t="str">
            <v>Colheita Grãos</v>
          </cell>
          <cell r="W368" t="str">
            <v>Operações Karitel</v>
          </cell>
          <cell r="X368" t="str">
            <v>PAULO BONIFÁCIO</v>
          </cell>
          <cell r="Y368" t="str">
            <v>MAURICIO SANTOS</v>
          </cell>
          <cell r="Z368" t="str">
            <v>FABIANO</v>
          </cell>
        </row>
        <row r="369">
          <cell r="V369" t="str">
            <v>Campo Agricola Rio do Meio</v>
          </cell>
          <cell r="W369" t="str">
            <v>Operações Karitel</v>
          </cell>
          <cell r="X369" t="str">
            <v>PAULO BONIFÁCIO</v>
          </cell>
          <cell r="Y369" t="str">
            <v>MAURICIO SANTOS</v>
          </cell>
          <cell r="Z369" t="str">
            <v>EDIS MOREIRA</v>
          </cell>
        </row>
        <row r="370">
          <cell r="V370" t="str">
            <v>Pulverização Grãos</v>
          </cell>
          <cell r="W370" t="str">
            <v>Operações Karitel</v>
          </cell>
          <cell r="X370" t="str">
            <v>PAULO BONIFÁCIO</v>
          </cell>
          <cell r="Y370" t="str">
            <v xml:space="preserve">JOÃO KOMURA </v>
          </cell>
          <cell r="Z370" t="str">
            <v>LUAN ABADIA</v>
          </cell>
        </row>
        <row r="371">
          <cell r="V371" t="str">
            <v>Pulverização Grãos</v>
          </cell>
          <cell r="W371" t="str">
            <v>Operações Karitel</v>
          </cell>
          <cell r="X371" t="str">
            <v>PAULO BONIFÁCIO</v>
          </cell>
          <cell r="Y371" t="str">
            <v xml:space="preserve">JOÃO KOMURA </v>
          </cell>
          <cell r="Z371" t="str">
            <v>LUAN ABADIA</v>
          </cell>
        </row>
        <row r="372">
          <cell r="V372" t="str">
            <v>Campo Agricola Grãos</v>
          </cell>
          <cell r="W372" t="str">
            <v>Operações Karitel</v>
          </cell>
          <cell r="X372" t="str">
            <v>PAULO BONIFÁCIO</v>
          </cell>
          <cell r="Y372" t="str">
            <v>MAURICIO SANTOS</v>
          </cell>
          <cell r="Z372" t="str">
            <v xml:space="preserve">EDSON/MARCELO LIMA </v>
          </cell>
        </row>
        <row r="373">
          <cell r="V373" t="str">
            <v>Pulverização Grãos</v>
          </cell>
          <cell r="W373" t="str">
            <v>Operações Karitel</v>
          </cell>
          <cell r="X373" t="str">
            <v>PAULO BONIFÁCIO</v>
          </cell>
          <cell r="Y373" t="str">
            <v xml:space="preserve">JOÃO KOMURA </v>
          </cell>
          <cell r="Z373" t="str">
            <v>LUAN ABADIA</v>
          </cell>
        </row>
        <row r="374">
          <cell r="V374" t="str">
            <v>Manutenção Mecanica Karitel</v>
          </cell>
          <cell r="W374" t="str">
            <v>Operações Karitel</v>
          </cell>
          <cell r="X374" t="str">
            <v>RAFAEL XAVIER</v>
          </cell>
          <cell r="Y374" t="str">
            <v>FERNANDO GUILHERME</v>
          </cell>
          <cell r="Z374" t="str">
            <v>JUNIO COSTA</v>
          </cell>
        </row>
        <row r="375">
          <cell r="V375" t="str">
            <v>Campo Agricola Grãos</v>
          </cell>
          <cell r="W375" t="str">
            <v>Operações Karitel</v>
          </cell>
          <cell r="X375" t="str">
            <v>PAULO BONIFÁCIO</v>
          </cell>
          <cell r="Y375" t="str">
            <v>MAURICIO SANTOS</v>
          </cell>
          <cell r="Z375" t="str">
            <v xml:space="preserve">EDSON/MARCELO LIMA </v>
          </cell>
        </row>
        <row r="376">
          <cell r="V376" t="str">
            <v>SSMA - Karitel</v>
          </cell>
          <cell r="W376" t="str">
            <v>Gente e Gestão</v>
          </cell>
          <cell r="X376" t="str">
            <v>CARSON NEVES</v>
          </cell>
          <cell r="Y376" t="str">
            <v>CARSON NEVES</v>
          </cell>
        </row>
        <row r="377">
          <cell r="V377" t="str">
            <v>Biofabrica - Karitel</v>
          </cell>
          <cell r="W377" t="str">
            <v>Operações Karitel</v>
          </cell>
          <cell r="X377" t="str">
            <v>CRISOSTOMO CASTRO</v>
          </cell>
          <cell r="Y377" t="str">
            <v>MATHEUS ALMEIDA</v>
          </cell>
        </row>
        <row r="378">
          <cell r="V378" t="str">
            <v>Campo Agricola Grãos</v>
          </cell>
          <cell r="W378" t="str">
            <v>Operações Karitel</v>
          </cell>
          <cell r="X378" t="str">
            <v>PAULO BONIFÁCIO</v>
          </cell>
          <cell r="Y378" t="str">
            <v>MAURICIO SANTOS</v>
          </cell>
          <cell r="Z378" t="str">
            <v xml:space="preserve">EDSON/MARCELO LIMA </v>
          </cell>
        </row>
        <row r="379">
          <cell r="V379" t="str">
            <v>Campo Agricola Cacau</v>
          </cell>
          <cell r="W379" t="str">
            <v>Operações Karitel</v>
          </cell>
          <cell r="X379" t="str">
            <v>JOSÉ GOUVEA</v>
          </cell>
          <cell r="Y379" t="str">
            <v>ALEX DIAS</v>
          </cell>
        </row>
        <row r="380">
          <cell r="V380" t="str">
            <v>Algodoeira</v>
          </cell>
          <cell r="W380" t="str">
            <v>Operações Karitel</v>
          </cell>
          <cell r="X380" t="str">
            <v>PAULO BONIFÁCIO</v>
          </cell>
          <cell r="Y380" t="str">
            <v>ALDAIR BORGES</v>
          </cell>
          <cell r="Z380" t="str">
            <v>WARLEY RIBEIRO</v>
          </cell>
        </row>
        <row r="381">
          <cell r="V381" t="str">
            <v>Campo Agricola Grãos</v>
          </cell>
          <cell r="W381" t="str">
            <v>Operações Karitel</v>
          </cell>
          <cell r="X381" t="str">
            <v>PAULO BONIFÁCIO</v>
          </cell>
          <cell r="Y381" t="str">
            <v>MAURICIO SANTOS</v>
          </cell>
          <cell r="Z381" t="str">
            <v xml:space="preserve">EDSON/MARCELO LIMA </v>
          </cell>
        </row>
        <row r="382">
          <cell r="V382" t="str">
            <v>Planejamento Irrigação Grãos</v>
          </cell>
          <cell r="W382" t="str">
            <v>Operações Karitel</v>
          </cell>
          <cell r="X382" t="str">
            <v>PAULO BONIFÁCIO</v>
          </cell>
          <cell r="Y382" t="str">
            <v>PAULO BONIFÁCIO</v>
          </cell>
          <cell r="Z382" t="str">
            <v xml:space="preserve">LEONARDO SANTOS </v>
          </cell>
        </row>
        <row r="383">
          <cell r="V383" t="str">
            <v>Campo Agricola Cacau</v>
          </cell>
          <cell r="W383" t="str">
            <v>Operações Karitel</v>
          </cell>
          <cell r="X383" t="str">
            <v>JOSÉ GOUVEA</v>
          </cell>
          <cell r="Y383" t="str">
            <v>ALEX DIAS</v>
          </cell>
        </row>
        <row r="384">
          <cell r="V384" t="str">
            <v>Campo Agricola Grãos</v>
          </cell>
          <cell r="W384" t="str">
            <v>Operações Karitel</v>
          </cell>
          <cell r="X384" t="str">
            <v>PAULO BONIFÁCIO</v>
          </cell>
          <cell r="Y384" t="str">
            <v>MAURICIO SANTOS</v>
          </cell>
          <cell r="Z384" t="str">
            <v xml:space="preserve">EDSON/MARCELO LIMA </v>
          </cell>
        </row>
        <row r="385">
          <cell r="V385" t="str">
            <v>Colheita Grãos</v>
          </cell>
          <cell r="W385" t="str">
            <v>Operações Karitel</v>
          </cell>
          <cell r="X385" t="str">
            <v>PAULO BONIFÁCIO</v>
          </cell>
          <cell r="Y385" t="str">
            <v>MAURICIO SANTOS</v>
          </cell>
          <cell r="Z385" t="str">
            <v>FABIANO</v>
          </cell>
        </row>
        <row r="386">
          <cell r="V386" t="str">
            <v>Colheita Grãos</v>
          </cell>
          <cell r="W386" t="str">
            <v>Operações Karitel</v>
          </cell>
          <cell r="X386" t="str">
            <v>PAULO BONIFÁCIO</v>
          </cell>
          <cell r="Y386" t="str">
            <v>MAURICIO SANTOS</v>
          </cell>
          <cell r="Z386" t="str">
            <v>FABIANO</v>
          </cell>
        </row>
        <row r="387">
          <cell r="V387" t="str">
            <v>Pulverização Grãos</v>
          </cell>
          <cell r="W387" t="str">
            <v>Operações Karitel</v>
          </cell>
          <cell r="X387" t="str">
            <v>PAULO BONIFÁCIO</v>
          </cell>
          <cell r="Y387" t="str">
            <v xml:space="preserve">JOÃO KOMURA </v>
          </cell>
          <cell r="Z387" t="str">
            <v>LUAN ABADIA</v>
          </cell>
        </row>
        <row r="388">
          <cell r="V388" t="str">
            <v>Campo Agricola Cacau</v>
          </cell>
          <cell r="W388" t="str">
            <v>Operações Karitel</v>
          </cell>
          <cell r="X388" t="str">
            <v>JOSÉ GOUVEA</v>
          </cell>
          <cell r="Y388" t="str">
            <v>ALEX DIAS</v>
          </cell>
        </row>
        <row r="389">
          <cell r="V389" t="str">
            <v>Campo Agricola Grãos</v>
          </cell>
          <cell r="W389" t="str">
            <v>Operações Karitel</v>
          </cell>
          <cell r="X389" t="str">
            <v>PAULO BONIFÁCIO</v>
          </cell>
          <cell r="Y389" t="str">
            <v>MAURICIO SANTOS</v>
          </cell>
          <cell r="Z389" t="str">
            <v xml:space="preserve">EDSON/MARCELO LIMA </v>
          </cell>
        </row>
        <row r="390">
          <cell r="V390" t="str">
            <v>Juridico - Karitel</v>
          </cell>
          <cell r="W390" t="str">
            <v>Jurídico</v>
          </cell>
          <cell r="X390" t="str">
            <v xml:space="preserve">RAFAEL VIRGENS </v>
          </cell>
          <cell r="Y390" t="str">
            <v xml:space="preserve">RAFAEL VIRGENS </v>
          </cell>
        </row>
        <row r="391">
          <cell r="V391" t="str">
            <v>Campo Agricola Grãos</v>
          </cell>
          <cell r="W391" t="str">
            <v>Operações Karitel</v>
          </cell>
          <cell r="X391" t="str">
            <v>PAULO BONIFÁCIO</v>
          </cell>
          <cell r="Y391" t="str">
            <v>MAURICIO SANTOS</v>
          </cell>
          <cell r="Z391" t="str">
            <v xml:space="preserve">EDSON/MARCELO LIMA </v>
          </cell>
        </row>
        <row r="392">
          <cell r="V392" t="str">
            <v>Manutenção Mecanica Karitel</v>
          </cell>
          <cell r="W392" t="str">
            <v>Operações Karitel</v>
          </cell>
          <cell r="X392" t="str">
            <v>RAFAEL XAVIER</v>
          </cell>
          <cell r="Y392" t="str">
            <v>FERNANDO GUILHERME</v>
          </cell>
          <cell r="Z392" t="str">
            <v>JUNIO COSTA</v>
          </cell>
        </row>
        <row r="393">
          <cell r="V393" t="str">
            <v>Pulverização Grãos</v>
          </cell>
          <cell r="W393" t="str">
            <v>Operações Karitel</v>
          </cell>
          <cell r="X393" t="str">
            <v>PAULO BONIFÁCIO</v>
          </cell>
          <cell r="Y393" t="str">
            <v xml:space="preserve">JOÃO KOMURA </v>
          </cell>
          <cell r="Z393" t="str">
            <v>LUAN ABADIA</v>
          </cell>
        </row>
        <row r="394">
          <cell r="V394" t="str">
            <v>Apontamento Karitel</v>
          </cell>
          <cell r="W394" t="str">
            <v>Operações Karitel</v>
          </cell>
          <cell r="X394" t="str">
            <v>MATHEUS FERNANDES</v>
          </cell>
          <cell r="Y394" t="str">
            <v>MATHEUS FERNANDES</v>
          </cell>
        </row>
        <row r="395">
          <cell r="V395" t="str">
            <v>Campo Agricola Grãos</v>
          </cell>
          <cell r="W395" t="str">
            <v>Operações Karitel</v>
          </cell>
          <cell r="X395" t="str">
            <v>PAULO BONIFÁCIO</v>
          </cell>
          <cell r="Y395" t="str">
            <v>MAURICIO SANTOS</v>
          </cell>
          <cell r="Z395" t="str">
            <v xml:space="preserve">EDSON/MARCELO LIMA </v>
          </cell>
        </row>
        <row r="396">
          <cell r="V396" t="str">
            <v>Campo Agricola Cacau - CAPEX</v>
          </cell>
          <cell r="W396" t="str">
            <v>Operações Karitel</v>
          </cell>
          <cell r="X396" t="str">
            <v>JOSÉ GOUVEA</v>
          </cell>
          <cell r="Y396" t="str">
            <v>ALEX DIAS</v>
          </cell>
        </row>
        <row r="397">
          <cell r="V397" t="str">
            <v>Campo Agricola Cacau</v>
          </cell>
          <cell r="W397" t="str">
            <v>Operações Karitel</v>
          </cell>
          <cell r="X397" t="str">
            <v>JOSÉ GOUVEA</v>
          </cell>
          <cell r="Y397" t="str">
            <v>ALEX DIAS</v>
          </cell>
        </row>
        <row r="398">
          <cell r="V398" t="str">
            <v>Algodoeira</v>
          </cell>
          <cell r="W398" t="str">
            <v>Operações Karitel</v>
          </cell>
          <cell r="X398" t="str">
            <v>PAULO BONIFÁCIO</v>
          </cell>
          <cell r="Y398" t="str">
            <v>ALDAIR BORGES</v>
          </cell>
          <cell r="Z398" t="str">
            <v>WARLEY RIBEIRO</v>
          </cell>
        </row>
        <row r="399">
          <cell r="V399" t="str">
            <v>Campo Agricola Cacau</v>
          </cell>
          <cell r="W399" t="str">
            <v>Operações Karitel</v>
          </cell>
          <cell r="X399" t="str">
            <v>JOSÉ GOUVEA</v>
          </cell>
          <cell r="Y399" t="str">
            <v>ALEX DIAS</v>
          </cell>
        </row>
        <row r="400">
          <cell r="V400" t="str">
            <v>ADM Karitel</v>
          </cell>
          <cell r="W400" t="str">
            <v>Finanças</v>
          </cell>
          <cell r="X400" t="str">
            <v>ANDREZA LARDO</v>
          </cell>
          <cell r="Y400" t="str">
            <v>ANDREZA LARDO</v>
          </cell>
          <cell r="Z400" t="str">
            <v>ADENILTON RODRIGUES</v>
          </cell>
        </row>
        <row r="401">
          <cell r="V401" t="str">
            <v>Manuteção Irrigação</v>
          </cell>
          <cell r="W401" t="str">
            <v>Operações Karitel</v>
          </cell>
          <cell r="X401" t="str">
            <v>RAFAEL XAVIER</v>
          </cell>
          <cell r="Y401" t="str">
            <v>IVONEI CAMPOS</v>
          </cell>
          <cell r="Z401" t="str">
            <v xml:space="preserve">MARCOS VINICIUS </v>
          </cell>
        </row>
        <row r="402">
          <cell r="V402" t="str">
            <v>Manuteção Irrigação</v>
          </cell>
          <cell r="W402" t="str">
            <v>Operações Karitel</v>
          </cell>
          <cell r="X402" t="str">
            <v>RAFAEL XAVIER</v>
          </cell>
          <cell r="Y402" t="str">
            <v>IVONEI CAMPOS</v>
          </cell>
          <cell r="Z402" t="str">
            <v xml:space="preserve">MARCOS VINICIUS </v>
          </cell>
        </row>
        <row r="403">
          <cell r="V403" t="str">
            <v>Pulverização Grãos</v>
          </cell>
          <cell r="W403" t="str">
            <v>Operações Karitel</v>
          </cell>
          <cell r="X403" t="str">
            <v>PAULO BONIFÁCIO</v>
          </cell>
          <cell r="Y403" t="str">
            <v xml:space="preserve">JOÃO KOMURA </v>
          </cell>
          <cell r="Z403" t="str">
            <v>LUAN ABADIA</v>
          </cell>
        </row>
        <row r="404">
          <cell r="V404" t="str">
            <v>Campo Agricola Cacau</v>
          </cell>
          <cell r="W404" t="str">
            <v>Operações Karitel</v>
          </cell>
          <cell r="X404" t="str">
            <v>JOSÉ GOUVEA</v>
          </cell>
          <cell r="Y404" t="str">
            <v>ALEX DIAS</v>
          </cell>
        </row>
        <row r="405">
          <cell r="V405" t="str">
            <v>Manutenção Mecanica Karitel</v>
          </cell>
          <cell r="W405" t="str">
            <v>Operações Karitel</v>
          </cell>
          <cell r="X405" t="str">
            <v>RAFAEL XAVIER</v>
          </cell>
          <cell r="Y405" t="str">
            <v>FERNANDO GUILHERME</v>
          </cell>
          <cell r="Z405" t="str">
            <v>JUNIO COSTA</v>
          </cell>
        </row>
        <row r="406">
          <cell r="V406" t="str">
            <v>Facilities - Karitel</v>
          </cell>
          <cell r="W406" t="str">
            <v>Gente e Gestão</v>
          </cell>
          <cell r="X406" t="str">
            <v xml:space="preserve">LEIDJANE MARTINS </v>
          </cell>
          <cell r="Y406" t="str">
            <v xml:space="preserve">LEIDJANE MARTINS </v>
          </cell>
          <cell r="Z406" t="str">
            <v>DENIS ACASSIO</v>
          </cell>
        </row>
        <row r="407">
          <cell r="V407" t="str">
            <v>Facilities - Karitel</v>
          </cell>
          <cell r="W407" t="str">
            <v>Gente e Gestão</v>
          </cell>
          <cell r="X407" t="str">
            <v xml:space="preserve">LEIDJANE MARTINS </v>
          </cell>
          <cell r="Y407" t="str">
            <v xml:space="preserve">LEIDJANE MARTINS </v>
          </cell>
          <cell r="Z407" t="str">
            <v>DENIS ACASSIO</v>
          </cell>
        </row>
        <row r="408">
          <cell r="V408" t="str">
            <v>Campo Agricola Cacau</v>
          </cell>
          <cell r="W408" t="str">
            <v>Operações Karitel</v>
          </cell>
          <cell r="X408" t="str">
            <v>JOSÉ GOUVEA</v>
          </cell>
          <cell r="Y408" t="str">
            <v>ALEX DIAS</v>
          </cell>
        </row>
        <row r="409">
          <cell r="V409" t="str">
            <v>Facilities - Karitel</v>
          </cell>
          <cell r="W409" t="str">
            <v>Gente e Gestão</v>
          </cell>
          <cell r="X409" t="str">
            <v xml:space="preserve">LEIDJANE MARTINS </v>
          </cell>
          <cell r="Y409" t="str">
            <v xml:space="preserve">LEIDJANE MARTINS </v>
          </cell>
          <cell r="Z409" t="str">
            <v>DENIS ACASSIO</v>
          </cell>
        </row>
        <row r="410">
          <cell r="V410" t="str">
            <v>Programas Corporativos</v>
          </cell>
          <cell r="W410" t="str">
            <v>Gente e Gestão</v>
          </cell>
          <cell r="X410" t="str">
            <v xml:space="preserve">LEIDJANE MARTINS </v>
          </cell>
          <cell r="Y410" t="str">
            <v xml:space="preserve">LEIDJANE MARTINS </v>
          </cell>
        </row>
        <row r="411">
          <cell r="V411" t="str">
            <v>Programas Corporativos</v>
          </cell>
          <cell r="W411" t="str">
            <v>Gente e Gestão</v>
          </cell>
          <cell r="X411" t="str">
            <v xml:space="preserve">LEIDJANE MARTINS </v>
          </cell>
          <cell r="Y411" t="str">
            <v xml:space="preserve">LEIDJANE MARTINS </v>
          </cell>
        </row>
        <row r="412">
          <cell r="V412" t="str">
            <v>Eucalipto Capex</v>
          </cell>
          <cell r="W412" t="str">
            <v>Operações Karitel</v>
          </cell>
          <cell r="X412" t="str">
            <v>JOSÉ GOUVEA</v>
          </cell>
          <cell r="Y412" t="str">
            <v>ALEX DIAS</v>
          </cell>
        </row>
        <row r="413">
          <cell r="V413" t="str">
            <v>Campo Agricola Grãos</v>
          </cell>
          <cell r="W413" t="str">
            <v>Operações Karitel</v>
          </cell>
          <cell r="X413" t="str">
            <v>PAULO BONIFÁCIO</v>
          </cell>
          <cell r="Y413" t="str">
            <v>MAURICIO SANTOS</v>
          </cell>
          <cell r="Z413" t="str">
            <v xml:space="preserve">EDSON/MARCELO LIMA </v>
          </cell>
        </row>
        <row r="414">
          <cell r="V414" t="str">
            <v>Manuteção Elétrica</v>
          </cell>
          <cell r="W414" t="str">
            <v>Operações Karitel</v>
          </cell>
          <cell r="X414" t="str">
            <v>RAFAEL XAVIER</v>
          </cell>
          <cell r="Y414" t="str">
            <v>IVONEI CAMPOS</v>
          </cell>
          <cell r="Z414" t="str">
            <v>TALLES RYAN</v>
          </cell>
        </row>
        <row r="415">
          <cell r="V415" t="str">
            <v>Eucalipto Capex</v>
          </cell>
          <cell r="W415" t="str">
            <v>Operações Karitel</v>
          </cell>
          <cell r="X415" t="str">
            <v>JOSÉ GOUVEA</v>
          </cell>
          <cell r="Y415" t="str">
            <v>ALEX DIAS</v>
          </cell>
        </row>
        <row r="416">
          <cell r="V416" t="str">
            <v>Campo Agricola Cacau</v>
          </cell>
          <cell r="W416" t="str">
            <v>Operações Karitel</v>
          </cell>
          <cell r="X416" t="str">
            <v>JOSÉ GOUVEA</v>
          </cell>
          <cell r="Y416" t="str">
            <v>ALEX DIAS</v>
          </cell>
        </row>
        <row r="417">
          <cell r="V417" t="str">
            <v>Campo Agricola Cacau</v>
          </cell>
          <cell r="W417" t="str">
            <v>Operações Karitel</v>
          </cell>
          <cell r="X417" t="str">
            <v>JOSÉ GOUVEA</v>
          </cell>
          <cell r="Y417" t="str">
            <v>ALEX DIAS</v>
          </cell>
        </row>
        <row r="418">
          <cell r="V418" t="str">
            <v>Manutenção Mecanica Karitel</v>
          </cell>
          <cell r="W418" t="str">
            <v>Operações Karitel</v>
          </cell>
          <cell r="X418" t="str">
            <v>RAFAEL XAVIER</v>
          </cell>
          <cell r="Y418" t="str">
            <v>FERNANDO GUILHERME</v>
          </cell>
          <cell r="Z418" t="str">
            <v>JUNIO COSTA</v>
          </cell>
        </row>
        <row r="419">
          <cell r="V419" t="str">
            <v>Apontamento Karitel</v>
          </cell>
          <cell r="W419" t="str">
            <v>Operações Karitel</v>
          </cell>
          <cell r="X419" t="str">
            <v>MATHEUS FERNANDES</v>
          </cell>
          <cell r="Y419" t="str">
            <v>MATHEUS FERNANDES</v>
          </cell>
        </row>
        <row r="420">
          <cell r="V420" t="str">
            <v>Gestao Diretoria</v>
          </cell>
          <cell r="W420" t="str">
            <v>Operações Karitel</v>
          </cell>
          <cell r="X420" t="str">
            <v xml:space="preserve">CARLOS OLIVEIRA </v>
          </cell>
          <cell r="Y420" t="str">
            <v xml:space="preserve">CARLOS OLIVEIRA </v>
          </cell>
        </row>
        <row r="421">
          <cell r="V421" t="str">
            <v>Apontamento Karitel</v>
          </cell>
          <cell r="W421" t="str">
            <v>Operações Karitel</v>
          </cell>
          <cell r="X421" t="str">
            <v>MATHEUS FERNANDES</v>
          </cell>
          <cell r="Y421" t="str">
            <v>MATHEUS FERNANDES</v>
          </cell>
        </row>
        <row r="422">
          <cell r="V422" t="str">
            <v>Manutenção Mecanica Karitel</v>
          </cell>
          <cell r="W422" t="str">
            <v>Operações Karitel</v>
          </cell>
          <cell r="X422" t="str">
            <v>RAFAEL XAVIER</v>
          </cell>
          <cell r="Y422" t="str">
            <v>FERNANDO GUILHERME</v>
          </cell>
          <cell r="Z422" t="str">
            <v>JUNIO COSTA</v>
          </cell>
        </row>
        <row r="423">
          <cell r="V423" t="str">
            <v>Manutenção Mecanica Karitel</v>
          </cell>
          <cell r="W423" t="str">
            <v>Operações Karitel</v>
          </cell>
          <cell r="X423" t="str">
            <v>RAFAEL XAVIER</v>
          </cell>
          <cell r="Y423" t="str">
            <v>FERNANDO GUILHERME</v>
          </cell>
          <cell r="Z423" t="str">
            <v>JUNIO COSTA</v>
          </cell>
        </row>
        <row r="424">
          <cell r="V424" t="str">
            <v>Gestor de Grãos III</v>
          </cell>
          <cell r="W424" t="str">
            <v>Operações Karitel</v>
          </cell>
          <cell r="X424" t="str">
            <v xml:space="preserve">CARLOS OLIVEIRA </v>
          </cell>
          <cell r="Y424" t="str">
            <v xml:space="preserve">CARLOS OLIVEIRA </v>
          </cell>
        </row>
        <row r="425">
          <cell r="V425" t="str">
            <v>Meio Ambiente e Qualidade</v>
          </cell>
          <cell r="W425" t="str">
            <v>Gente e Gestão</v>
          </cell>
          <cell r="X425" t="str">
            <v>CARSON NEVES</v>
          </cell>
          <cell r="Y425" t="str">
            <v>CARSON NEVES</v>
          </cell>
        </row>
        <row r="426">
          <cell r="V426" t="str">
            <v>Campo Agricola Cacau</v>
          </cell>
          <cell r="W426" t="str">
            <v>Operações Karitel</v>
          </cell>
          <cell r="X426" t="str">
            <v>JOSÉ GOUVEA</v>
          </cell>
          <cell r="Y426" t="str">
            <v>ALEX DIAS</v>
          </cell>
        </row>
        <row r="427">
          <cell r="V427" t="str">
            <v>Manutenção Mecanica Karitel</v>
          </cell>
          <cell r="W427" t="str">
            <v>Operações Karitel</v>
          </cell>
          <cell r="X427" t="str">
            <v>RAFAEL XAVIER</v>
          </cell>
          <cell r="Y427" t="str">
            <v>FERNANDO GUILHERME</v>
          </cell>
          <cell r="Z427" t="str">
            <v>JUNIO COSTA</v>
          </cell>
        </row>
        <row r="428">
          <cell r="V428" t="str">
            <v>Campo Agricola Cacau</v>
          </cell>
          <cell r="W428" t="str">
            <v>Operações Karitel</v>
          </cell>
          <cell r="X428" t="str">
            <v>JOSÉ GOUVEA</v>
          </cell>
          <cell r="Y428" t="str">
            <v>ALEX DIAS</v>
          </cell>
        </row>
        <row r="429">
          <cell r="V429" t="str">
            <v>Pulverização Rio do Meio</v>
          </cell>
          <cell r="W429" t="str">
            <v>Operações Karitel</v>
          </cell>
          <cell r="X429" t="str">
            <v>PAULO BONIFÁCIO</v>
          </cell>
          <cell r="Y429" t="str">
            <v xml:space="preserve">JOÃO KOMURA </v>
          </cell>
        </row>
        <row r="430">
          <cell r="V430" t="str">
            <v>Campo Agricola Cacau</v>
          </cell>
          <cell r="W430" t="str">
            <v>Operações Karitel</v>
          </cell>
          <cell r="X430" t="str">
            <v>JOSÉ GOUVEA</v>
          </cell>
          <cell r="Y430" t="str">
            <v>ALEX DIAS</v>
          </cell>
        </row>
        <row r="431">
          <cell r="V431" t="str">
            <v>Silo</v>
          </cell>
          <cell r="W431" t="str">
            <v>Operações Karitel</v>
          </cell>
          <cell r="X431" t="str">
            <v>PAULO BONIFÁCIO</v>
          </cell>
          <cell r="Y431" t="str">
            <v>ALDAIR BORGES</v>
          </cell>
          <cell r="Z431" t="str">
            <v>ISAC NONATO</v>
          </cell>
        </row>
        <row r="432">
          <cell r="V432" t="str">
            <v>Campo Agricola Cacau - CAPEX</v>
          </cell>
          <cell r="W432" t="str">
            <v>Operações Karitel</v>
          </cell>
          <cell r="X432" t="str">
            <v>JOSÉ GOUVEA</v>
          </cell>
          <cell r="Y432" t="str">
            <v>ALEX DIAS</v>
          </cell>
        </row>
        <row r="433">
          <cell r="V433" t="str">
            <v>Campo Agricola Cacau</v>
          </cell>
          <cell r="W433" t="str">
            <v>Operações Karitel</v>
          </cell>
          <cell r="X433" t="str">
            <v>JOSÉ GOUVEA</v>
          </cell>
          <cell r="Y433" t="str">
            <v>ALEX DIAS</v>
          </cell>
        </row>
        <row r="434">
          <cell r="V434" t="str">
            <v>Facilities - Karitel</v>
          </cell>
          <cell r="W434" t="str">
            <v>Gente e Gestão</v>
          </cell>
          <cell r="X434" t="str">
            <v xml:space="preserve">LEIDJANE MARTINS </v>
          </cell>
          <cell r="Y434" t="str">
            <v xml:space="preserve">LEIDJANE MARTINS </v>
          </cell>
          <cell r="Z434" t="str">
            <v>DENIS ACASSIO</v>
          </cell>
        </row>
        <row r="435">
          <cell r="V435" t="str">
            <v>Planejamento Irrigação Grãos</v>
          </cell>
          <cell r="W435" t="str">
            <v>Operações Karitel</v>
          </cell>
          <cell r="X435" t="str">
            <v>PAULO BONIFÁCIO</v>
          </cell>
          <cell r="Y435" t="str">
            <v>PAULO BONIFÁCIO</v>
          </cell>
          <cell r="Z435" t="str">
            <v xml:space="preserve">LEONARDO SANTOS </v>
          </cell>
        </row>
        <row r="436">
          <cell r="V436" t="str">
            <v>Manutenção Mecanica Karitel</v>
          </cell>
          <cell r="W436" t="str">
            <v>Operações Karitel</v>
          </cell>
          <cell r="X436" t="str">
            <v>RAFAEL XAVIER</v>
          </cell>
          <cell r="Y436" t="str">
            <v>FERNANDO GUILHERME</v>
          </cell>
          <cell r="Z436" t="str">
            <v>JUNIO COSTA</v>
          </cell>
        </row>
        <row r="437">
          <cell r="V437" t="str">
            <v>Algodoeira</v>
          </cell>
          <cell r="W437" t="str">
            <v>Operações Karitel</v>
          </cell>
          <cell r="X437" t="str">
            <v>PAULO BONIFÁCIO</v>
          </cell>
          <cell r="Y437" t="str">
            <v>ALDAIR BORGES</v>
          </cell>
          <cell r="Z437" t="str">
            <v>WARLEY RIBEIRO</v>
          </cell>
        </row>
        <row r="438">
          <cell r="V438" t="str">
            <v>Campo Agricola Grãos</v>
          </cell>
          <cell r="W438" t="str">
            <v>Operações Karitel</v>
          </cell>
          <cell r="X438" t="str">
            <v>PAULO BONIFÁCIO</v>
          </cell>
          <cell r="Y438" t="str">
            <v>MAURICIO SANTOS</v>
          </cell>
          <cell r="Z438" t="str">
            <v xml:space="preserve">EDSON/MARCELO LIMA </v>
          </cell>
        </row>
        <row r="439">
          <cell r="V439" t="str">
            <v>Usina Cacau</v>
          </cell>
          <cell r="W439" t="str">
            <v>Operações Karitel</v>
          </cell>
          <cell r="X439" t="str">
            <v>JOSÉ GOUVEA</v>
          </cell>
          <cell r="Y439" t="str">
            <v>JOSÉ GOUVEA</v>
          </cell>
        </row>
        <row r="440">
          <cell r="V440" t="str">
            <v>Algodoeira</v>
          </cell>
          <cell r="W440" t="str">
            <v>Operações Karitel</v>
          </cell>
          <cell r="X440" t="str">
            <v>PAULO BONIFÁCIO</v>
          </cell>
          <cell r="Y440" t="str">
            <v>ALDAIR BORGES</v>
          </cell>
          <cell r="Z440" t="str">
            <v>WARLEY RIBEIRO</v>
          </cell>
        </row>
        <row r="441">
          <cell r="V441" t="str">
            <v>Juridico - Karitel</v>
          </cell>
          <cell r="W441" t="str">
            <v>Jurídico</v>
          </cell>
          <cell r="X441" t="str">
            <v xml:space="preserve">RAFAEL VIRGENS </v>
          </cell>
          <cell r="Y441" t="str">
            <v xml:space="preserve">RAFAEL VIRGENS </v>
          </cell>
        </row>
        <row r="442">
          <cell r="V442" t="str">
            <v>Campo Agricola Cacau</v>
          </cell>
          <cell r="W442" t="str">
            <v>Operações Karitel</v>
          </cell>
          <cell r="X442" t="str">
            <v>JOSÉ GOUVEA</v>
          </cell>
          <cell r="Y442" t="str">
            <v>ALEX DIAS</v>
          </cell>
        </row>
        <row r="443">
          <cell r="V443" t="str">
            <v>Apontamento Karitel</v>
          </cell>
          <cell r="W443" t="str">
            <v>Operações Karitel</v>
          </cell>
          <cell r="X443" t="str">
            <v>MATHEUS FERNANDES</v>
          </cell>
          <cell r="Y443" t="str">
            <v>MATHEUS FERNANDES</v>
          </cell>
        </row>
        <row r="444">
          <cell r="V444" t="str">
            <v>Campo Agricola Cacau - CAPEX</v>
          </cell>
          <cell r="W444" t="str">
            <v>Operações Karitel</v>
          </cell>
          <cell r="X444" t="str">
            <v>JOSÉ GOUVEA</v>
          </cell>
          <cell r="Y444" t="str">
            <v>ALEX DIAS</v>
          </cell>
        </row>
        <row r="445">
          <cell r="V445" t="str">
            <v>Colheita Grãos</v>
          </cell>
          <cell r="W445" t="str">
            <v>Operações Karitel</v>
          </cell>
          <cell r="X445" t="str">
            <v>PAULO BONIFÁCIO</v>
          </cell>
          <cell r="Y445" t="str">
            <v>MAURICIO SANTOS</v>
          </cell>
          <cell r="Z445" t="str">
            <v>FABIANO</v>
          </cell>
        </row>
        <row r="446">
          <cell r="V446" t="str">
            <v>Campo Agricola Cacau</v>
          </cell>
          <cell r="W446" t="str">
            <v>Operações Karitel</v>
          </cell>
          <cell r="X446" t="str">
            <v>JOSÉ GOUVEA</v>
          </cell>
          <cell r="Y446" t="str">
            <v>ALEX DIAS</v>
          </cell>
        </row>
        <row r="447">
          <cell r="V447" t="str">
            <v>Campo Agricola Cacau</v>
          </cell>
          <cell r="W447" t="str">
            <v>Operações Karitel</v>
          </cell>
          <cell r="X447" t="str">
            <v>JOSÉ GOUVEA</v>
          </cell>
          <cell r="Y447" t="str">
            <v>ALEX DIAS</v>
          </cell>
        </row>
        <row r="448">
          <cell r="V448" t="str">
            <v>Facilities - Karitel</v>
          </cell>
          <cell r="W448" t="str">
            <v>Gente e Gestão</v>
          </cell>
          <cell r="X448" t="str">
            <v xml:space="preserve">LEIDJANE MARTINS </v>
          </cell>
          <cell r="Y448" t="str">
            <v xml:space="preserve">LEIDJANE MARTINS </v>
          </cell>
          <cell r="Z448" t="str">
            <v>DENIS ACASSIO</v>
          </cell>
        </row>
        <row r="449">
          <cell r="V449" t="str">
            <v>Campo Agricola Grãos</v>
          </cell>
          <cell r="W449" t="str">
            <v>Operações Karitel</v>
          </cell>
          <cell r="X449" t="str">
            <v>PAULO BONIFÁCIO</v>
          </cell>
          <cell r="Y449" t="str">
            <v>MAURICIO SANTOS</v>
          </cell>
          <cell r="Z449" t="str">
            <v xml:space="preserve">EDSON/MARCELO LIMA </v>
          </cell>
        </row>
        <row r="450">
          <cell r="V450" t="str">
            <v>Algodoeira</v>
          </cell>
          <cell r="W450" t="str">
            <v>Operações Karitel</v>
          </cell>
          <cell r="X450" t="str">
            <v>PAULO BONIFÁCIO</v>
          </cell>
          <cell r="Y450" t="str">
            <v>ALDAIR BORGES</v>
          </cell>
          <cell r="Z450" t="str">
            <v>WARLEY RIBEIRO</v>
          </cell>
        </row>
        <row r="451">
          <cell r="V451" t="str">
            <v>Campo Agricola Grãos</v>
          </cell>
          <cell r="W451" t="str">
            <v>Operações Karitel</v>
          </cell>
          <cell r="X451" t="str">
            <v>PAULO BONIFÁCIO</v>
          </cell>
          <cell r="Y451" t="str">
            <v>MAURICIO SANTOS</v>
          </cell>
          <cell r="Z451" t="str">
            <v xml:space="preserve">EDSON/MARCELO LIMA </v>
          </cell>
        </row>
        <row r="452">
          <cell r="V452" t="str">
            <v>Melhoria Continua - Karitel</v>
          </cell>
          <cell r="W452" t="str">
            <v>Gente e Gestão</v>
          </cell>
          <cell r="X452" t="str">
            <v xml:space="preserve">GISELE NASCENTE </v>
          </cell>
          <cell r="Y452" t="str">
            <v xml:space="preserve">GISELE NASCENTE </v>
          </cell>
          <cell r="Z452" t="str">
            <v>MARCOS OLIVEIRA</v>
          </cell>
        </row>
        <row r="453">
          <cell r="V453" t="str">
            <v>Campo Agricola Cacau</v>
          </cell>
          <cell r="W453" t="str">
            <v>Operações Karitel</v>
          </cell>
          <cell r="X453" t="str">
            <v>JOSÉ GOUVEA</v>
          </cell>
          <cell r="Y453" t="str">
            <v>ALEX DIAS</v>
          </cell>
        </row>
        <row r="454">
          <cell r="V454" t="str">
            <v>Campo Agricola Cacau</v>
          </cell>
          <cell r="W454" t="str">
            <v>Operações Karitel</v>
          </cell>
          <cell r="X454" t="str">
            <v>JOSÉ GOUVEA</v>
          </cell>
          <cell r="Y454" t="str">
            <v>ALEX DIAS</v>
          </cell>
        </row>
        <row r="455">
          <cell r="V455" t="str">
            <v>Gestao Diretoria</v>
          </cell>
          <cell r="W455" t="str">
            <v>Operações Karitel</v>
          </cell>
          <cell r="X455" t="str">
            <v xml:space="preserve">CARLOS OLIVEIRA </v>
          </cell>
          <cell r="Y455" t="str">
            <v xml:space="preserve">CARLOS OLIVEIRA </v>
          </cell>
        </row>
        <row r="456">
          <cell r="V456" t="str">
            <v>Campo Agricola Cacau</v>
          </cell>
          <cell r="W456" t="str">
            <v>Operações Karitel</v>
          </cell>
          <cell r="X456" t="str">
            <v>JOSÉ GOUVEA</v>
          </cell>
          <cell r="Y456" t="str">
            <v>ALEX DIAS</v>
          </cell>
        </row>
        <row r="457">
          <cell r="V457" t="str">
            <v>Campo Agricola Grãos</v>
          </cell>
          <cell r="W457" t="str">
            <v>Operações Karitel</v>
          </cell>
          <cell r="X457" t="str">
            <v>PAULO BONIFÁCIO</v>
          </cell>
          <cell r="Y457" t="str">
            <v>MAURICIO SANTOS</v>
          </cell>
          <cell r="Z457" t="str">
            <v xml:space="preserve">EDSON/MARCELO LIMA </v>
          </cell>
        </row>
        <row r="458">
          <cell r="V458" t="str">
            <v>Pulverização Grãos</v>
          </cell>
          <cell r="W458" t="str">
            <v>Operações Karitel</v>
          </cell>
          <cell r="X458" t="str">
            <v>PAULO BONIFÁCIO</v>
          </cell>
          <cell r="Y458" t="str">
            <v xml:space="preserve">JOÃO KOMURA </v>
          </cell>
          <cell r="Z458" t="str">
            <v>LUAN ABADIA</v>
          </cell>
        </row>
        <row r="459">
          <cell r="V459" t="str">
            <v>Apontamento Karitel</v>
          </cell>
          <cell r="W459" t="str">
            <v>Operações Karitel</v>
          </cell>
          <cell r="X459" t="str">
            <v>MATHEUS FERNANDES</v>
          </cell>
          <cell r="Y459" t="str">
            <v>MATHEUS FERNANDES</v>
          </cell>
        </row>
        <row r="460">
          <cell r="V460" t="str">
            <v>Silo</v>
          </cell>
          <cell r="W460" t="str">
            <v>Operações Karitel</v>
          </cell>
          <cell r="X460" t="str">
            <v>PAULO BONIFÁCIO</v>
          </cell>
          <cell r="Y460" t="str">
            <v>ALDAIR BORGES</v>
          </cell>
          <cell r="Z460" t="str">
            <v>ISAC NONATO</v>
          </cell>
        </row>
        <row r="461">
          <cell r="V461" t="str">
            <v>Campo Agricola Cacau</v>
          </cell>
          <cell r="W461" t="str">
            <v>Operações Karitel</v>
          </cell>
          <cell r="X461" t="str">
            <v>JOSÉ GOUVEA</v>
          </cell>
          <cell r="Y461" t="str">
            <v>ALEX DIAS</v>
          </cell>
        </row>
        <row r="462">
          <cell r="V462" t="str">
            <v>Planejamento Irrigação Grãos</v>
          </cell>
          <cell r="W462" t="str">
            <v>Operações Karitel</v>
          </cell>
          <cell r="X462" t="str">
            <v>PAULO BONIFÁCIO</v>
          </cell>
          <cell r="Y462" t="str">
            <v>PAULO BONIFÁCIO</v>
          </cell>
          <cell r="Z462" t="str">
            <v xml:space="preserve">LEONARDO SANTOS </v>
          </cell>
        </row>
        <row r="463">
          <cell r="V463" t="str">
            <v>Algodoeira</v>
          </cell>
          <cell r="W463" t="str">
            <v>Operações Karitel</v>
          </cell>
          <cell r="X463" t="str">
            <v>PAULO BONIFÁCIO</v>
          </cell>
          <cell r="Y463" t="str">
            <v>ALDAIR BORGES</v>
          </cell>
          <cell r="Z463" t="str">
            <v>WARLEY RIBEIRO</v>
          </cell>
        </row>
        <row r="464">
          <cell r="V464" t="str">
            <v>Campo Agricola Cacau</v>
          </cell>
          <cell r="W464" t="str">
            <v>Operações Karitel</v>
          </cell>
          <cell r="X464" t="str">
            <v>JOSÉ GOUVEA</v>
          </cell>
          <cell r="Y464" t="str">
            <v>ALEX DIAS</v>
          </cell>
        </row>
        <row r="465">
          <cell r="V465" t="str">
            <v>Gente e Gestão</v>
          </cell>
          <cell r="W465" t="str">
            <v>Gente e Gestão</v>
          </cell>
          <cell r="X465" t="str">
            <v xml:space="preserve">LEIDJANE MARTINS </v>
          </cell>
          <cell r="Y465" t="str">
            <v xml:space="preserve">LEIDJANE MARTINS </v>
          </cell>
        </row>
        <row r="466">
          <cell r="V466" t="str">
            <v>Campo Agricola Cacau</v>
          </cell>
          <cell r="W466" t="str">
            <v>Operações Karitel</v>
          </cell>
          <cell r="X466" t="str">
            <v>JOSÉ GOUVEA</v>
          </cell>
          <cell r="Y466" t="str">
            <v>ALEX DIAS</v>
          </cell>
        </row>
        <row r="467">
          <cell r="V467" t="str">
            <v>Campo Agricola Cacau</v>
          </cell>
          <cell r="W467" t="str">
            <v>Operações Karitel</v>
          </cell>
          <cell r="X467" t="str">
            <v>JOSÉ GOUVEA</v>
          </cell>
          <cell r="Y467" t="str">
            <v>ALEX DIAS</v>
          </cell>
        </row>
        <row r="468">
          <cell r="V468" t="str">
            <v>Colheita Grãos</v>
          </cell>
          <cell r="W468" t="str">
            <v>Operações Karitel</v>
          </cell>
          <cell r="X468" t="str">
            <v>PAULO BONIFÁCIO</v>
          </cell>
          <cell r="Y468" t="str">
            <v>MAURICIO SANTOS</v>
          </cell>
          <cell r="Z468" t="str">
            <v>FABIANO</v>
          </cell>
        </row>
        <row r="469">
          <cell r="V469" t="str">
            <v>Campo Agricola Cacau</v>
          </cell>
          <cell r="W469" t="str">
            <v>Operações Karitel</v>
          </cell>
          <cell r="X469" t="str">
            <v>JOSÉ GOUVEA</v>
          </cell>
          <cell r="Y469" t="str">
            <v>ALEX DIAS</v>
          </cell>
        </row>
        <row r="470">
          <cell r="V470" t="str">
            <v>SSMA - Karitel</v>
          </cell>
          <cell r="W470" t="str">
            <v>Gente e Gestão</v>
          </cell>
          <cell r="X470" t="str">
            <v>CARSON NEVES</v>
          </cell>
          <cell r="Y470" t="str">
            <v>CARSON NEVES</v>
          </cell>
        </row>
        <row r="471">
          <cell r="V471" t="str">
            <v>Campo Agricola Cacau - CAPEX</v>
          </cell>
          <cell r="W471" t="str">
            <v>Operações Karitel</v>
          </cell>
          <cell r="X471" t="str">
            <v>JOSÉ GOUVEA</v>
          </cell>
          <cell r="Y471" t="str">
            <v>ALEX DIAS</v>
          </cell>
        </row>
        <row r="472">
          <cell r="V472" t="str">
            <v>Colheita Grãos</v>
          </cell>
          <cell r="W472" t="str">
            <v>Operações Karitel</v>
          </cell>
          <cell r="X472" t="str">
            <v>PAULO BONIFÁCIO</v>
          </cell>
          <cell r="Y472" t="str">
            <v>MAURICIO SANTOS</v>
          </cell>
          <cell r="Z472" t="str">
            <v>FABIANO</v>
          </cell>
        </row>
        <row r="473">
          <cell r="V473" t="str">
            <v>Gente e Gestão</v>
          </cell>
          <cell r="W473" t="str">
            <v>Gente e Gestão</v>
          </cell>
          <cell r="X473" t="str">
            <v xml:space="preserve">LEIDJANE MARTINS </v>
          </cell>
          <cell r="Y473" t="str">
            <v xml:space="preserve">LEIDJANE MARTINS </v>
          </cell>
        </row>
        <row r="474">
          <cell r="V474" t="str">
            <v>Campo Agricola Grãos</v>
          </cell>
          <cell r="W474" t="str">
            <v>Operações Karitel</v>
          </cell>
          <cell r="X474" t="str">
            <v>PAULO BONIFÁCIO</v>
          </cell>
          <cell r="Y474" t="str">
            <v>MAURICIO SANTOS</v>
          </cell>
          <cell r="Z474" t="str">
            <v xml:space="preserve">EDSON/MARCELO LIMA </v>
          </cell>
        </row>
        <row r="475">
          <cell r="V475" t="str">
            <v>Campo Agricola Grãos</v>
          </cell>
          <cell r="W475" t="str">
            <v>Operações Karitel</v>
          </cell>
          <cell r="X475" t="str">
            <v>PAULO BONIFÁCIO</v>
          </cell>
          <cell r="Y475" t="str">
            <v>MAURICIO SANTOS</v>
          </cell>
          <cell r="Z475" t="str">
            <v xml:space="preserve">EDSON/MARCELO LIMA </v>
          </cell>
        </row>
        <row r="476">
          <cell r="V476" t="str">
            <v>Colheita Grãos</v>
          </cell>
          <cell r="W476" t="str">
            <v>Operações Karitel</v>
          </cell>
          <cell r="X476" t="str">
            <v>PAULO BONIFÁCIO</v>
          </cell>
          <cell r="Y476" t="str">
            <v>MAURICIO SANTOS</v>
          </cell>
          <cell r="Z476" t="str">
            <v>FABIANO</v>
          </cell>
        </row>
        <row r="477">
          <cell r="V477" t="str">
            <v>Planejamento Irrigação Grãos</v>
          </cell>
          <cell r="W477" t="str">
            <v>Operações Karitel</v>
          </cell>
          <cell r="X477" t="str">
            <v>PAULO BONIFÁCIO</v>
          </cell>
          <cell r="Y477" t="str">
            <v>PAULO BONIFÁCIO</v>
          </cell>
          <cell r="Z477" t="str">
            <v xml:space="preserve">LEONARDO SANTOS </v>
          </cell>
        </row>
        <row r="478">
          <cell r="V478" t="str">
            <v>Campo Agricola Grãos</v>
          </cell>
          <cell r="W478" t="str">
            <v>Operações Karitel</v>
          </cell>
          <cell r="X478" t="str">
            <v>PAULO BONIFÁCIO</v>
          </cell>
          <cell r="Y478" t="str">
            <v>MAURICIO SANTOS</v>
          </cell>
          <cell r="Z478" t="str">
            <v xml:space="preserve">EDSON/MARCELO LIMA </v>
          </cell>
        </row>
        <row r="479">
          <cell r="V479" t="str">
            <v>Manuteção Elétrica</v>
          </cell>
          <cell r="W479" t="str">
            <v>Operações Karitel</v>
          </cell>
          <cell r="X479" t="str">
            <v>RAFAEL XAVIER</v>
          </cell>
          <cell r="Y479" t="str">
            <v>IVONEI CAMPOS</v>
          </cell>
          <cell r="Z479" t="str">
            <v>TALLES RYAN</v>
          </cell>
        </row>
        <row r="480">
          <cell r="V480" t="str">
            <v>Manutenção Mecanica Karitel</v>
          </cell>
          <cell r="W480" t="str">
            <v>Operações Karitel</v>
          </cell>
          <cell r="X480" t="str">
            <v>RAFAEL XAVIER</v>
          </cell>
          <cell r="Y480" t="str">
            <v>FERNANDO GUILHERME</v>
          </cell>
          <cell r="Z480" t="str">
            <v>JUNIO COSTA</v>
          </cell>
        </row>
        <row r="481">
          <cell r="V481" t="str">
            <v>Pulverização Rio do Meio</v>
          </cell>
          <cell r="W481" t="str">
            <v>Operações Karitel</v>
          </cell>
          <cell r="X481" t="str">
            <v>PAULO BONIFÁCIO</v>
          </cell>
          <cell r="Y481" t="str">
            <v xml:space="preserve">JOÃO KOMURA </v>
          </cell>
        </row>
        <row r="482">
          <cell r="V482" t="str">
            <v>Pulverização Grãos</v>
          </cell>
          <cell r="W482" t="str">
            <v>Operações Karitel</v>
          </cell>
          <cell r="X482" t="str">
            <v>PAULO BONIFÁCIO</v>
          </cell>
          <cell r="Y482" t="str">
            <v xml:space="preserve">JOÃO KOMURA </v>
          </cell>
          <cell r="Z482" t="str">
            <v>LUAN ABADIA</v>
          </cell>
        </row>
        <row r="483">
          <cell r="V483" t="str">
            <v>Campo Agricola Rio do Meio</v>
          </cell>
          <cell r="W483" t="str">
            <v>Operações Karitel</v>
          </cell>
          <cell r="X483" t="str">
            <v>PAULO BONIFÁCIO</v>
          </cell>
          <cell r="Y483" t="str">
            <v>MAURICIO SANTOS</v>
          </cell>
          <cell r="Z483" t="str">
            <v>EDIS MOREIRA</v>
          </cell>
        </row>
        <row r="484">
          <cell r="V484" t="str">
            <v>Manutenção Mecanica Karitel</v>
          </cell>
          <cell r="W484" t="str">
            <v>Operações Karitel</v>
          </cell>
          <cell r="X484" t="str">
            <v>RAFAEL XAVIER</v>
          </cell>
          <cell r="Y484" t="str">
            <v>FERNANDO GUILHERME</v>
          </cell>
          <cell r="Z484" t="str">
            <v>JUNIO COSTA</v>
          </cell>
        </row>
        <row r="485">
          <cell r="V485" t="str">
            <v>Campo Agricola Grãos</v>
          </cell>
          <cell r="W485" t="str">
            <v>Operações Karitel</v>
          </cell>
          <cell r="X485" t="str">
            <v>PAULO BONIFÁCIO</v>
          </cell>
          <cell r="Y485" t="str">
            <v>MAURICIO SANTOS</v>
          </cell>
          <cell r="Z485" t="str">
            <v xml:space="preserve">EDSON/MARCELO LIMA </v>
          </cell>
        </row>
        <row r="486">
          <cell r="V486" t="str">
            <v>Campo Agricola Cacau</v>
          </cell>
          <cell r="W486" t="str">
            <v>Operações Karitel</v>
          </cell>
          <cell r="X486" t="str">
            <v>JOSÉ GOUVEA</v>
          </cell>
          <cell r="Y486" t="str">
            <v>ALEX DIAS</v>
          </cell>
        </row>
        <row r="487">
          <cell r="V487" t="str">
            <v>Manutenção Predial Karitel</v>
          </cell>
          <cell r="W487" t="str">
            <v>Operações Karitel</v>
          </cell>
          <cell r="X487" t="str">
            <v>RAFAEL XAVIER</v>
          </cell>
          <cell r="Y487" t="str">
            <v>IVONEI CAMPOS</v>
          </cell>
          <cell r="Z487" t="str">
            <v>ANDRÉ CUBA</v>
          </cell>
        </row>
        <row r="488">
          <cell r="V488" t="str">
            <v>Campo Agricola Grãos</v>
          </cell>
          <cell r="W488" t="str">
            <v>Operações Karitel</v>
          </cell>
          <cell r="X488" t="str">
            <v>PAULO BONIFÁCIO</v>
          </cell>
          <cell r="Y488" t="str">
            <v>MAURICIO SANTOS</v>
          </cell>
          <cell r="Z488" t="str">
            <v xml:space="preserve">EDSON/MARCELO LIMA </v>
          </cell>
        </row>
        <row r="489">
          <cell r="V489" t="str">
            <v>Campo Agricola Cacau</v>
          </cell>
          <cell r="W489" t="str">
            <v>Operações Karitel</v>
          </cell>
          <cell r="X489" t="str">
            <v>JOSÉ GOUVEA</v>
          </cell>
          <cell r="Y489" t="str">
            <v>ALEX DIAS</v>
          </cell>
        </row>
        <row r="490">
          <cell r="V490" t="str">
            <v>Algodoeira</v>
          </cell>
          <cell r="W490" t="str">
            <v>Operações Karitel</v>
          </cell>
          <cell r="X490" t="str">
            <v>PAULO BONIFÁCIO</v>
          </cell>
          <cell r="Y490" t="str">
            <v>ALDAIR BORGES</v>
          </cell>
          <cell r="Z490" t="str">
            <v>WARLEY RIBEIRO</v>
          </cell>
        </row>
        <row r="491">
          <cell r="V491" t="str">
            <v>Algodoeira</v>
          </cell>
          <cell r="W491" t="str">
            <v>Operações Karitel</v>
          </cell>
          <cell r="X491" t="str">
            <v>PAULO BONIFÁCIO</v>
          </cell>
          <cell r="Y491" t="str">
            <v>ALDAIR BORGES</v>
          </cell>
          <cell r="Z491" t="str">
            <v>WARLEY RIBEIRO</v>
          </cell>
        </row>
        <row r="492">
          <cell r="V492" t="str">
            <v>Campo Agricola Grãos</v>
          </cell>
          <cell r="W492" t="str">
            <v>Operações Karitel</v>
          </cell>
          <cell r="X492" t="str">
            <v>PAULO BONIFÁCIO</v>
          </cell>
          <cell r="Y492" t="str">
            <v>MAURICIO SANTOS</v>
          </cell>
          <cell r="Z492" t="str">
            <v xml:space="preserve">EDSON/MARCELO LIMA </v>
          </cell>
        </row>
        <row r="493">
          <cell r="V493" t="str">
            <v>Silo</v>
          </cell>
          <cell r="W493" t="str">
            <v>Operações Karitel</v>
          </cell>
          <cell r="X493" t="str">
            <v>PAULO BONIFÁCIO</v>
          </cell>
          <cell r="Y493" t="str">
            <v>ALDAIR BORGES</v>
          </cell>
          <cell r="Z493" t="str">
            <v>ISAC NONATO</v>
          </cell>
        </row>
        <row r="494">
          <cell r="V494" t="str">
            <v>Algodoeira</v>
          </cell>
          <cell r="W494" t="str">
            <v>Operações Karitel</v>
          </cell>
          <cell r="X494" t="str">
            <v>PAULO BONIFÁCIO</v>
          </cell>
          <cell r="Y494" t="str">
            <v>ALDAIR BORGES</v>
          </cell>
          <cell r="Z494" t="str">
            <v>WARLEY RIBEIRO</v>
          </cell>
        </row>
        <row r="495">
          <cell r="V495" t="str">
            <v>SSMA - Karitel</v>
          </cell>
          <cell r="W495" t="str">
            <v>Gente e Gestão</v>
          </cell>
          <cell r="X495" t="str">
            <v>CARSON NEVES</v>
          </cell>
          <cell r="Y495" t="str">
            <v>CARSON NEVES</v>
          </cell>
        </row>
        <row r="496">
          <cell r="V496" t="str">
            <v>Manuteção Irrigação</v>
          </cell>
          <cell r="W496" t="str">
            <v>Operações Karitel</v>
          </cell>
          <cell r="X496" t="str">
            <v>RAFAEL XAVIER</v>
          </cell>
          <cell r="Y496" t="str">
            <v>IVONEI CAMPOS</v>
          </cell>
          <cell r="Z496" t="str">
            <v xml:space="preserve">MARCOS VINICIUS </v>
          </cell>
        </row>
        <row r="497">
          <cell r="V497" t="str">
            <v>Campo Agricola Cacau</v>
          </cell>
          <cell r="W497" t="str">
            <v>Operações Karitel</v>
          </cell>
          <cell r="X497" t="str">
            <v>JOSÉ GOUVEA</v>
          </cell>
          <cell r="Y497" t="str">
            <v>ALEX DIAS</v>
          </cell>
        </row>
        <row r="498">
          <cell r="V498" t="str">
            <v>Manuteção Irrigação</v>
          </cell>
          <cell r="W498" t="str">
            <v>Operações Karitel</v>
          </cell>
          <cell r="X498" t="str">
            <v>RAFAEL XAVIER</v>
          </cell>
          <cell r="Y498" t="str">
            <v>IVONEI CAMPOS</v>
          </cell>
          <cell r="Z498" t="str">
            <v xml:space="preserve">MARCOS VINICIUS </v>
          </cell>
        </row>
        <row r="499">
          <cell r="V499" t="str">
            <v>Campo Agricola Cacau - CAPEX</v>
          </cell>
          <cell r="W499" t="str">
            <v>Operações Karitel</v>
          </cell>
          <cell r="X499" t="str">
            <v>JOSÉ GOUVEA</v>
          </cell>
          <cell r="Y499" t="str">
            <v>ALEX DIAS</v>
          </cell>
        </row>
        <row r="500">
          <cell r="V500" t="str">
            <v>Facilities - Karitel</v>
          </cell>
          <cell r="W500" t="str">
            <v>Gente e Gestão</v>
          </cell>
          <cell r="X500" t="str">
            <v xml:space="preserve">LEIDJANE MARTINS </v>
          </cell>
          <cell r="Y500" t="str">
            <v xml:space="preserve">LEIDJANE MARTINS </v>
          </cell>
          <cell r="Z500" t="str">
            <v>DENIS ACASSIO</v>
          </cell>
        </row>
        <row r="501">
          <cell r="V501" t="str">
            <v>Campo Agricola Cacau</v>
          </cell>
          <cell r="W501" t="str">
            <v>Operações Karitel</v>
          </cell>
          <cell r="X501" t="str">
            <v>JOSÉ GOUVEA</v>
          </cell>
          <cell r="Y501" t="str">
            <v>ALEX DIAS</v>
          </cell>
        </row>
        <row r="502">
          <cell r="V502" t="str">
            <v>Campo Agricola Cacau</v>
          </cell>
          <cell r="W502" t="str">
            <v>Operações Karitel</v>
          </cell>
          <cell r="X502" t="str">
            <v>JOSÉ GOUVEA</v>
          </cell>
          <cell r="Y502" t="str">
            <v>ALEX DIAS</v>
          </cell>
        </row>
        <row r="503">
          <cell r="V503" t="str">
            <v>Facilities - Karitel</v>
          </cell>
          <cell r="W503" t="str">
            <v>Gente e Gestão</v>
          </cell>
          <cell r="X503" t="str">
            <v xml:space="preserve">LEIDJANE MARTINS </v>
          </cell>
          <cell r="Y503" t="str">
            <v xml:space="preserve">LEIDJANE MARTINS </v>
          </cell>
          <cell r="Z503" t="str">
            <v>DENIS ACASSIO</v>
          </cell>
        </row>
        <row r="504">
          <cell r="V504" t="str">
            <v>Melhoria Continua - Karitel</v>
          </cell>
          <cell r="W504" t="str">
            <v>Gente e Gestão</v>
          </cell>
          <cell r="X504" t="str">
            <v xml:space="preserve">GISELE NASCENTE </v>
          </cell>
          <cell r="Y504" t="str">
            <v xml:space="preserve">GISELE NASCENTE </v>
          </cell>
          <cell r="Z504" t="str">
            <v>MARCOS OLIVEIRA</v>
          </cell>
        </row>
        <row r="505">
          <cell r="V505" t="str">
            <v>TI - Karitel</v>
          </cell>
          <cell r="W505" t="str">
            <v>Finanças</v>
          </cell>
          <cell r="X505" t="str">
            <v>JOÃO GORGULHO</v>
          </cell>
          <cell r="Y505" t="str">
            <v>JOÃO GORGULHO</v>
          </cell>
        </row>
        <row r="506">
          <cell r="V506" t="str">
            <v>Silo</v>
          </cell>
          <cell r="W506" t="str">
            <v>Operações Karitel</v>
          </cell>
          <cell r="X506" t="str">
            <v>PAULO BONIFÁCIO</v>
          </cell>
          <cell r="Y506" t="str">
            <v>ALDAIR BORGES</v>
          </cell>
          <cell r="Z506" t="str">
            <v>ISAC NONATO</v>
          </cell>
        </row>
        <row r="507">
          <cell r="V507" t="str">
            <v>Campo Agricola Cacau</v>
          </cell>
          <cell r="W507" t="str">
            <v>Operações Karitel</v>
          </cell>
          <cell r="X507" t="str">
            <v>JOSÉ GOUVEA</v>
          </cell>
          <cell r="Y507" t="str">
            <v>ALEX DIAS</v>
          </cell>
        </row>
        <row r="508">
          <cell r="V508" t="str">
            <v>Manuteção Elétrica</v>
          </cell>
          <cell r="W508" t="str">
            <v>Operações Karitel</v>
          </cell>
          <cell r="X508" t="str">
            <v>RAFAEL XAVIER</v>
          </cell>
          <cell r="Y508" t="str">
            <v>IVONEI CAMPOS</v>
          </cell>
          <cell r="Z508" t="str">
            <v>TALLES RYAN</v>
          </cell>
        </row>
        <row r="509">
          <cell r="V509" t="str">
            <v>Facilities - Karitel</v>
          </cell>
          <cell r="W509" t="str">
            <v>Gente e Gestão</v>
          </cell>
          <cell r="X509" t="str">
            <v xml:space="preserve">LEIDJANE MARTINS </v>
          </cell>
          <cell r="Y509" t="str">
            <v xml:space="preserve">LEIDJANE MARTINS </v>
          </cell>
          <cell r="Z509" t="str">
            <v>DENIS ACASSIO</v>
          </cell>
        </row>
        <row r="510">
          <cell r="V510" t="str">
            <v>Programas Corporativos</v>
          </cell>
          <cell r="W510" t="str">
            <v>Gente e Gestão</v>
          </cell>
          <cell r="X510" t="str">
            <v xml:space="preserve">LEIDJANE MARTINS </v>
          </cell>
          <cell r="Y510" t="str">
            <v xml:space="preserve">LEIDJANE MARTINS </v>
          </cell>
        </row>
        <row r="511">
          <cell r="V511" t="str">
            <v>Campo Agricola Cacau - CAPEX</v>
          </cell>
          <cell r="W511" t="str">
            <v>Operações Karitel</v>
          </cell>
          <cell r="X511" t="str">
            <v>JOSÉ GOUVEA</v>
          </cell>
          <cell r="Y511" t="str">
            <v>ALEX DIAS</v>
          </cell>
        </row>
        <row r="512">
          <cell r="V512" t="str">
            <v>Manuteção Elétrica</v>
          </cell>
          <cell r="W512" t="str">
            <v>Operações Karitel</v>
          </cell>
          <cell r="X512" t="str">
            <v>RAFAEL XAVIER</v>
          </cell>
          <cell r="Y512" t="str">
            <v>IVONEI CAMPOS</v>
          </cell>
          <cell r="Z512" t="str">
            <v>TALLES RYAN</v>
          </cell>
        </row>
        <row r="513">
          <cell r="V513" t="str">
            <v>Campo Agricola Cacau</v>
          </cell>
          <cell r="W513" t="str">
            <v>Operações Karitel</v>
          </cell>
          <cell r="X513" t="str">
            <v>JOSÉ GOUVEA</v>
          </cell>
          <cell r="Y513" t="str">
            <v>ALEX DIAS</v>
          </cell>
        </row>
        <row r="514">
          <cell r="V514" t="str">
            <v>Algodoeira</v>
          </cell>
          <cell r="W514" t="str">
            <v>Operações Karitel</v>
          </cell>
          <cell r="X514" t="str">
            <v>PAULO BONIFÁCIO</v>
          </cell>
          <cell r="Y514" t="str">
            <v>ALDAIR BORGES</v>
          </cell>
          <cell r="Z514" t="str">
            <v>WARLEY RIBEIRO</v>
          </cell>
        </row>
        <row r="515">
          <cell r="V515" t="str">
            <v>Campo Agricola Cacau</v>
          </cell>
          <cell r="W515" t="str">
            <v>Operações Karitel</v>
          </cell>
          <cell r="X515" t="str">
            <v>JOSÉ GOUVEA</v>
          </cell>
          <cell r="Y515" t="str">
            <v>ALEX DIAS</v>
          </cell>
        </row>
        <row r="516">
          <cell r="V516" t="str">
            <v>Algodoeira</v>
          </cell>
          <cell r="W516" t="str">
            <v>Operações Karitel</v>
          </cell>
          <cell r="X516" t="str">
            <v>PAULO BONIFÁCIO</v>
          </cell>
          <cell r="Y516" t="str">
            <v>ALDAIR BORGES</v>
          </cell>
          <cell r="Z516" t="str">
            <v>WARLEY RIBEIRO</v>
          </cell>
        </row>
        <row r="517">
          <cell r="V517" t="str">
            <v>Manutenção Mecanica Karitel</v>
          </cell>
          <cell r="W517" t="str">
            <v>Operações Karitel</v>
          </cell>
          <cell r="X517" t="str">
            <v>RAFAEL XAVIER</v>
          </cell>
          <cell r="Y517" t="str">
            <v>FERNANDO GUILHERME</v>
          </cell>
          <cell r="Z517" t="str">
            <v>JUNIO COSTA</v>
          </cell>
        </row>
        <row r="518">
          <cell r="V518" t="str">
            <v>Usina Cacau</v>
          </cell>
          <cell r="W518" t="str">
            <v>Operações Karitel</v>
          </cell>
          <cell r="X518" t="str">
            <v>JOSÉ GOUVEA</v>
          </cell>
          <cell r="Y518" t="str">
            <v>JOSÉ GOUVEA</v>
          </cell>
        </row>
        <row r="519">
          <cell r="V519" t="str">
            <v>Planejamento Irrigação Grãos</v>
          </cell>
          <cell r="W519" t="str">
            <v>Operações Karitel</v>
          </cell>
          <cell r="X519" t="str">
            <v>PAULO BONIFÁCIO</v>
          </cell>
          <cell r="Y519" t="str">
            <v>PAULO BONIFÁCIO</v>
          </cell>
          <cell r="Z519" t="str">
            <v xml:space="preserve">LEONARDO SANTOS </v>
          </cell>
        </row>
        <row r="520">
          <cell r="V520" t="str">
            <v>Campo Agricola Cacau</v>
          </cell>
          <cell r="W520" t="str">
            <v>Operações Karitel</v>
          </cell>
          <cell r="X520" t="str">
            <v>JOSÉ GOUVEA</v>
          </cell>
          <cell r="Y520" t="str">
            <v>ALEX DIAS</v>
          </cell>
        </row>
        <row r="521">
          <cell r="V521" t="str">
            <v>Campo Agricola Cacau</v>
          </cell>
          <cell r="W521" t="str">
            <v>Operações Karitel</v>
          </cell>
          <cell r="X521" t="str">
            <v>JOSÉ GOUVEA</v>
          </cell>
          <cell r="Y521" t="str">
            <v>ALEX DIAS</v>
          </cell>
        </row>
        <row r="522">
          <cell r="V522" t="str">
            <v>SSMA - Karitel</v>
          </cell>
          <cell r="W522" t="str">
            <v>Gente e Gestão</v>
          </cell>
          <cell r="X522" t="str">
            <v>CARSON NEVES</v>
          </cell>
          <cell r="Y522" t="str">
            <v>CARSON NEVES</v>
          </cell>
        </row>
        <row r="523">
          <cell r="V523" t="str">
            <v>Colheita Grãos</v>
          </cell>
          <cell r="W523" t="str">
            <v>Operações Karitel</v>
          </cell>
          <cell r="X523" t="str">
            <v>PAULO BONIFÁCIO</v>
          </cell>
          <cell r="Y523" t="str">
            <v>MAURICIO SANTOS</v>
          </cell>
          <cell r="Z523" t="str">
            <v>FABIANO</v>
          </cell>
        </row>
        <row r="524">
          <cell r="V524" t="str">
            <v>Planejamento Irrigação Grãos</v>
          </cell>
          <cell r="W524" t="str">
            <v>Operações Karitel</v>
          </cell>
          <cell r="X524" t="str">
            <v>PAULO BONIFÁCIO</v>
          </cell>
          <cell r="Y524" t="str">
            <v>PAULO BONIFÁCIO</v>
          </cell>
          <cell r="Z524" t="str">
            <v xml:space="preserve">LEONARDO SANTOS </v>
          </cell>
        </row>
        <row r="525">
          <cell r="V525" t="str">
            <v>Campo Agricola Cacau</v>
          </cell>
          <cell r="W525" t="str">
            <v>Operações Karitel</v>
          </cell>
          <cell r="X525" t="str">
            <v>JOSÉ GOUVEA</v>
          </cell>
          <cell r="Y525" t="str">
            <v>ALEX DIAS</v>
          </cell>
        </row>
        <row r="526">
          <cell r="V526" t="str">
            <v>Manutenção Mecanica Karitel</v>
          </cell>
          <cell r="W526" t="str">
            <v>Operações Karitel</v>
          </cell>
          <cell r="X526" t="str">
            <v>RAFAEL XAVIER</v>
          </cell>
          <cell r="Y526" t="str">
            <v>FERNANDO GUILHERME</v>
          </cell>
          <cell r="Z526" t="str">
            <v>JUNIO COSTA</v>
          </cell>
        </row>
        <row r="527">
          <cell r="V527" t="str">
            <v>Campo Agricola Cacau</v>
          </cell>
          <cell r="W527" t="str">
            <v>Operações Karitel</v>
          </cell>
          <cell r="X527" t="str">
            <v>JOSÉ GOUVEA</v>
          </cell>
          <cell r="Y527" t="str">
            <v>ALEX DIAS</v>
          </cell>
        </row>
        <row r="528">
          <cell r="V528" t="str">
            <v>Campo Agricola Cacau</v>
          </cell>
          <cell r="W528" t="str">
            <v>Operações Karitel</v>
          </cell>
          <cell r="X528" t="str">
            <v>JOSÉ GOUVEA</v>
          </cell>
          <cell r="Y528" t="str">
            <v>ALEX DIAS</v>
          </cell>
        </row>
        <row r="529">
          <cell r="V529" t="str">
            <v>Manutenção Mecanica Karitel</v>
          </cell>
          <cell r="W529" t="str">
            <v>Operações Karitel</v>
          </cell>
          <cell r="X529" t="str">
            <v>RAFAEL XAVIER</v>
          </cell>
          <cell r="Y529" t="str">
            <v>FERNANDO GUILHERME</v>
          </cell>
          <cell r="Z529" t="str">
            <v>JUNIO COSTA</v>
          </cell>
        </row>
        <row r="530">
          <cell r="V530" t="str">
            <v>Silo</v>
          </cell>
          <cell r="W530" t="str">
            <v>Operações Karitel</v>
          </cell>
          <cell r="X530" t="str">
            <v>PAULO BONIFÁCIO</v>
          </cell>
          <cell r="Y530" t="str">
            <v>ALDAIR BORGES</v>
          </cell>
          <cell r="Z530" t="str">
            <v>ISAC NONATO</v>
          </cell>
        </row>
        <row r="531">
          <cell r="V531" t="str">
            <v>Campo Agricola Cacau</v>
          </cell>
          <cell r="W531" t="str">
            <v>Operações Karitel</v>
          </cell>
          <cell r="X531" t="str">
            <v>JOSÉ GOUVEA</v>
          </cell>
          <cell r="Y531" t="str">
            <v>ALEX DIAS</v>
          </cell>
        </row>
        <row r="532">
          <cell r="V532" t="str">
            <v>Campo Agricola Cacau</v>
          </cell>
          <cell r="W532" t="str">
            <v>Operações Karitel</v>
          </cell>
          <cell r="X532" t="str">
            <v>JOSÉ GOUVEA</v>
          </cell>
          <cell r="Y532" t="str">
            <v>ALEX DIAS</v>
          </cell>
        </row>
        <row r="533">
          <cell r="V533" t="str">
            <v>Facilities - Karitel</v>
          </cell>
          <cell r="W533" t="str">
            <v>Gente e Gestão</v>
          </cell>
          <cell r="X533" t="str">
            <v xml:space="preserve">LEIDJANE MARTINS </v>
          </cell>
          <cell r="Y533" t="str">
            <v xml:space="preserve">LEIDJANE MARTINS </v>
          </cell>
          <cell r="Z533" t="str">
            <v>DENIS ACASSIO</v>
          </cell>
        </row>
        <row r="534">
          <cell r="V534" t="str">
            <v>Campo Agricola Cacau</v>
          </cell>
          <cell r="W534" t="str">
            <v>Operações Karitel</v>
          </cell>
          <cell r="X534" t="str">
            <v>JOSÉ GOUVEA</v>
          </cell>
          <cell r="Y534" t="str">
            <v>ALEX DIAS</v>
          </cell>
        </row>
        <row r="535">
          <cell r="V535" t="str">
            <v>Campo Agricola Grãos</v>
          </cell>
          <cell r="W535" t="str">
            <v>Operações Karitel</v>
          </cell>
          <cell r="X535" t="str">
            <v>PAULO BONIFÁCIO</v>
          </cell>
          <cell r="Y535" t="str">
            <v>MAURICIO SANTOS</v>
          </cell>
          <cell r="Z535" t="str">
            <v xml:space="preserve">EDSON/MARCELO LIMA </v>
          </cell>
        </row>
        <row r="536">
          <cell r="V536" t="str">
            <v>Campo Agricola Cacau</v>
          </cell>
          <cell r="W536" t="str">
            <v>Operações Karitel</v>
          </cell>
          <cell r="X536" t="str">
            <v>JOSÉ GOUVEA</v>
          </cell>
          <cell r="Y536" t="str">
            <v>ALEX DIAS</v>
          </cell>
        </row>
        <row r="537">
          <cell r="V537" t="str">
            <v>Campo Agricola Cacau</v>
          </cell>
          <cell r="W537" t="str">
            <v>Operações Karitel</v>
          </cell>
          <cell r="X537" t="str">
            <v>JOSÉ GOUVEA</v>
          </cell>
          <cell r="Y537" t="str">
            <v>ALEX DIAS</v>
          </cell>
        </row>
        <row r="538">
          <cell r="V538" t="str">
            <v>Campo Agricola Cacau</v>
          </cell>
          <cell r="W538" t="str">
            <v>Operações Karitel</v>
          </cell>
          <cell r="X538" t="str">
            <v>JOSÉ GOUVEA</v>
          </cell>
          <cell r="Y538" t="str">
            <v>ALEX DIAS</v>
          </cell>
        </row>
        <row r="539">
          <cell r="V539" t="str">
            <v>Campo Agricola Grãos</v>
          </cell>
          <cell r="W539" t="str">
            <v>Operações Karitel</v>
          </cell>
          <cell r="X539" t="str">
            <v>PAULO BONIFÁCIO</v>
          </cell>
          <cell r="Y539" t="str">
            <v>MAURICIO SANTOS</v>
          </cell>
          <cell r="Z539" t="str">
            <v xml:space="preserve">EDSON/MARCELO LIMA </v>
          </cell>
        </row>
        <row r="540">
          <cell r="V540" t="str">
            <v>Campo Agricola Cacau</v>
          </cell>
          <cell r="W540" t="str">
            <v>Operações Karitel</v>
          </cell>
          <cell r="X540" t="str">
            <v>JOSÉ GOUVEA</v>
          </cell>
          <cell r="Y540" t="str">
            <v>ALEX DIAS</v>
          </cell>
        </row>
        <row r="541">
          <cell r="V541" t="str">
            <v>Apontamento Karitel</v>
          </cell>
          <cell r="W541" t="str">
            <v>Operações Karitel</v>
          </cell>
          <cell r="X541" t="str">
            <v>MATHEUS FERNANDES</v>
          </cell>
          <cell r="Y541" t="str">
            <v>MATHEUS FERNANDES</v>
          </cell>
        </row>
        <row r="542">
          <cell r="V542" t="str">
            <v>Silo</v>
          </cell>
          <cell r="W542" t="str">
            <v>Operações Karitel</v>
          </cell>
          <cell r="X542" t="str">
            <v>PAULO BONIFÁCIO</v>
          </cell>
          <cell r="Y542" t="str">
            <v>ALDAIR BORGES</v>
          </cell>
          <cell r="Z542" t="str">
            <v>ISAC NONATO</v>
          </cell>
        </row>
        <row r="543">
          <cell r="V543" t="str">
            <v>Campo Agricola Grãos</v>
          </cell>
          <cell r="W543" t="str">
            <v>Operações Karitel</v>
          </cell>
          <cell r="X543" t="str">
            <v>PAULO BONIFÁCIO</v>
          </cell>
          <cell r="Y543" t="str">
            <v>MAURICIO SANTOS</v>
          </cell>
          <cell r="Z543" t="str">
            <v xml:space="preserve">EDSON/MARCELO LIMA </v>
          </cell>
        </row>
        <row r="544">
          <cell r="V544" t="str">
            <v>Pulverização Rio do Meio</v>
          </cell>
          <cell r="W544" t="str">
            <v>Operações Karitel</v>
          </cell>
          <cell r="X544" t="str">
            <v>PAULO BONIFÁCIO</v>
          </cell>
          <cell r="Y544" t="str">
            <v xml:space="preserve">JOÃO KOMURA </v>
          </cell>
        </row>
        <row r="545">
          <cell r="V545" t="str">
            <v>Algodoeira</v>
          </cell>
          <cell r="W545" t="str">
            <v>Operações Karitel</v>
          </cell>
          <cell r="X545" t="str">
            <v>PAULO BONIFÁCIO</v>
          </cell>
          <cell r="Y545" t="str">
            <v>ALDAIR BORGES</v>
          </cell>
          <cell r="Z545" t="str">
            <v>WARLEY RIBEIRO</v>
          </cell>
        </row>
        <row r="546">
          <cell r="V546" t="str">
            <v>Campo Agricola Cacau</v>
          </cell>
          <cell r="W546" t="str">
            <v>Operações Karitel</v>
          </cell>
          <cell r="X546" t="str">
            <v>JOSÉ GOUVEA</v>
          </cell>
          <cell r="Y546" t="str">
            <v>ALEX DIAS</v>
          </cell>
        </row>
        <row r="547">
          <cell r="V547" t="str">
            <v>Planejamento Irrigação Grãos</v>
          </cell>
          <cell r="W547" t="str">
            <v>Operações Karitel</v>
          </cell>
          <cell r="X547" t="str">
            <v>PAULO BONIFÁCIO</v>
          </cell>
          <cell r="Y547" t="str">
            <v>PAULO BONIFÁCIO</v>
          </cell>
          <cell r="Z547" t="str">
            <v xml:space="preserve">LEONARDO SANTOS </v>
          </cell>
        </row>
        <row r="548">
          <cell r="V548" t="str">
            <v>Campo Agricola Grãos</v>
          </cell>
          <cell r="W548" t="str">
            <v>Operações Karitel</v>
          </cell>
          <cell r="X548" t="str">
            <v>PAULO BONIFÁCIO</v>
          </cell>
          <cell r="Y548" t="str">
            <v>MAURICIO SANTOS</v>
          </cell>
          <cell r="Z548" t="str">
            <v xml:space="preserve">EDSON/MARCELO LIMA </v>
          </cell>
        </row>
        <row r="549">
          <cell r="V549" t="str">
            <v>Planejamento Irrigação Grãos</v>
          </cell>
          <cell r="W549" t="str">
            <v>Operações Karitel</v>
          </cell>
          <cell r="X549" t="str">
            <v>PAULO BONIFÁCIO</v>
          </cell>
          <cell r="Y549" t="str">
            <v>PAULO BONIFÁCIO</v>
          </cell>
          <cell r="Z549" t="str">
            <v xml:space="preserve">LEONARDO SANTOS </v>
          </cell>
        </row>
        <row r="550">
          <cell r="V550" t="str">
            <v>Campo Agricola Cacau</v>
          </cell>
          <cell r="W550" t="str">
            <v>Operações Karitel</v>
          </cell>
          <cell r="X550" t="str">
            <v>JOSÉ GOUVEA</v>
          </cell>
          <cell r="Y550" t="str">
            <v>ALEX DIAS</v>
          </cell>
        </row>
        <row r="551">
          <cell r="V551" t="str">
            <v>Pulverização Grãos</v>
          </cell>
          <cell r="W551" t="str">
            <v>Operações Karitel</v>
          </cell>
          <cell r="X551" t="str">
            <v>PAULO BONIFÁCIO</v>
          </cell>
          <cell r="Y551" t="str">
            <v xml:space="preserve">JOÃO KOMURA </v>
          </cell>
          <cell r="Z551" t="str">
            <v>LUAN ABADIA</v>
          </cell>
        </row>
        <row r="552">
          <cell r="V552" t="str">
            <v>Campo Agricola Grãos</v>
          </cell>
          <cell r="W552" t="str">
            <v>Operações Karitel</v>
          </cell>
          <cell r="X552" t="str">
            <v>PAULO BONIFÁCIO</v>
          </cell>
          <cell r="Y552" t="str">
            <v>MAURICIO SANTOS</v>
          </cell>
          <cell r="Z552" t="str">
            <v xml:space="preserve">EDSON/MARCELO LIMA </v>
          </cell>
        </row>
        <row r="553">
          <cell r="V553" t="str">
            <v>Manutenção Mecanica Karitel</v>
          </cell>
          <cell r="W553" t="str">
            <v>Operações Karitel</v>
          </cell>
          <cell r="X553" t="str">
            <v>RAFAEL XAVIER</v>
          </cell>
          <cell r="Y553" t="str">
            <v>FERNANDO GUILHERME</v>
          </cell>
          <cell r="Z553" t="str">
            <v>JUNIO COSTA</v>
          </cell>
        </row>
        <row r="554">
          <cell r="V554" t="str">
            <v>Campo Agricola Cacau</v>
          </cell>
          <cell r="W554" t="str">
            <v>Operações Karitel</v>
          </cell>
          <cell r="X554" t="str">
            <v>JOSÉ GOUVEA</v>
          </cell>
          <cell r="Y554" t="str">
            <v>ALEX DIAS</v>
          </cell>
        </row>
        <row r="555">
          <cell r="V555" t="str">
            <v>Campo Agricola Cacau</v>
          </cell>
          <cell r="W555" t="str">
            <v>Operações Karitel</v>
          </cell>
          <cell r="X555" t="str">
            <v>JOSÉ GOUVEA</v>
          </cell>
          <cell r="Y555" t="str">
            <v>ALEX DIAS</v>
          </cell>
        </row>
        <row r="556">
          <cell r="V556" t="str">
            <v>Manuteção Irrigação</v>
          </cell>
          <cell r="W556" t="str">
            <v>Operações Karitel</v>
          </cell>
          <cell r="X556" t="str">
            <v>RAFAEL XAVIER</v>
          </cell>
          <cell r="Y556" t="str">
            <v>IVONEI CAMPOS</v>
          </cell>
          <cell r="Z556" t="str">
            <v xml:space="preserve">MARCOS VINICIUS </v>
          </cell>
        </row>
        <row r="557">
          <cell r="V557" t="str">
            <v>Colheita Grãos</v>
          </cell>
          <cell r="W557" t="str">
            <v>Operações Karitel</v>
          </cell>
          <cell r="X557" t="str">
            <v>PAULO BONIFÁCIO</v>
          </cell>
          <cell r="Y557" t="str">
            <v>MAURICIO SANTOS</v>
          </cell>
          <cell r="Z557" t="str">
            <v>FABIANO</v>
          </cell>
        </row>
        <row r="558">
          <cell r="V558" t="str">
            <v>Facilities - Karitel</v>
          </cell>
          <cell r="W558" t="str">
            <v>Gente e Gestão</v>
          </cell>
          <cell r="X558" t="str">
            <v xml:space="preserve">LEIDJANE MARTINS </v>
          </cell>
          <cell r="Y558" t="str">
            <v xml:space="preserve">LEIDJANE MARTINS </v>
          </cell>
          <cell r="Z558" t="str">
            <v>DENIS ACASSIO</v>
          </cell>
        </row>
        <row r="559">
          <cell r="V559" t="str">
            <v>Campo Agricola Cacau</v>
          </cell>
          <cell r="W559" t="str">
            <v>Operações Karitel</v>
          </cell>
          <cell r="X559" t="str">
            <v>JOSÉ GOUVEA</v>
          </cell>
          <cell r="Y559" t="str">
            <v>ALEX DIAS</v>
          </cell>
        </row>
        <row r="560">
          <cell r="V560" t="str">
            <v>Pulverização Grãos</v>
          </cell>
          <cell r="W560" t="str">
            <v>Operações Karitel</v>
          </cell>
          <cell r="X560" t="str">
            <v>PAULO BONIFÁCIO</v>
          </cell>
          <cell r="Y560" t="str">
            <v xml:space="preserve">JOÃO KOMURA </v>
          </cell>
          <cell r="Z560" t="str">
            <v>LUAN ABADIA</v>
          </cell>
        </row>
        <row r="561">
          <cell r="V561" t="str">
            <v>Pulverização Grãos</v>
          </cell>
          <cell r="W561" t="str">
            <v>Operações Karitel</v>
          </cell>
          <cell r="X561" t="str">
            <v>PAULO BONIFÁCIO</v>
          </cell>
          <cell r="Y561" t="str">
            <v xml:space="preserve">JOÃO KOMURA </v>
          </cell>
          <cell r="Z561" t="str">
            <v>LUAN ABADIA</v>
          </cell>
        </row>
        <row r="562">
          <cell r="V562" t="str">
            <v>Campo Agricola Cacau</v>
          </cell>
          <cell r="W562" t="str">
            <v>Operações Karitel</v>
          </cell>
          <cell r="X562" t="str">
            <v>JOSÉ GOUVEA</v>
          </cell>
          <cell r="Y562" t="str">
            <v>ALEX DIAS</v>
          </cell>
        </row>
        <row r="563">
          <cell r="V563" t="str">
            <v>Gente e Gestão - SP</v>
          </cell>
          <cell r="W563" t="str">
            <v>Gente e Gestão</v>
          </cell>
          <cell r="X563" t="str">
            <v xml:space="preserve">LEIDJANE MARTINS </v>
          </cell>
          <cell r="Y563" t="str">
            <v xml:space="preserve">LEIDJANE MARTINS </v>
          </cell>
        </row>
        <row r="564">
          <cell r="V564" t="str">
            <v>Comercial - SP</v>
          </cell>
          <cell r="W564" t="str">
            <v>Comercial</v>
          </cell>
          <cell r="X564" t="str">
            <v>RAFAEL NETTO</v>
          </cell>
          <cell r="Y564" t="str">
            <v>RAFAEL NETTO</v>
          </cell>
        </row>
        <row r="565">
          <cell r="V565" t="str">
            <v>Gestor Compras</v>
          </cell>
          <cell r="W565" t="str">
            <v>Finanças</v>
          </cell>
        </row>
        <row r="566">
          <cell r="V566" t="str">
            <v>Planejamento Financeiro</v>
          </cell>
          <cell r="W566" t="str">
            <v>Finanças</v>
          </cell>
          <cell r="X566" t="str">
            <v>RAFAEL PREVELATO</v>
          </cell>
          <cell r="Y566" t="str">
            <v>RAFAEL PREVELATO</v>
          </cell>
        </row>
        <row r="567">
          <cell r="V567" t="str">
            <v>Comercial - SP</v>
          </cell>
          <cell r="W567" t="str">
            <v>Comercial</v>
          </cell>
          <cell r="X567" t="str">
            <v>RAFAEL NETTO</v>
          </cell>
          <cell r="Y567" t="str">
            <v>RAFAEL NETTO</v>
          </cell>
        </row>
        <row r="568">
          <cell r="V568" t="str">
            <v>Contabil - SP</v>
          </cell>
          <cell r="W568" t="str">
            <v>Finanças</v>
          </cell>
          <cell r="X568" t="str">
            <v>THALITA SABINA</v>
          </cell>
          <cell r="Y568" t="str">
            <v>THALITA SABINA</v>
          </cell>
        </row>
        <row r="569">
          <cell r="V569" t="str">
            <v>Diretoria de Operações</v>
          </cell>
          <cell r="W569" t="str">
            <v>Diretoria</v>
          </cell>
        </row>
        <row r="570">
          <cell r="V570" t="str">
            <v>Fiscal - SP</v>
          </cell>
          <cell r="W570" t="str">
            <v>Finanças</v>
          </cell>
          <cell r="X570" t="str">
            <v>THALITA SABINA</v>
          </cell>
          <cell r="Y570" t="str">
            <v>THALITA SABINA</v>
          </cell>
        </row>
        <row r="571">
          <cell r="V571" t="str">
            <v>Compras</v>
          </cell>
          <cell r="W571" t="str">
            <v>Finanças</v>
          </cell>
          <cell r="X571" t="str">
            <v>ANDREZA LARDO</v>
          </cell>
          <cell r="Y571" t="str">
            <v>ANDREZA LARDO</v>
          </cell>
          <cell r="Z571" t="str">
            <v>NICHOLLAS OLIVEIRA</v>
          </cell>
        </row>
        <row r="572">
          <cell r="V572" t="str">
            <v>TI - SP</v>
          </cell>
          <cell r="W572" t="str">
            <v>Finanças</v>
          </cell>
          <cell r="X572" t="str">
            <v>JOÃO GORGULHO</v>
          </cell>
          <cell r="Y572" t="str">
            <v>JOÃO GORGULHO</v>
          </cell>
        </row>
        <row r="573">
          <cell r="V573" t="str">
            <v>Planejamento Financeiro</v>
          </cell>
          <cell r="W573" t="str">
            <v>Finanças</v>
          </cell>
          <cell r="X573" t="str">
            <v>RAFAEL PREVELATO</v>
          </cell>
          <cell r="Y573" t="str">
            <v>RAFAEL PREVELATO</v>
          </cell>
        </row>
        <row r="574">
          <cell r="V574" t="str">
            <v>Gente e Gestão - SP</v>
          </cell>
          <cell r="W574" t="str">
            <v>Gente e Gestão</v>
          </cell>
          <cell r="X574" t="str">
            <v xml:space="preserve">LEIDJANE MARTINS </v>
          </cell>
          <cell r="Y574" t="str">
            <v xml:space="preserve">LEIDJANE MARTINS </v>
          </cell>
        </row>
        <row r="575">
          <cell r="V575" t="str">
            <v>Diretoria Gente &amp; Gestão</v>
          </cell>
          <cell r="W575" t="str">
            <v>Diretoria</v>
          </cell>
          <cell r="X575" t="str">
            <v>MIGUEL PRADO</v>
          </cell>
        </row>
        <row r="576">
          <cell r="V576" t="str">
            <v>Compras</v>
          </cell>
          <cell r="W576" t="str">
            <v>Finanças</v>
          </cell>
          <cell r="X576" t="str">
            <v>ANDREZA LARDO</v>
          </cell>
          <cell r="Y576" t="str">
            <v>ANDREZA LARDO</v>
          </cell>
          <cell r="Z576" t="str">
            <v>NICHOLLAS OLIVEIRA</v>
          </cell>
        </row>
        <row r="577">
          <cell r="V577" t="str">
            <v>Compras</v>
          </cell>
          <cell r="W577" t="str">
            <v>Finanças</v>
          </cell>
          <cell r="X577" t="str">
            <v>ANDREZA LARDO</v>
          </cell>
          <cell r="Y577" t="str">
            <v>ANDREZA LARDO</v>
          </cell>
          <cell r="Z577" t="str">
            <v>NICHOLLAS OLIVEIRA</v>
          </cell>
        </row>
        <row r="578">
          <cell r="V578" t="str">
            <v>Fiscal - SP</v>
          </cell>
          <cell r="W578" t="str">
            <v>Finanças</v>
          </cell>
          <cell r="X578" t="str">
            <v>THALITA SABINA</v>
          </cell>
          <cell r="Y578" t="str">
            <v>THALITA SABINA</v>
          </cell>
        </row>
        <row r="579">
          <cell r="V579" t="str">
            <v>Gerencia de TI</v>
          </cell>
          <cell r="W579" t="str">
            <v>Finanças</v>
          </cell>
        </row>
        <row r="580">
          <cell r="V580" t="str">
            <v>Compras</v>
          </cell>
          <cell r="W580" t="str">
            <v>Finanças</v>
          </cell>
          <cell r="X580" t="str">
            <v>ANDREZA LARDO</v>
          </cell>
          <cell r="Y580" t="str">
            <v>ANDREZA LARDO</v>
          </cell>
          <cell r="Z580" t="str">
            <v>NICHOLLAS OLIVEIRA</v>
          </cell>
        </row>
        <row r="581">
          <cell r="V581" t="str">
            <v>Compras</v>
          </cell>
          <cell r="W581" t="str">
            <v>Finanças</v>
          </cell>
          <cell r="X581" t="str">
            <v>ANDREZA LARDO</v>
          </cell>
          <cell r="Y581" t="str">
            <v>ANDREZA LARDO</v>
          </cell>
          <cell r="Z581" t="str">
            <v>NICHOLLAS OLIVEIRA</v>
          </cell>
        </row>
        <row r="582">
          <cell r="V582" t="str">
            <v>Contabil - SP</v>
          </cell>
          <cell r="W582" t="str">
            <v>Finanças</v>
          </cell>
          <cell r="X582" t="str">
            <v>THALITA SABINA</v>
          </cell>
          <cell r="Y582" t="str">
            <v>THALITA SABINA</v>
          </cell>
        </row>
        <row r="583">
          <cell r="V583" t="str">
            <v>Compras</v>
          </cell>
          <cell r="W583" t="str">
            <v>Finanças</v>
          </cell>
          <cell r="X583" t="str">
            <v>ANDREZA LARDO</v>
          </cell>
          <cell r="Y583" t="str">
            <v>ANDREZA LARDO</v>
          </cell>
          <cell r="Z583" t="str">
            <v>NICHOLLAS OLIVEIRA</v>
          </cell>
        </row>
        <row r="584">
          <cell r="V584" t="str">
            <v>Compras</v>
          </cell>
          <cell r="W584" t="str">
            <v>Finanças</v>
          </cell>
          <cell r="X584" t="str">
            <v>ANDREZA LARDO</v>
          </cell>
          <cell r="Y584" t="str">
            <v>ANDREZA LARDO</v>
          </cell>
          <cell r="Z584" t="str">
            <v>NICHOLLAS OLIVEIRA</v>
          </cell>
        </row>
        <row r="585">
          <cell r="V585" t="str">
            <v>Fiscal - SP</v>
          </cell>
          <cell r="W585" t="str">
            <v>Finanças</v>
          </cell>
          <cell r="X585" t="str">
            <v>THALITA SABINA</v>
          </cell>
          <cell r="Y585" t="str">
            <v>THALITA SABINA</v>
          </cell>
        </row>
        <row r="586">
          <cell r="V586" t="str">
            <v>Gente e Gestão - SP</v>
          </cell>
          <cell r="W586" t="str">
            <v>Gente e Gestão</v>
          </cell>
          <cell r="X586" t="str">
            <v xml:space="preserve">LEIDJANE MARTINS </v>
          </cell>
          <cell r="Y586" t="str">
            <v xml:space="preserve">LEIDJANE MARTINS </v>
          </cell>
        </row>
        <row r="587">
          <cell r="V587" t="str">
            <v>Juridico - SP</v>
          </cell>
          <cell r="W587" t="str">
            <v>Jurídico</v>
          </cell>
          <cell r="X587" t="str">
            <v>RAFAEL VIRGENS</v>
          </cell>
          <cell r="Y587" t="str">
            <v>RAFAEL VIRGENS</v>
          </cell>
        </row>
        <row r="588">
          <cell r="V588" t="str">
            <v>Direção Geral</v>
          </cell>
          <cell r="W588" t="str">
            <v>Diretoria</v>
          </cell>
        </row>
        <row r="589">
          <cell r="V589" t="str">
            <v>Tesouraria - SP</v>
          </cell>
          <cell r="W589" t="str">
            <v>Finanças</v>
          </cell>
          <cell r="X589" t="str">
            <v>RAFAEL PREVELATO</v>
          </cell>
          <cell r="Y589" t="str">
            <v>RAFAEL PREVELATO</v>
          </cell>
        </row>
        <row r="590">
          <cell r="V590" t="str">
            <v>Tesouraria - SP</v>
          </cell>
          <cell r="W590" t="str">
            <v>Finanças</v>
          </cell>
          <cell r="X590" t="str">
            <v>RAFAEL PREVELATO</v>
          </cell>
          <cell r="Y590" t="str">
            <v>RAFAEL PREVELATO</v>
          </cell>
        </row>
        <row r="591">
          <cell r="V591" t="str">
            <v>Compras</v>
          </cell>
          <cell r="W591" t="str">
            <v>Finanças</v>
          </cell>
          <cell r="X591" t="str">
            <v>ANDREZA LARDO</v>
          </cell>
          <cell r="Y591" t="str">
            <v>ANDREZA LARDO</v>
          </cell>
          <cell r="Z591" t="str">
            <v>NICHOLLAS OLIVEIRA</v>
          </cell>
        </row>
        <row r="592">
          <cell r="V592" t="str">
            <v>Juridico - SP</v>
          </cell>
          <cell r="W592" t="str">
            <v>Jurídico</v>
          </cell>
          <cell r="X592" t="str">
            <v>RAFAEL VIRGENS</v>
          </cell>
          <cell r="Y592" t="str">
            <v>RAFAEL VIRGENS</v>
          </cell>
        </row>
        <row r="593">
          <cell r="V593" t="str">
            <v>Comercial - SP</v>
          </cell>
          <cell r="W593" t="str">
            <v>Comercial</v>
          </cell>
          <cell r="X593" t="str">
            <v>RAFAEL NETTO</v>
          </cell>
          <cell r="Y593" t="str">
            <v>RAFAEL NETTO</v>
          </cell>
        </row>
        <row r="594">
          <cell r="V594" t="str">
            <v>Gestor Planejamento Financeiro</v>
          </cell>
          <cell r="W594" t="str">
            <v>Finanças</v>
          </cell>
        </row>
        <row r="595">
          <cell r="V595" t="str">
            <v>Contabil - SP</v>
          </cell>
          <cell r="W595" t="str">
            <v>Finanças</v>
          </cell>
          <cell r="X595" t="str">
            <v>THALITA SABINA</v>
          </cell>
          <cell r="Y595" t="str">
            <v>THALITA SABINA</v>
          </cell>
        </row>
        <row r="596">
          <cell r="V596" t="str">
            <v>Diretoria Financeira</v>
          </cell>
          <cell r="W596" t="str">
            <v>Diretoria</v>
          </cell>
        </row>
        <row r="597">
          <cell r="V597" t="str">
            <v>Tesouraria - SP</v>
          </cell>
          <cell r="W597" t="str">
            <v>Finanças</v>
          </cell>
          <cell r="X597" t="str">
            <v>RAFAEL PREVELATO</v>
          </cell>
          <cell r="Y597" t="str">
            <v>RAFAEL PREVELATO</v>
          </cell>
        </row>
        <row r="598">
          <cell r="V598" t="str">
            <v>Gestor Contabil e Custos</v>
          </cell>
          <cell r="W598" t="str">
            <v>Finanças</v>
          </cell>
          <cell r="X598" t="str">
            <v>RENAN ROVAI</v>
          </cell>
        </row>
        <row r="599">
          <cell r="V599" t="str">
            <v>TI - SP</v>
          </cell>
          <cell r="W599" t="str">
            <v>Finanças</v>
          </cell>
          <cell r="X599" t="str">
            <v>JOÃO GORGULHO</v>
          </cell>
          <cell r="Y599" t="str">
            <v>JOÃO GORGULHO</v>
          </cell>
        </row>
        <row r="600">
          <cell r="V600" t="str">
            <v>Compras</v>
          </cell>
          <cell r="W600" t="str">
            <v>Finanças</v>
          </cell>
          <cell r="X600" t="str">
            <v>ANDREZA LARDO</v>
          </cell>
          <cell r="Y600" t="str">
            <v>ANDREZA LARDO</v>
          </cell>
          <cell r="Z600" t="str">
            <v>NICHOLLAS OLIVEIRA</v>
          </cell>
        </row>
        <row r="601">
          <cell r="V601" t="str">
            <v>Fiscal - SP</v>
          </cell>
          <cell r="W601" t="str">
            <v>Finanças</v>
          </cell>
          <cell r="X601" t="str">
            <v>THALITA SABINA</v>
          </cell>
          <cell r="Y601" t="str">
            <v>THALITA SABINA</v>
          </cell>
        </row>
        <row r="602">
          <cell r="V602" t="str">
            <v>Meio Ambiente e Qualidade</v>
          </cell>
          <cell r="W602" t="str">
            <v>Gente e Gestão</v>
          </cell>
          <cell r="X602" t="str">
            <v>CARSON NEVES</v>
          </cell>
          <cell r="Y602" t="str">
            <v>CARSON NEVES</v>
          </cell>
        </row>
        <row r="603">
          <cell r="V603" t="str">
            <v>Facilities - Karitel</v>
          </cell>
          <cell r="W603" t="str">
            <v>Gente e Gestão</v>
          </cell>
          <cell r="X603" t="str">
            <v xml:space="preserve">LEIDJANE MARTINS </v>
          </cell>
          <cell r="Y603" t="str">
            <v xml:space="preserve">LEIDJANE MARTINS </v>
          </cell>
          <cell r="Z603" t="str">
            <v>DENIS ACASSIO</v>
          </cell>
        </row>
        <row r="604">
          <cell r="V604" t="str">
            <v>Green House Tabaco</v>
          </cell>
          <cell r="W604" t="str">
            <v>Operações Tabaco</v>
          </cell>
          <cell r="X604" t="str">
            <v>CRISOSTOMO CASTRO</v>
          </cell>
          <cell r="Y604" t="str">
            <v>MATHEUS ALMEIDA</v>
          </cell>
          <cell r="Z604" t="str">
            <v>JOSIEL NEVES</v>
          </cell>
        </row>
        <row r="605">
          <cell r="V605" t="str">
            <v>Desponte Tabaco</v>
          </cell>
          <cell r="W605" t="str">
            <v>Operações Tabaco</v>
          </cell>
          <cell r="X605" t="str">
            <v>CRISOSTOMO CASTRO</v>
          </cell>
          <cell r="Y605" t="str">
            <v>YAN SILVA</v>
          </cell>
          <cell r="Z605" t="str">
            <v>JUNIO TEIXEIRA /GEOVANI RORIZ</v>
          </cell>
        </row>
        <row r="606">
          <cell r="V606" t="str">
            <v>Transplante Tabaco</v>
          </cell>
          <cell r="W606" t="str">
            <v>Operações Tabaco</v>
          </cell>
          <cell r="X606" t="str">
            <v>CRISOSTOMO CASTRO</v>
          </cell>
          <cell r="Y606" t="str">
            <v>YAN SILVA</v>
          </cell>
          <cell r="Z606" t="str">
            <v>JUNIO TEIXEIRA /GEOVANI RORIZ</v>
          </cell>
        </row>
        <row r="607">
          <cell r="V607" t="str">
            <v>Manutenção Agrícola Tabaco</v>
          </cell>
          <cell r="W607" t="str">
            <v>Operações Tabaco</v>
          </cell>
          <cell r="X607" t="str">
            <v>RAFAEL XAVIER</v>
          </cell>
          <cell r="Y607" t="str">
            <v>FERNANDO GUILHERME</v>
          </cell>
          <cell r="Z607" t="str">
            <v>MARCELO DOURADO</v>
          </cell>
        </row>
        <row r="608">
          <cell r="V608" t="str">
            <v>Unloading Tabaco</v>
          </cell>
          <cell r="W608" t="str">
            <v>Operações Tabaco</v>
          </cell>
          <cell r="X608" t="str">
            <v>CRISOSTOMO CASTRO</v>
          </cell>
          <cell r="Y608" t="str">
            <v>MATHEUS ALMEIDA</v>
          </cell>
        </row>
        <row r="609">
          <cell r="V609" t="str">
            <v>Transplante Tabaco</v>
          </cell>
          <cell r="W609" t="str">
            <v>Operações Tabaco</v>
          </cell>
          <cell r="X609" t="str">
            <v>CRISOSTOMO CASTRO</v>
          </cell>
          <cell r="Y609" t="str">
            <v>YAN SILVA</v>
          </cell>
          <cell r="Z609" t="str">
            <v>JUNIO TEIXEIRA /GEOVANI RORIZ</v>
          </cell>
        </row>
        <row r="610">
          <cell r="V610" t="str">
            <v>Controle Fitosanitário - MIP</v>
          </cell>
          <cell r="W610" t="str">
            <v>Operações Tabaco</v>
          </cell>
          <cell r="X610" t="str">
            <v>CRISOSTOMO CASTRO</v>
          </cell>
          <cell r="Y610" t="str">
            <v>YAN SILVA</v>
          </cell>
          <cell r="Z610" t="str">
            <v>JUNIO TEIXEIRA /GEOVANI RORIZ</v>
          </cell>
        </row>
        <row r="611">
          <cell r="V611" t="str">
            <v>Colheita Tabaco</v>
          </cell>
          <cell r="W611" t="str">
            <v>Operações Tabaco</v>
          </cell>
          <cell r="X611" t="str">
            <v>CRISOSTOMO CASTRO</v>
          </cell>
          <cell r="Y611" t="str">
            <v>JOÃO FILHO</v>
          </cell>
          <cell r="Z611" t="str">
            <v>ALCENO JUNIOR/JOÃO MARCOS</v>
          </cell>
        </row>
        <row r="612">
          <cell r="V612" t="str">
            <v>Controle Fitosanitário - MIP</v>
          </cell>
          <cell r="W612" t="str">
            <v>Operações Tabaco</v>
          </cell>
          <cell r="X612" t="str">
            <v>CRISOSTOMO CASTRO</v>
          </cell>
          <cell r="Y612" t="str">
            <v>YAN SILVA</v>
          </cell>
          <cell r="Z612" t="str">
            <v>JUNIO TEIXEIRA /GEOVANI RORIZ</v>
          </cell>
        </row>
        <row r="613">
          <cell r="V613" t="str">
            <v>Desponte Tabaco</v>
          </cell>
          <cell r="W613" t="str">
            <v>Operações Tabaco</v>
          </cell>
          <cell r="X613" t="str">
            <v>CRISOSTOMO CASTRO</v>
          </cell>
          <cell r="Y613" t="str">
            <v>YAN SILVA</v>
          </cell>
          <cell r="Z613" t="str">
            <v>JUNIO TEIXEIRA /GEOVANI RORIZ</v>
          </cell>
        </row>
        <row r="614">
          <cell r="V614" t="str">
            <v>Curing/Loading Tabaco</v>
          </cell>
          <cell r="W614" t="str">
            <v>Operações Tabaco</v>
          </cell>
          <cell r="X614" t="str">
            <v>CRISOSTOMO CASTRO</v>
          </cell>
          <cell r="Y614" t="str">
            <v>MATHEUS ALMEIDA</v>
          </cell>
          <cell r="Z614" t="str">
            <v>ADALTON/JANILSON RORIZ/MARIVALDO</v>
          </cell>
        </row>
        <row r="615">
          <cell r="V615" t="str">
            <v>Almoxarifado - Tabaco</v>
          </cell>
          <cell r="W615" t="str">
            <v>Finanças</v>
          </cell>
          <cell r="X615" t="str">
            <v>ANDREZA LARDO</v>
          </cell>
          <cell r="Y615" t="str">
            <v>ANDREZA LARDO</v>
          </cell>
          <cell r="Z615" t="str">
            <v>ADENILTON RODRIGUES</v>
          </cell>
        </row>
        <row r="616">
          <cell r="V616" t="str">
            <v>Controle Fitosanitário - MIP</v>
          </cell>
          <cell r="W616" t="str">
            <v>Operações Tabaco</v>
          </cell>
          <cell r="X616" t="str">
            <v>CRISOSTOMO CASTRO</v>
          </cell>
          <cell r="Y616" t="str">
            <v>YAN SILVA</v>
          </cell>
          <cell r="Z616" t="str">
            <v>JUNIO TEIXEIRA /GEOVANI RORIZ</v>
          </cell>
        </row>
        <row r="617">
          <cell r="V617" t="str">
            <v>Curing/Loading Tabaco</v>
          </cell>
          <cell r="W617" t="str">
            <v>Operações Tabaco</v>
          </cell>
          <cell r="X617" t="str">
            <v>CRISOSTOMO CASTRO</v>
          </cell>
          <cell r="Y617" t="str">
            <v>MATHEUS ALMEIDA</v>
          </cell>
          <cell r="Z617" t="str">
            <v>ADALTON/JANILSON RORIZ/MARIVALDO</v>
          </cell>
        </row>
        <row r="618">
          <cell r="V618" t="str">
            <v>Green House Tabaco</v>
          </cell>
          <cell r="W618" t="str">
            <v>Operações Tabaco</v>
          </cell>
          <cell r="X618" t="str">
            <v>CRISOSTOMO CASTRO</v>
          </cell>
          <cell r="Y618" t="str">
            <v>MATHEUS ALMEIDA</v>
          </cell>
          <cell r="Z618" t="str">
            <v>JOSIEL NEVES</v>
          </cell>
        </row>
        <row r="619">
          <cell r="V619" t="str">
            <v>Colheita Tabaco</v>
          </cell>
          <cell r="W619" t="str">
            <v>Operações Tabaco</v>
          </cell>
          <cell r="X619" t="str">
            <v>CRISOSTOMO CASTRO</v>
          </cell>
          <cell r="Y619" t="str">
            <v>JOÃO FILHO</v>
          </cell>
          <cell r="Z619" t="str">
            <v>ALCENO JUNIOR/JOÃO MARCOS</v>
          </cell>
        </row>
        <row r="620">
          <cell r="V620" t="str">
            <v>Controle Fitosanitário - MIP</v>
          </cell>
          <cell r="W620" t="str">
            <v>Operações Tabaco</v>
          </cell>
          <cell r="X620" t="str">
            <v>CRISOSTOMO CASTRO</v>
          </cell>
          <cell r="Y620" t="str">
            <v>YAN SILVA</v>
          </cell>
          <cell r="Z620" t="str">
            <v>JUNIO TEIXEIRA /GEOVANI RORIZ</v>
          </cell>
        </row>
        <row r="621">
          <cell r="V621" t="str">
            <v>Curing/Loading Tabaco</v>
          </cell>
          <cell r="W621" t="str">
            <v>Operações Tabaco</v>
          </cell>
          <cell r="X621" t="str">
            <v>CRISOSTOMO CASTRO</v>
          </cell>
          <cell r="Y621" t="str">
            <v>MATHEUS ALMEIDA</v>
          </cell>
          <cell r="Z621" t="str">
            <v>ADALTON/JANILSON RORIZ/MARIVALDO</v>
          </cell>
        </row>
        <row r="622">
          <cell r="V622" t="str">
            <v>Curing/Loading Tabaco</v>
          </cell>
          <cell r="W622" t="str">
            <v>Operações Tabaco</v>
          </cell>
          <cell r="X622" t="str">
            <v>CRISOSTOMO CASTRO</v>
          </cell>
          <cell r="Y622" t="str">
            <v>MATHEUS ALMEIDA</v>
          </cell>
          <cell r="Z622" t="str">
            <v>ADALTON/JANILSON RORIZ/MARIVALDO</v>
          </cell>
        </row>
        <row r="623">
          <cell r="V623" t="str">
            <v>Transplante Tabaco</v>
          </cell>
          <cell r="W623" t="str">
            <v>Operações Tabaco</v>
          </cell>
          <cell r="X623" t="str">
            <v>CRISOSTOMO CASTRO</v>
          </cell>
          <cell r="Y623" t="str">
            <v>YAN SILVA</v>
          </cell>
          <cell r="Z623" t="str">
            <v>JUNIO TEIXEIRA /GEOVANI RORIZ</v>
          </cell>
        </row>
        <row r="624">
          <cell r="V624" t="str">
            <v>Colheita Tabaco</v>
          </cell>
          <cell r="W624" t="str">
            <v>Operações Tabaco</v>
          </cell>
          <cell r="X624" t="str">
            <v>CRISOSTOMO CASTRO</v>
          </cell>
          <cell r="Y624" t="str">
            <v>JOÃO FILHO</v>
          </cell>
          <cell r="Z624" t="str">
            <v>ALCENO JUNIOR/JOÃO MARCOS</v>
          </cell>
        </row>
        <row r="625">
          <cell r="V625" t="str">
            <v>Desponte Tabaco</v>
          </cell>
          <cell r="W625" t="str">
            <v>Operações Tabaco</v>
          </cell>
          <cell r="X625" t="str">
            <v>CRISOSTOMO CASTRO</v>
          </cell>
          <cell r="Y625" t="str">
            <v>YAN SILVA</v>
          </cell>
          <cell r="Z625" t="str">
            <v>JUNIO TEIXEIRA /GEOVANI RORIZ</v>
          </cell>
        </row>
        <row r="626">
          <cell r="V626" t="str">
            <v>Colheita Tabaco</v>
          </cell>
          <cell r="W626" t="str">
            <v>Operações Tabaco</v>
          </cell>
          <cell r="X626" t="str">
            <v>CRISOSTOMO CASTRO</v>
          </cell>
          <cell r="Y626" t="str">
            <v>JOÃO FILHO</v>
          </cell>
          <cell r="Z626" t="str">
            <v>ALCENO JUNIOR/JOÃO MARCOS</v>
          </cell>
        </row>
        <row r="627">
          <cell r="V627" t="str">
            <v>Desponte Tabaco</v>
          </cell>
          <cell r="W627" t="str">
            <v>Operações Tabaco</v>
          </cell>
          <cell r="X627" t="str">
            <v>CRISOSTOMO CASTRO</v>
          </cell>
          <cell r="Y627" t="str">
            <v>YAN SILVA</v>
          </cell>
          <cell r="Z627" t="str">
            <v>JUNIO TEIXEIRA /GEOVANI RORIZ</v>
          </cell>
        </row>
        <row r="628">
          <cell r="V628" t="str">
            <v>Manutenção Industrial Tabaco</v>
          </cell>
          <cell r="W628" t="str">
            <v>Operações Tabaco</v>
          </cell>
          <cell r="X628" t="str">
            <v>CRISOSTOMO CASTRO</v>
          </cell>
          <cell r="Y628" t="str">
            <v>MATHEUS ALMEIDA</v>
          </cell>
          <cell r="Z628" t="str">
            <v>IURY GUEDES</v>
          </cell>
        </row>
        <row r="629">
          <cell r="V629" t="str">
            <v>Colheita Tabaco</v>
          </cell>
          <cell r="W629" t="str">
            <v>Operações Tabaco</v>
          </cell>
          <cell r="X629" t="str">
            <v>CRISOSTOMO CASTRO</v>
          </cell>
          <cell r="Y629" t="str">
            <v>JOÃO FILHO</v>
          </cell>
          <cell r="Z629" t="str">
            <v>ALCENO JUNIOR/JOÃO MARCOS</v>
          </cell>
        </row>
        <row r="630">
          <cell r="V630" t="str">
            <v>Manutenção Industrial Tabaco</v>
          </cell>
          <cell r="W630" t="str">
            <v>Operações Tabaco</v>
          </cell>
          <cell r="X630" t="str">
            <v>CRISOSTOMO CASTRO</v>
          </cell>
          <cell r="Y630" t="str">
            <v>MATHEUS ALMEIDA</v>
          </cell>
          <cell r="Z630" t="str">
            <v>IURY GUEDES</v>
          </cell>
        </row>
        <row r="631">
          <cell r="V631" t="str">
            <v>Manutenção Agrícola Tabaco</v>
          </cell>
          <cell r="W631" t="str">
            <v>Operações Tabaco</v>
          </cell>
          <cell r="X631" t="str">
            <v>RAFAEL XAVIER</v>
          </cell>
          <cell r="Y631" t="str">
            <v>FERNANDO GUILHERME</v>
          </cell>
          <cell r="Z631" t="str">
            <v>MARCELO DOURADO</v>
          </cell>
        </row>
        <row r="632">
          <cell r="V632" t="str">
            <v>Controle Fitosanitário - MIP</v>
          </cell>
          <cell r="W632" t="str">
            <v>Operações Tabaco</v>
          </cell>
          <cell r="X632" t="str">
            <v>CRISOSTOMO CASTRO</v>
          </cell>
          <cell r="Y632" t="str">
            <v>YAN SILVA</v>
          </cell>
          <cell r="Z632" t="str">
            <v>JUNIO TEIXEIRA /GEOVANI RORIZ</v>
          </cell>
        </row>
        <row r="633">
          <cell r="V633" t="str">
            <v>Colheita Tabaco</v>
          </cell>
          <cell r="W633" t="str">
            <v>Operações Tabaco</v>
          </cell>
          <cell r="X633" t="str">
            <v>CRISOSTOMO CASTRO</v>
          </cell>
          <cell r="Y633" t="str">
            <v>JOÃO FILHO</v>
          </cell>
          <cell r="Z633" t="str">
            <v>ALCENO JUNIOR/JOÃO MARCOS</v>
          </cell>
        </row>
        <row r="634">
          <cell r="V634" t="str">
            <v>Curing/Loading Tabaco</v>
          </cell>
          <cell r="W634" t="str">
            <v>Operações Tabaco</v>
          </cell>
          <cell r="X634" t="str">
            <v>CRISOSTOMO CASTRO</v>
          </cell>
          <cell r="Y634" t="str">
            <v>MATHEUS ALMEIDA</v>
          </cell>
          <cell r="Z634" t="str">
            <v>ADALTON/JANILSON RORIZ/MARIVALDO</v>
          </cell>
        </row>
        <row r="635">
          <cell r="V635" t="str">
            <v>Transplante Tabaco</v>
          </cell>
          <cell r="W635" t="str">
            <v>Operações Tabaco</v>
          </cell>
          <cell r="X635" t="str">
            <v>CRISOSTOMO CASTRO</v>
          </cell>
          <cell r="Y635" t="str">
            <v>YAN SILVA</v>
          </cell>
          <cell r="Z635" t="str">
            <v>JUNIO TEIXEIRA /GEOVANI RORIZ</v>
          </cell>
        </row>
        <row r="636">
          <cell r="V636" t="str">
            <v>Melhoria Continua - Tabaco</v>
          </cell>
          <cell r="W636" t="str">
            <v>Gente e Gestão</v>
          </cell>
          <cell r="X636" t="str">
            <v xml:space="preserve">GISELE NASCENTE </v>
          </cell>
          <cell r="Y636" t="str">
            <v xml:space="preserve">GISELE NASCENTE </v>
          </cell>
          <cell r="Z636" t="str">
            <v>MARCOS OLIVEIRA</v>
          </cell>
        </row>
        <row r="637">
          <cell r="V637" t="str">
            <v>Unloading Tabaco</v>
          </cell>
          <cell r="W637" t="str">
            <v>Operações Tabaco</v>
          </cell>
          <cell r="X637" t="str">
            <v>CRISOSTOMO CASTRO</v>
          </cell>
          <cell r="Y637" t="str">
            <v>MATHEUS ALMEIDA</v>
          </cell>
        </row>
        <row r="638">
          <cell r="V638" t="str">
            <v>Controle Fitosanitário - MIP</v>
          </cell>
          <cell r="W638" t="str">
            <v>Operações Tabaco</v>
          </cell>
          <cell r="X638" t="str">
            <v>CRISOSTOMO CASTRO</v>
          </cell>
          <cell r="Y638" t="str">
            <v>YAN SILVA</v>
          </cell>
          <cell r="Z638" t="str">
            <v>JUNIO TEIXEIRA /GEOVANI RORIZ</v>
          </cell>
        </row>
        <row r="639">
          <cell r="V639" t="str">
            <v>Melhoria Continua - Tabaco</v>
          </cell>
          <cell r="W639" t="str">
            <v>Gente e Gestão</v>
          </cell>
          <cell r="X639" t="str">
            <v xml:space="preserve">GISELE NASCENTE </v>
          </cell>
          <cell r="Y639" t="str">
            <v xml:space="preserve">GISELE NASCENTE </v>
          </cell>
          <cell r="Z639" t="str">
            <v>MARCOS OLIVEIRA</v>
          </cell>
        </row>
        <row r="640">
          <cell r="V640" t="str">
            <v>Almoxarifado - Tabaco</v>
          </cell>
          <cell r="W640" t="str">
            <v>Finanças</v>
          </cell>
          <cell r="X640" t="str">
            <v>ANDREZA LARDO</v>
          </cell>
          <cell r="Y640" t="str">
            <v>ANDREZA LARDO</v>
          </cell>
          <cell r="Z640" t="str">
            <v>ADENILTON RODRIGUES</v>
          </cell>
        </row>
        <row r="641">
          <cell r="V641" t="str">
            <v>Manutenção Agrícola Tabaco</v>
          </cell>
          <cell r="W641" t="str">
            <v>Operações Tabaco</v>
          </cell>
          <cell r="X641" t="str">
            <v>RAFAEL XAVIER</v>
          </cell>
          <cell r="Y641" t="str">
            <v>FERNANDO GUILHERME</v>
          </cell>
          <cell r="Z641" t="str">
            <v>MARCELO DOURADO</v>
          </cell>
        </row>
        <row r="642">
          <cell r="V642" t="str">
            <v>Controle Fitosanitário - MIP</v>
          </cell>
          <cell r="W642" t="str">
            <v>Operações Tabaco</v>
          </cell>
          <cell r="X642" t="str">
            <v>CRISOSTOMO CASTRO</v>
          </cell>
          <cell r="Y642" t="str">
            <v>YAN SILVA</v>
          </cell>
          <cell r="Z642" t="str">
            <v>JUNIO TEIXEIRA /GEOVANI RORIZ</v>
          </cell>
        </row>
        <row r="643">
          <cell r="V643" t="str">
            <v>Curing/Loading Tabaco</v>
          </cell>
          <cell r="W643" t="str">
            <v>Operações Tabaco</v>
          </cell>
          <cell r="X643" t="str">
            <v>CRISOSTOMO CASTRO</v>
          </cell>
          <cell r="Y643" t="str">
            <v>MATHEUS ALMEIDA</v>
          </cell>
          <cell r="Z643" t="str">
            <v>ADALTON/JANILSON RORIZ/MARIVALDO</v>
          </cell>
        </row>
        <row r="644">
          <cell r="V644" t="str">
            <v>Unloading Tabaco</v>
          </cell>
          <cell r="W644" t="str">
            <v>Operações Tabaco</v>
          </cell>
          <cell r="X644" t="str">
            <v>CRISOSTOMO CASTRO</v>
          </cell>
          <cell r="Y644" t="str">
            <v>MATHEUS ALMEIDA</v>
          </cell>
        </row>
        <row r="645">
          <cell r="V645" t="str">
            <v>Colheita Tabaco</v>
          </cell>
          <cell r="W645" t="str">
            <v>Operações Tabaco</v>
          </cell>
          <cell r="X645" t="str">
            <v>CRISOSTOMO CASTRO</v>
          </cell>
          <cell r="Y645" t="str">
            <v>JOÃO FILHO</v>
          </cell>
          <cell r="Z645" t="str">
            <v>ALCENO JUNIOR/JOÃO MARCOS</v>
          </cell>
        </row>
        <row r="646">
          <cell r="V646" t="str">
            <v>Green House Tabaco</v>
          </cell>
          <cell r="W646" t="str">
            <v>Operações Tabaco</v>
          </cell>
          <cell r="X646" t="str">
            <v>CRISOSTOMO CASTRO</v>
          </cell>
          <cell r="Y646" t="str">
            <v>MATHEUS ALMEIDA</v>
          </cell>
          <cell r="Z646" t="str">
            <v>JOSIEL NEVES</v>
          </cell>
        </row>
        <row r="647">
          <cell r="V647" t="str">
            <v>Desponte Tabaco</v>
          </cell>
          <cell r="W647" t="str">
            <v>Operações Tabaco</v>
          </cell>
          <cell r="X647" t="str">
            <v>CRISOSTOMO CASTRO</v>
          </cell>
          <cell r="Y647" t="str">
            <v>YAN SILVA</v>
          </cell>
          <cell r="Z647" t="str">
            <v>JUNIO TEIXEIRA /GEOVANI RORIZ</v>
          </cell>
        </row>
        <row r="648">
          <cell r="V648" t="str">
            <v>Curing/Loading Tabaco</v>
          </cell>
          <cell r="W648" t="str">
            <v>Operações Tabaco</v>
          </cell>
          <cell r="X648" t="str">
            <v>CRISOSTOMO CASTRO</v>
          </cell>
          <cell r="Y648" t="str">
            <v>MATHEUS ALMEIDA</v>
          </cell>
          <cell r="Z648" t="str">
            <v>ADALTON/JANILSON RORIZ/MARIVALDO</v>
          </cell>
        </row>
        <row r="649">
          <cell r="V649" t="str">
            <v>Unloading Tabaco</v>
          </cell>
          <cell r="W649" t="str">
            <v>Operações Tabaco</v>
          </cell>
          <cell r="X649" t="str">
            <v>CRISOSTOMO CASTRO</v>
          </cell>
          <cell r="Y649" t="str">
            <v>MATHEUS ALMEIDA</v>
          </cell>
        </row>
        <row r="650">
          <cell r="V650" t="str">
            <v>Melhoria Continua - Tabaco</v>
          </cell>
          <cell r="W650" t="str">
            <v>Gente e Gestão</v>
          </cell>
          <cell r="X650" t="str">
            <v xml:space="preserve">GISELE NASCENTE </v>
          </cell>
          <cell r="Y650" t="str">
            <v xml:space="preserve">GISELE NASCENTE </v>
          </cell>
          <cell r="Z650" t="str">
            <v>MARCOS OLIVEIRA</v>
          </cell>
        </row>
        <row r="651">
          <cell r="V651" t="str">
            <v>Desponte Tabaco</v>
          </cell>
          <cell r="W651" t="str">
            <v>Operações Tabaco</v>
          </cell>
          <cell r="X651" t="str">
            <v>CRISOSTOMO CASTRO</v>
          </cell>
          <cell r="Y651" t="str">
            <v>YAN SILVA</v>
          </cell>
          <cell r="Z651" t="str">
            <v>JUNIO TEIXEIRA /GEOVANI RORIZ</v>
          </cell>
        </row>
        <row r="652">
          <cell r="V652" t="str">
            <v>Manutenção Agrícola Tabaco</v>
          </cell>
          <cell r="W652" t="str">
            <v>Operações Tabaco</v>
          </cell>
          <cell r="X652" t="str">
            <v>RAFAEL XAVIER</v>
          </cell>
          <cell r="Y652" t="str">
            <v>FERNANDO GUILHERME</v>
          </cell>
          <cell r="Z652" t="str">
            <v>MARCELO DOURADO</v>
          </cell>
        </row>
        <row r="653">
          <cell r="V653" t="str">
            <v>Curing/Loading Tabaco</v>
          </cell>
          <cell r="W653" t="str">
            <v>Operações Tabaco</v>
          </cell>
          <cell r="X653" t="str">
            <v>CRISOSTOMO CASTRO</v>
          </cell>
          <cell r="Y653" t="str">
            <v>MATHEUS ALMEIDA</v>
          </cell>
          <cell r="Z653" t="str">
            <v>ADALTON/JANILSON RORIZ/MARIVALDO</v>
          </cell>
        </row>
        <row r="654">
          <cell r="V654" t="str">
            <v>Unloading Tabaco</v>
          </cell>
          <cell r="W654" t="str">
            <v>Operações Tabaco</v>
          </cell>
          <cell r="X654" t="str">
            <v>CRISOSTOMO CASTRO</v>
          </cell>
          <cell r="Y654" t="str">
            <v>MATHEUS ALMEIDA</v>
          </cell>
        </row>
        <row r="655">
          <cell r="V655" t="str">
            <v>Colheita Tabaco</v>
          </cell>
          <cell r="W655" t="str">
            <v>Operações Tabaco</v>
          </cell>
          <cell r="X655" t="str">
            <v>CRISOSTOMO CASTRO</v>
          </cell>
          <cell r="Y655" t="str">
            <v>JOÃO FILHO</v>
          </cell>
          <cell r="Z655" t="str">
            <v>ALCENO JUNIOR/JOÃO MARCOS</v>
          </cell>
        </row>
        <row r="656">
          <cell r="V656" t="str">
            <v>Curing/Loading Tabaco</v>
          </cell>
          <cell r="W656" t="str">
            <v>Operações Tabaco</v>
          </cell>
          <cell r="X656" t="str">
            <v>CRISOSTOMO CASTRO</v>
          </cell>
          <cell r="Y656" t="str">
            <v>MATHEUS ALMEIDA</v>
          </cell>
          <cell r="Z656" t="str">
            <v>ADALTON/JANILSON RORIZ/MARIVALDO</v>
          </cell>
        </row>
        <row r="657">
          <cell r="V657" t="str">
            <v>Facilities - Tabaco</v>
          </cell>
          <cell r="W657" t="str">
            <v>Gente e Gestão</v>
          </cell>
          <cell r="X657" t="str">
            <v xml:space="preserve">LEIDJANE MARTINS </v>
          </cell>
          <cell r="Y657" t="str">
            <v xml:space="preserve">LEIDJANE MARTINS </v>
          </cell>
          <cell r="Z657" t="str">
            <v>DENIS ACASSIO</v>
          </cell>
        </row>
        <row r="658">
          <cell r="V658" t="str">
            <v>Curing/Loading Tabaco</v>
          </cell>
          <cell r="W658" t="str">
            <v>Operações Tabaco</v>
          </cell>
          <cell r="X658" t="str">
            <v>CRISOSTOMO CASTRO</v>
          </cell>
          <cell r="Y658" t="str">
            <v>MATHEUS ALMEIDA</v>
          </cell>
          <cell r="Z658" t="str">
            <v>ADALTON/JANILSON RORIZ/MARIVALDO</v>
          </cell>
        </row>
        <row r="659">
          <cell r="V659" t="str">
            <v>Transplante Tabaco</v>
          </cell>
          <cell r="W659" t="str">
            <v>Operações Tabaco</v>
          </cell>
          <cell r="X659" t="str">
            <v>CRISOSTOMO CASTRO</v>
          </cell>
          <cell r="Y659" t="str">
            <v>YAN SILVA</v>
          </cell>
          <cell r="Z659" t="str">
            <v>JUNIO TEIXEIRA /GEOVANI RORIZ</v>
          </cell>
        </row>
        <row r="660">
          <cell r="V660" t="str">
            <v>Curing/Loading Tabaco</v>
          </cell>
          <cell r="W660" t="str">
            <v>Operações Tabaco</v>
          </cell>
          <cell r="X660" t="str">
            <v>CRISOSTOMO CASTRO</v>
          </cell>
          <cell r="Y660" t="str">
            <v>MATHEUS ALMEIDA</v>
          </cell>
          <cell r="Z660" t="str">
            <v>ADALTON/JANILSON RORIZ/MARIVALDO</v>
          </cell>
        </row>
        <row r="661">
          <cell r="V661" t="str">
            <v>Colheita Tabaco</v>
          </cell>
          <cell r="W661" t="str">
            <v>Operações Tabaco</v>
          </cell>
          <cell r="X661" t="str">
            <v>CRISOSTOMO CASTRO</v>
          </cell>
          <cell r="Y661" t="str">
            <v>JOÃO FILHO</v>
          </cell>
          <cell r="Z661" t="str">
            <v>ALCENO JUNIOR/JOÃO MARCOS</v>
          </cell>
        </row>
        <row r="662">
          <cell r="V662" t="str">
            <v>Curing/Loading Tabaco</v>
          </cell>
          <cell r="W662" t="str">
            <v>Operações Tabaco</v>
          </cell>
          <cell r="X662" t="str">
            <v>CRISOSTOMO CASTRO</v>
          </cell>
          <cell r="Y662" t="str">
            <v>MATHEUS ALMEIDA</v>
          </cell>
          <cell r="Z662" t="str">
            <v>ADALTON/JANILSON RORIZ/MARIVALDO</v>
          </cell>
        </row>
        <row r="663">
          <cell r="V663" t="str">
            <v>Curing/Loading Tabaco</v>
          </cell>
          <cell r="W663" t="str">
            <v>Operações Tabaco</v>
          </cell>
          <cell r="X663" t="str">
            <v>CRISOSTOMO CASTRO</v>
          </cell>
          <cell r="Y663" t="str">
            <v>MATHEUS ALMEIDA</v>
          </cell>
          <cell r="Z663" t="str">
            <v>ADALTON/JANILSON RORIZ/MARIVALDO</v>
          </cell>
        </row>
        <row r="664">
          <cell r="V664" t="str">
            <v>Green House Tabaco</v>
          </cell>
          <cell r="W664" t="str">
            <v>Operações Tabaco</v>
          </cell>
          <cell r="X664" t="str">
            <v>CRISOSTOMO CASTRO</v>
          </cell>
          <cell r="Y664" t="str">
            <v>MATHEUS ALMEIDA</v>
          </cell>
          <cell r="Z664" t="str">
            <v>JOSIEL NEVES</v>
          </cell>
        </row>
        <row r="665">
          <cell r="V665" t="str">
            <v>Curing/Loading Tabaco</v>
          </cell>
          <cell r="W665" t="str">
            <v>Operações Tabaco</v>
          </cell>
          <cell r="X665" t="str">
            <v>CRISOSTOMO CASTRO</v>
          </cell>
          <cell r="Y665" t="str">
            <v>MATHEUS ALMEIDA</v>
          </cell>
          <cell r="Z665" t="str">
            <v>ADALTON/JANILSON RORIZ/MARIVALDO</v>
          </cell>
        </row>
        <row r="666">
          <cell r="V666" t="str">
            <v>Green House Tabaco</v>
          </cell>
          <cell r="W666" t="str">
            <v>Operações Tabaco</v>
          </cell>
          <cell r="X666" t="str">
            <v>CRISOSTOMO CASTRO</v>
          </cell>
          <cell r="Y666" t="str">
            <v>MATHEUS ALMEIDA</v>
          </cell>
          <cell r="Z666" t="str">
            <v>JOSIEL NEVES</v>
          </cell>
        </row>
        <row r="667">
          <cell r="V667" t="str">
            <v>Colheita Tabaco</v>
          </cell>
          <cell r="W667" t="str">
            <v>Operações Tabaco</v>
          </cell>
          <cell r="X667" t="str">
            <v>CRISOSTOMO CASTRO</v>
          </cell>
          <cell r="Y667" t="str">
            <v>JOÃO FILHO</v>
          </cell>
          <cell r="Z667" t="str">
            <v>ALCENO JUNIOR/JOÃO MARCOS</v>
          </cell>
        </row>
        <row r="668">
          <cell r="V668" t="str">
            <v>Green House Tabaco</v>
          </cell>
          <cell r="W668" t="str">
            <v>Operações Tabaco</v>
          </cell>
          <cell r="X668" t="str">
            <v>CRISOSTOMO CASTRO</v>
          </cell>
          <cell r="Y668" t="str">
            <v>MATHEUS ALMEIDA</v>
          </cell>
          <cell r="Z668" t="str">
            <v>JOSIEL NEVES</v>
          </cell>
        </row>
        <row r="669">
          <cell r="V669" t="str">
            <v>Desponte Tabaco</v>
          </cell>
          <cell r="W669" t="str">
            <v>Operações Tabaco</v>
          </cell>
          <cell r="X669" t="str">
            <v>CRISOSTOMO CASTRO</v>
          </cell>
          <cell r="Y669" t="str">
            <v>YAN SILVA</v>
          </cell>
          <cell r="Z669" t="str">
            <v>JUNIO TEIXEIRA /GEOVANI RORIZ</v>
          </cell>
        </row>
        <row r="670">
          <cell r="V670" t="str">
            <v>Green House Tabaco</v>
          </cell>
          <cell r="W670" t="str">
            <v>Operações Tabaco</v>
          </cell>
          <cell r="X670" t="str">
            <v>CRISOSTOMO CASTRO</v>
          </cell>
          <cell r="Y670" t="str">
            <v>MATHEUS ALMEIDA</v>
          </cell>
          <cell r="Z670" t="str">
            <v>JOSIEL NEVES</v>
          </cell>
        </row>
        <row r="671">
          <cell r="V671" t="str">
            <v>Green House Tabaco</v>
          </cell>
          <cell r="W671" t="str">
            <v>Operações Tabaco</v>
          </cell>
          <cell r="X671" t="str">
            <v>CRISOSTOMO CASTRO</v>
          </cell>
          <cell r="Y671" t="str">
            <v>MATHEUS ALMEIDA</v>
          </cell>
          <cell r="Z671" t="str">
            <v>JOSIEL NEVES</v>
          </cell>
        </row>
        <row r="672">
          <cell r="V672" t="str">
            <v>Green House Tabaco</v>
          </cell>
          <cell r="W672" t="str">
            <v>Operações Tabaco</v>
          </cell>
          <cell r="X672" t="str">
            <v>CRISOSTOMO CASTRO</v>
          </cell>
          <cell r="Y672" t="str">
            <v>MATHEUS ALMEIDA</v>
          </cell>
          <cell r="Z672" t="str">
            <v>JOSIEL NEVES</v>
          </cell>
        </row>
        <row r="673">
          <cell r="V673" t="str">
            <v>Curing/Loading Tabaco</v>
          </cell>
          <cell r="W673" t="str">
            <v>Operações Tabaco</v>
          </cell>
          <cell r="X673" t="str">
            <v>CRISOSTOMO CASTRO</v>
          </cell>
          <cell r="Y673" t="str">
            <v>MATHEUS ALMEIDA</v>
          </cell>
          <cell r="Z673" t="str">
            <v>ADALTON/JANILSON RORIZ/MARIVALDO</v>
          </cell>
        </row>
        <row r="674">
          <cell r="V674" t="str">
            <v>Unloading Tabaco</v>
          </cell>
          <cell r="W674" t="str">
            <v>Operações Tabaco</v>
          </cell>
          <cell r="X674" t="str">
            <v>CRISOSTOMO CASTRO</v>
          </cell>
          <cell r="Y674" t="str">
            <v>MATHEUS ALMEIDA</v>
          </cell>
        </row>
        <row r="675">
          <cell r="V675" t="str">
            <v>Curing/Loading Tabaco</v>
          </cell>
          <cell r="W675" t="str">
            <v>Operações Tabaco</v>
          </cell>
          <cell r="X675" t="str">
            <v>CRISOSTOMO CASTRO</v>
          </cell>
          <cell r="Y675" t="str">
            <v>MATHEUS ALMEIDA</v>
          </cell>
          <cell r="Z675" t="str">
            <v>ADALTON/JANILSON RORIZ/MARIVALDO</v>
          </cell>
        </row>
        <row r="676">
          <cell r="V676" t="str">
            <v>Desponte Tabaco</v>
          </cell>
          <cell r="W676" t="str">
            <v>Operações Tabaco</v>
          </cell>
          <cell r="X676" t="str">
            <v>CRISOSTOMO CASTRO</v>
          </cell>
          <cell r="Y676" t="str">
            <v>YAN SILVA</v>
          </cell>
          <cell r="Z676" t="str">
            <v>JUNIO TEIXEIRA /GEOVANI RORIZ</v>
          </cell>
        </row>
        <row r="677">
          <cell r="V677" t="str">
            <v>Desponte Tabaco</v>
          </cell>
          <cell r="W677" t="str">
            <v>Operações Tabaco</v>
          </cell>
          <cell r="X677" t="str">
            <v>CRISOSTOMO CASTRO</v>
          </cell>
          <cell r="Y677" t="str">
            <v>YAN SILVA</v>
          </cell>
          <cell r="Z677" t="str">
            <v>JUNIO TEIXEIRA /GEOVANI RORIZ</v>
          </cell>
        </row>
        <row r="678">
          <cell r="V678" t="str">
            <v>Gestor Gente e Gestão - SSMA</v>
          </cell>
          <cell r="W678" t="str">
            <v>Gente e Gestão</v>
          </cell>
          <cell r="X678" t="str">
            <v xml:space="preserve">GISELE NASCENTE </v>
          </cell>
        </row>
        <row r="679">
          <cell r="V679" t="str">
            <v>Controle Fitosanitário - MIP</v>
          </cell>
          <cell r="W679" t="str">
            <v>Operações Tabaco</v>
          </cell>
          <cell r="X679" t="str">
            <v>CRISOSTOMO CASTRO</v>
          </cell>
          <cell r="Y679" t="str">
            <v>YAN SILVA</v>
          </cell>
          <cell r="Z679" t="str">
            <v>JUNIO TEIXEIRA /GEOVANI RORIZ</v>
          </cell>
        </row>
        <row r="680">
          <cell r="V680" t="str">
            <v>Curing/Loading Tabaco</v>
          </cell>
          <cell r="W680" t="str">
            <v>Operações Tabaco</v>
          </cell>
          <cell r="X680" t="str">
            <v>CRISOSTOMO CASTRO</v>
          </cell>
          <cell r="Y680" t="str">
            <v>MATHEUS ALMEIDA</v>
          </cell>
          <cell r="Z680" t="str">
            <v>ADALTON/JANILSON RORIZ/MARIVALDO</v>
          </cell>
        </row>
        <row r="681">
          <cell r="V681" t="str">
            <v>Curing/Loading Tabaco</v>
          </cell>
          <cell r="W681" t="str">
            <v>Operações Tabaco</v>
          </cell>
          <cell r="X681" t="str">
            <v>CRISOSTOMO CASTRO</v>
          </cell>
          <cell r="Y681" t="str">
            <v>MATHEUS ALMEIDA</v>
          </cell>
          <cell r="Z681" t="str">
            <v>ADALTON/JANILSON RORIZ/MARIVALDO</v>
          </cell>
        </row>
        <row r="682">
          <cell r="V682" t="str">
            <v>Curing/Loading Tabaco</v>
          </cell>
          <cell r="W682" t="str">
            <v>Operações Tabaco</v>
          </cell>
          <cell r="X682" t="str">
            <v>CRISOSTOMO CASTRO</v>
          </cell>
          <cell r="Y682" t="str">
            <v>MATHEUS ALMEIDA</v>
          </cell>
          <cell r="Z682" t="str">
            <v>ADALTON/JANILSON RORIZ/MARIVALDO</v>
          </cell>
        </row>
        <row r="683">
          <cell r="V683" t="str">
            <v>Colheita Tabaco</v>
          </cell>
          <cell r="W683" t="str">
            <v>Operações Tabaco</v>
          </cell>
          <cell r="X683" t="str">
            <v>CRISOSTOMO CASTRO</v>
          </cell>
          <cell r="Y683" t="str">
            <v>JOÃO FILHO</v>
          </cell>
          <cell r="Z683" t="str">
            <v>ALCENO JUNIOR/JOÃO MARCOS</v>
          </cell>
        </row>
        <row r="684">
          <cell r="V684" t="str">
            <v>Colheita Tabaco</v>
          </cell>
          <cell r="W684" t="str">
            <v>Operações Tabaco</v>
          </cell>
          <cell r="X684" t="str">
            <v>CRISOSTOMO CASTRO</v>
          </cell>
          <cell r="Y684" t="str">
            <v>JOÃO FILHO</v>
          </cell>
          <cell r="Z684" t="str">
            <v>ALCENO JUNIOR/JOÃO MARCOS</v>
          </cell>
        </row>
        <row r="685">
          <cell r="V685" t="str">
            <v>Desponte Tabaco</v>
          </cell>
          <cell r="W685" t="str">
            <v>Operações Tabaco</v>
          </cell>
          <cell r="X685" t="str">
            <v>CRISOSTOMO CASTRO</v>
          </cell>
          <cell r="Y685" t="str">
            <v>YAN SILVA</v>
          </cell>
          <cell r="Z685" t="str">
            <v>JUNIO TEIXEIRA /GEOVANI RORIZ</v>
          </cell>
        </row>
        <row r="686">
          <cell r="V686" t="str">
            <v>Unloading Tabaco</v>
          </cell>
          <cell r="W686" t="str">
            <v>Operações Tabaco</v>
          </cell>
          <cell r="X686" t="str">
            <v>CRISOSTOMO CASTRO</v>
          </cell>
          <cell r="Y686" t="str">
            <v>MATHEUS ALMEIDA</v>
          </cell>
        </row>
        <row r="687">
          <cell r="V687" t="str">
            <v>Manutenção Agrícola Tabaco</v>
          </cell>
          <cell r="W687" t="str">
            <v>Operações Tabaco</v>
          </cell>
          <cell r="X687" t="str">
            <v>RAFAEL XAVIER</v>
          </cell>
          <cell r="Y687" t="str">
            <v>FERNANDO GUILHERME</v>
          </cell>
          <cell r="Z687" t="str">
            <v>MARCELO DOURADO</v>
          </cell>
        </row>
        <row r="688">
          <cell r="V688" t="str">
            <v>Manutenção Agrícola Tabaco</v>
          </cell>
          <cell r="W688" t="str">
            <v>Operações Tabaco</v>
          </cell>
          <cell r="X688" t="str">
            <v>RAFAEL XAVIER</v>
          </cell>
          <cell r="Y688" t="str">
            <v>FERNANDO GUILHERME</v>
          </cell>
          <cell r="Z688" t="str">
            <v>MARCELO DOURADO</v>
          </cell>
        </row>
        <row r="689">
          <cell r="V689" t="str">
            <v>Curing/Loading Tabaco</v>
          </cell>
          <cell r="W689" t="str">
            <v>Operações Tabaco</v>
          </cell>
          <cell r="X689" t="str">
            <v>CRISOSTOMO CASTRO</v>
          </cell>
          <cell r="Y689" t="str">
            <v>MATHEUS ALMEIDA</v>
          </cell>
          <cell r="Z689" t="str">
            <v>ADALTON/JANILSON RORIZ/MARIVALDO</v>
          </cell>
        </row>
        <row r="690">
          <cell r="V690" t="str">
            <v>Melhoria Continua - Tabaco</v>
          </cell>
          <cell r="W690" t="str">
            <v>Gente e Gestão</v>
          </cell>
          <cell r="X690" t="str">
            <v xml:space="preserve">GISELE NASCENTE </v>
          </cell>
          <cell r="Y690" t="str">
            <v xml:space="preserve">GISELE NASCENTE </v>
          </cell>
          <cell r="Z690" t="str">
            <v>MARCOS OLIVEIRA</v>
          </cell>
        </row>
        <row r="691">
          <cell r="V691" t="str">
            <v>Desponte Tabaco</v>
          </cell>
          <cell r="W691" t="str">
            <v>Operações Tabaco</v>
          </cell>
          <cell r="X691" t="str">
            <v>CRISOSTOMO CASTRO</v>
          </cell>
          <cell r="Y691" t="str">
            <v>YAN SILVA</v>
          </cell>
          <cell r="Z691" t="str">
            <v>JUNIO TEIXEIRA /GEOVANI RORIZ</v>
          </cell>
        </row>
        <row r="692">
          <cell r="V692" t="str">
            <v>Desponte Tabaco</v>
          </cell>
          <cell r="W692" t="str">
            <v>Operações Tabaco</v>
          </cell>
          <cell r="X692" t="str">
            <v>CRISOSTOMO CASTRO</v>
          </cell>
          <cell r="Y692" t="str">
            <v>YAN SILVA</v>
          </cell>
          <cell r="Z692" t="str">
            <v>JUNIO TEIXEIRA /GEOVANI RORIZ</v>
          </cell>
        </row>
        <row r="693">
          <cell r="V693" t="str">
            <v>Curing/Loading Tabaco</v>
          </cell>
          <cell r="W693" t="str">
            <v>Operações Tabaco</v>
          </cell>
          <cell r="X693" t="str">
            <v>CRISOSTOMO CASTRO</v>
          </cell>
          <cell r="Y693" t="str">
            <v>MATHEUS ALMEIDA</v>
          </cell>
          <cell r="Z693" t="str">
            <v>ADALTON/JANILSON RORIZ/MARIVALDO</v>
          </cell>
        </row>
        <row r="694">
          <cell r="V694" t="str">
            <v>Manutenção Agrícola Tabaco</v>
          </cell>
          <cell r="W694" t="str">
            <v>Operações Tabaco</v>
          </cell>
          <cell r="X694" t="str">
            <v>RAFAEL XAVIER</v>
          </cell>
          <cell r="Y694" t="str">
            <v>FERNANDO GUILHERME</v>
          </cell>
          <cell r="Z694" t="str">
            <v>MARCELO DOURADO</v>
          </cell>
        </row>
        <row r="695">
          <cell r="V695" t="str">
            <v>Colheita Tabaco</v>
          </cell>
          <cell r="W695" t="str">
            <v>Operações Tabaco</v>
          </cell>
          <cell r="X695" t="str">
            <v>CRISOSTOMO CASTRO</v>
          </cell>
          <cell r="Y695" t="str">
            <v>JOÃO FILHO</v>
          </cell>
          <cell r="Z695" t="str">
            <v>ALCENO JUNIOR/JOÃO MARCOS</v>
          </cell>
        </row>
        <row r="696">
          <cell r="V696" t="str">
            <v>Transplante Tabaco</v>
          </cell>
          <cell r="W696" t="str">
            <v>Operações Tabaco</v>
          </cell>
          <cell r="X696" t="str">
            <v>CRISOSTOMO CASTRO</v>
          </cell>
          <cell r="Y696" t="str">
            <v>YAN SILVA</v>
          </cell>
          <cell r="Z696" t="str">
            <v>JUNIO TEIXEIRA /GEOVANI RORIZ</v>
          </cell>
        </row>
        <row r="697">
          <cell r="V697" t="str">
            <v>Colheita Tabaco</v>
          </cell>
          <cell r="W697" t="str">
            <v>Operações Tabaco</v>
          </cell>
          <cell r="X697" t="str">
            <v>CRISOSTOMO CASTRO</v>
          </cell>
          <cell r="Y697" t="str">
            <v>JOÃO FILHO</v>
          </cell>
          <cell r="Z697" t="str">
            <v>ALCENO JUNIOR/JOÃO MARCOS</v>
          </cell>
        </row>
        <row r="698">
          <cell r="V698" t="str">
            <v>Gestao Diretoria</v>
          </cell>
          <cell r="W698" t="str">
            <v>Operações Karitel</v>
          </cell>
          <cell r="X698" t="str">
            <v xml:space="preserve">CARLOS OLIVEIRA </v>
          </cell>
          <cell r="Y698" t="str">
            <v xml:space="preserve">CARLOS OLIVEIRA </v>
          </cell>
        </row>
        <row r="699">
          <cell r="V699" t="str">
            <v>Controle Fitosanitário - MIP</v>
          </cell>
          <cell r="W699" t="str">
            <v>Operações Tabaco</v>
          </cell>
          <cell r="X699" t="str">
            <v>CRISOSTOMO CASTRO</v>
          </cell>
          <cell r="Y699" t="str">
            <v>YAN SILVA</v>
          </cell>
          <cell r="Z699" t="str">
            <v>JUNIO TEIXEIRA /GEOVANI RORIZ</v>
          </cell>
        </row>
        <row r="700">
          <cell r="V700" t="str">
            <v>Manutenção Agrícola Tabaco</v>
          </cell>
          <cell r="W700" t="str">
            <v>Operações Tabaco</v>
          </cell>
          <cell r="X700" t="str">
            <v>RAFAEL XAVIER</v>
          </cell>
          <cell r="Y700" t="str">
            <v>FERNANDO GUILHERME</v>
          </cell>
          <cell r="Z700" t="str">
            <v>MARCELO DOURADO</v>
          </cell>
        </row>
        <row r="701">
          <cell r="V701" t="str">
            <v>Controle Fitosanitário - MIP</v>
          </cell>
          <cell r="W701" t="str">
            <v>Operações Tabaco</v>
          </cell>
          <cell r="X701" t="str">
            <v>CRISOSTOMO CASTRO</v>
          </cell>
          <cell r="Y701" t="str">
            <v>YAN SILVA</v>
          </cell>
          <cell r="Z701" t="str">
            <v>JUNIO TEIXEIRA /GEOVANI RORIZ</v>
          </cell>
        </row>
        <row r="702">
          <cell r="V702" t="str">
            <v>Unloading Tabaco</v>
          </cell>
          <cell r="W702" t="str">
            <v>Operações Tabaco</v>
          </cell>
          <cell r="X702" t="str">
            <v>CRISOSTOMO CASTRO</v>
          </cell>
          <cell r="Y702" t="str">
            <v>MATHEUS ALMEIDA</v>
          </cell>
        </row>
        <row r="703">
          <cell r="V703" t="str">
            <v>Curing/Loading Tabaco</v>
          </cell>
          <cell r="W703" t="str">
            <v>Operações Tabaco</v>
          </cell>
          <cell r="X703" t="str">
            <v>CRISOSTOMO CASTRO</v>
          </cell>
          <cell r="Y703" t="str">
            <v>MATHEUS ALMEIDA</v>
          </cell>
          <cell r="Z703" t="str">
            <v>ADALTON/JANILSON RORIZ/MARIVALDO</v>
          </cell>
        </row>
        <row r="704">
          <cell r="V704" t="str">
            <v>Curing/Loading Tabaco</v>
          </cell>
          <cell r="W704" t="str">
            <v>Operações Tabaco</v>
          </cell>
          <cell r="X704" t="str">
            <v>CRISOSTOMO CASTRO</v>
          </cell>
          <cell r="Y704" t="str">
            <v>MATHEUS ALMEIDA</v>
          </cell>
          <cell r="Z704" t="str">
            <v>ADALTON/JANILSON RORIZ/MARIVALDO</v>
          </cell>
        </row>
        <row r="705">
          <cell r="V705" t="str">
            <v>Curing/Loading Tabaco</v>
          </cell>
          <cell r="W705" t="str">
            <v>Operações Tabaco</v>
          </cell>
          <cell r="X705" t="str">
            <v>CRISOSTOMO CASTRO</v>
          </cell>
          <cell r="Y705" t="str">
            <v>MATHEUS ALMEIDA</v>
          </cell>
          <cell r="Z705" t="str">
            <v>ADALTON/JANILSON RORIZ/MARIVALDO</v>
          </cell>
        </row>
        <row r="706">
          <cell r="V706" t="str">
            <v>Manutenção Agrícola Tabaco</v>
          </cell>
          <cell r="W706" t="str">
            <v>Operações Tabaco</v>
          </cell>
          <cell r="X706" t="str">
            <v>RAFAEL XAVIER</v>
          </cell>
          <cell r="Y706" t="str">
            <v>FERNANDO GUILHERME</v>
          </cell>
          <cell r="Z706" t="str">
            <v>MARCELO DOURADO</v>
          </cell>
        </row>
        <row r="707">
          <cell r="V707" t="str">
            <v>Pulverização Tabaco</v>
          </cell>
          <cell r="W707" t="str">
            <v>Operações Tabaco</v>
          </cell>
          <cell r="X707" t="str">
            <v>CRISOSTOMO CASTRO</v>
          </cell>
          <cell r="Y707" t="str">
            <v>CRISOSTOMO CASTRO</v>
          </cell>
          <cell r="Z707" t="str">
            <v>JAILSON RORIZ</v>
          </cell>
        </row>
        <row r="708">
          <cell r="V708" t="str">
            <v>Controle Fitosanitário - MIP</v>
          </cell>
          <cell r="W708" t="str">
            <v>Operações Tabaco</v>
          </cell>
          <cell r="X708" t="str">
            <v>CRISOSTOMO CASTRO</v>
          </cell>
          <cell r="Y708" t="str">
            <v>YAN SILVA</v>
          </cell>
          <cell r="Z708" t="str">
            <v>JUNIO TEIXEIRA /GEOVANI RORIZ</v>
          </cell>
        </row>
        <row r="709">
          <cell r="V709" t="str">
            <v>Manutenção Industrial Tabaco</v>
          </cell>
          <cell r="W709" t="str">
            <v>Operações Tabaco</v>
          </cell>
          <cell r="X709" t="str">
            <v>CRISOSTOMO CASTRO</v>
          </cell>
          <cell r="Y709" t="str">
            <v>MATHEUS ALMEIDA</v>
          </cell>
          <cell r="Z709" t="str">
            <v>IURY GUEDES</v>
          </cell>
        </row>
        <row r="710">
          <cell r="V710" t="str">
            <v>Controle Fitosanitário - MIP</v>
          </cell>
          <cell r="W710" t="str">
            <v>Operações Tabaco</v>
          </cell>
          <cell r="X710" t="str">
            <v>CRISOSTOMO CASTRO</v>
          </cell>
          <cell r="Y710" t="str">
            <v>YAN SILVA</v>
          </cell>
          <cell r="Z710" t="str">
            <v>JUNIO TEIXEIRA /GEOVANI RORIZ</v>
          </cell>
        </row>
        <row r="711">
          <cell r="V711" t="str">
            <v>Transplante Tabaco</v>
          </cell>
          <cell r="W711" t="str">
            <v>Operações Tabaco</v>
          </cell>
          <cell r="X711" t="str">
            <v>CRISOSTOMO CASTRO</v>
          </cell>
          <cell r="Y711" t="str">
            <v>YAN SILVA</v>
          </cell>
          <cell r="Z711" t="str">
            <v>JUNIO TEIXEIRA /GEOVANI RORIZ</v>
          </cell>
        </row>
        <row r="712">
          <cell r="V712" t="str">
            <v>Curing/Loading Tabaco</v>
          </cell>
          <cell r="W712" t="str">
            <v>Operações Tabaco</v>
          </cell>
          <cell r="X712" t="str">
            <v>CRISOSTOMO CASTRO</v>
          </cell>
          <cell r="Y712" t="str">
            <v>MATHEUS ALMEIDA</v>
          </cell>
          <cell r="Z712" t="str">
            <v>ADALTON/JANILSON RORIZ/MARIVALDO</v>
          </cell>
        </row>
        <row r="713">
          <cell r="V713" t="str">
            <v>Preparo Solo Tabaco</v>
          </cell>
          <cell r="W713" t="str">
            <v>Operações Tabaco</v>
          </cell>
          <cell r="X713" t="str">
            <v>CRISOSTOMO CASTRO</v>
          </cell>
          <cell r="Y713" t="str">
            <v>JOÃO FILHO</v>
          </cell>
          <cell r="Z713" t="str">
            <v>ALCENO JUNIOR/JOÃO MARCOS</v>
          </cell>
        </row>
        <row r="714">
          <cell r="V714" t="str">
            <v>Manutenção Industrial Tabaco</v>
          </cell>
          <cell r="W714" t="str">
            <v>Operações Tabaco</v>
          </cell>
          <cell r="X714" t="str">
            <v>CRISOSTOMO CASTRO</v>
          </cell>
          <cell r="Y714" t="str">
            <v>MATHEUS ALMEIDA</v>
          </cell>
          <cell r="Z714" t="str">
            <v>IURY GUEDES</v>
          </cell>
        </row>
        <row r="715">
          <cell r="V715" t="str">
            <v>Curing/Loading Tabaco</v>
          </cell>
          <cell r="W715" t="str">
            <v>Operações Tabaco</v>
          </cell>
          <cell r="X715" t="str">
            <v>CRISOSTOMO CASTRO</v>
          </cell>
          <cell r="Y715" t="str">
            <v>MATHEUS ALMEIDA</v>
          </cell>
          <cell r="Z715" t="str">
            <v>ADALTON/JANILSON RORIZ/MARIVALDO</v>
          </cell>
        </row>
        <row r="716">
          <cell r="V716" t="str">
            <v>Green House Tabaco</v>
          </cell>
          <cell r="W716" t="str">
            <v>Operações Tabaco</v>
          </cell>
          <cell r="X716" t="str">
            <v>CRISOSTOMO CASTRO</v>
          </cell>
          <cell r="Y716" t="str">
            <v>MATHEUS ALMEIDA</v>
          </cell>
          <cell r="Z716" t="str">
            <v>JOSIEL NEVES</v>
          </cell>
        </row>
        <row r="717">
          <cell r="V717" t="str">
            <v>Curing/Loading Tabaco</v>
          </cell>
          <cell r="W717" t="str">
            <v>Operações Tabaco</v>
          </cell>
          <cell r="X717" t="str">
            <v>CRISOSTOMO CASTRO</v>
          </cell>
          <cell r="Y717" t="str">
            <v>MATHEUS ALMEIDA</v>
          </cell>
          <cell r="Z717" t="str">
            <v>ADALTON/JANILSON RORIZ/MARIVALDO</v>
          </cell>
        </row>
        <row r="718">
          <cell r="V718" t="str">
            <v>Curing/Loading Tabaco</v>
          </cell>
          <cell r="W718" t="str">
            <v>Operações Tabaco</v>
          </cell>
          <cell r="X718" t="str">
            <v>CRISOSTOMO CASTRO</v>
          </cell>
          <cell r="Y718" t="str">
            <v>MATHEUS ALMEIDA</v>
          </cell>
          <cell r="Z718" t="str">
            <v>ADALTON/JANILSON RORIZ/MARIVALDO</v>
          </cell>
        </row>
        <row r="719">
          <cell r="V719" t="str">
            <v>Controle Fitosanitário - MIP</v>
          </cell>
          <cell r="W719" t="str">
            <v>Operações Tabaco</v>
          </cell>
          <cell r="X719" t="str">
            <v>CRISOSTOMO CASTRO</v>
          </cell>
          <cell r="Y719" t="str">
            <v>YAN SILVA</v>
          </cell>
          <cell r="Z719" t="str">
            <v>JUNIO TEIXEIRA /GEOVANI RORIZ</v>
          </cell>
        </row>
        <row r="720">
          <cell r="V720" t="str">
            <v>Curing/Loading Tabaco</v>
          </cell>
          <cell r="W720" t="str">
            <v>Operações Tabaco</v>
          </cell>
          <cell r="X720" t="str">
            <v>CRISOSTOMO CASTRO</v>
          </cell>
          <cell r="Y720" t="str">
            <v>MATHEUS ALMEIDA</v>
          </cell>
          <cell r="Z720" t="str">
            <v>ADALTON/JANILSON RORIZ/MARIVALDO</v>
          </cell>
        </row>
        <row r="721">
          <cell r="V721" t="str">
            <v>Controle Fitosanitário - MIP</v>
          </cell>
          <cell r="W721" t="str">
            <v>Operações Tabaco</v>
          </cell>
          <cell r="X721" t="str">
            <v>CRISOSTOMO CASTRO</v>
          </cell>
          <cell r="Y721" t="str">
            <v>YAN SILVA</v>
          </cell>
          <cell r="Z721" t="str">
            <v>JUNIO TEIXEIRA /GEOVANI RORIZ</v>
          </cell>
        </row>
        <row r="722">
          <cell r="V722" t="str">
            <v>Transplante Tabaco</v>
          </cell>
          <cell r="W722" t="str">
            <v>Operações Tabaco</v>
          </cell>
          <cell r="X722" t="str">
            <v>CRISOSTOMO CASTRO</v>
          </cell>
          <cell r="Y722" t="str">
            <v>YAN SILVA</v>
          </cell>
          <cell r="Z722" t="str">
            <v>JUNIO TEIXEIRA /GEOVANI RORIZ</v>
          </cell>
        </row>
        <row r="723">
          <cell r="V723" t="str">
            <v>Unloading Tabaco</v>
          </cell>
          <cell r="W723" t="str">
            <v>Operações Tabaco</v>
          </cell>
          <cell r="X723" t="str">
            <v>CRISOSTOMO CASTRO</v>
          </cell>
          <cell r="Y723" t="str">
            <v>MATHEUS ALMEIDA</v>
          </cell>
        </row>
        <row r="724">
          <cell r="V724" t="str">
            <v>Manutenção Agrícola Tabaco</v>
          </cell>
          <cell r="W724" t="str">
            <v>Operações Tabaco</v>
          </cell>
          <cell r="X724" t="str">
            <v>RAFAEL XAVIER</v>
          </cell>
          <cell r="Y724" t="str">
            <v>FERNANDO GUILHERME</v>
          </cell>
          <cell r="Z724" t="str">
            <v>MARCELO DOURADO</v>
          </cell>
        </row>
        <row r="725">
          <cell r="V725" t="str">
            <v>Manutenção Industrial Tabaco</v>
          </cell>
          <cell r="W725" t="str">
            <v>Operações Tabaco</v>
          </cell>
          <cell r="X725" t="str">
            <v>CRISOSTOMO CASTRO</v>
          </cell>
          <cell r="Y725" t="str">
            <v>MATHEUS ALMEIDA</v>
          </cell>
          <cell r="Z725" t="str">
            <v>IURY GUEDES</v>
          </cell>
        </row>
        <row r="726">
          <cell r="V726" t="str">
            <v>Transplante Tabaco</v>
          </cell>
          <cell r="W726" t="str">
            <v>Operações Tabaco</v>
          </cell>
          <cell r="X726" t="str">
            <v>CRISOSTOMO CASTRO</v>
          </cell>
          <cell r="Y726" t="str">
            <v>YAN SILVA</v>
          </cell>
          <cell r="Z726" t="str">
            <v>JUNIO TEIXEIRA /GEOVANI RORIZ</v>
          </cell>
        </row>
        <row r="727">
          <cell r="V727" t="str">
            <v>Manutenção Industrial Tabaco</v>
          </cell>
          <cell r="W727" t="str">
            <v>Operações Tabaco</v>
          </cell>
          <cell r="X727" t="str">
            <v>CRISOSTOMO CASTRO</v>
          </cell>
          <cell r="Y727" t="str">
            <v>MATHEUS ALMEIDA</v>
          </cell>
          <cell r="Z727" t="str">
            <v>IURY GUEDES</v>
          </cell>
        </row>
        <row r="728">
          <cell r="V728" t="str">
            <v>Unloading Tabaco</v>
          </cell>
          <cell r="W728" t="str">
            <v>Operações Tabaco</v>
          </cell>
          <cell r="X728" t="str">
            <v>CRISOSTOMO CASTRO</v>
          </cell>
          <cell r="Y728" t="str">
            <v>MATHEUS ALMEIDA</v>
          </cell>
        </row>
        <row r="729">
          <cell r="V729" t="str">
            <v>Transplante Tabaco</v>
          </cell>
          <cell r="W729" t="str">
            <v>Operações Tabaco</v>
          </cell>
          <cell r="X729" t="str">
            <v>CRISOSTOMO CASTRO</v>
          </cell>
          <cell r="Y729" t="str">
            <v>YAN SILVA</v>
          </cell>
          <cell r="Z729" t="str">
            <v>JUNIO TEIXEIRA /GEOVANI RORIZ</v>
          </cell>
        </row>
        <row r="730">
          <cell r="V730" t="str">
            <v>Colheita Tabaco</v>
          </cell>
          <cell r="W730" t="str">
            <v>Operações Tabaco</v>
          </cell>
          <cell r="X730" t="str">
            <v>CRISOSTOMO CASTRO</v>
          </cell>
          <cell r="Y730" t="str">
            <v>JOÃO FILHO</v>
          </cell>
          <cell r="Z730" t="str">
            <v>ALCENO JUNIOR/JOÃO MARCOS</v>
          </cell>
        </row>
        <row r="731">
          <cell r="V731" t="str">
            <v>Curing/Loading Tabaco</v>
          </cell>
          <cell r="W731" t="str">
            <v>Operações Tabaco</v>
          </cell>
          <cell r="X731" t="str">
            <v>CRISOSTOMO CASTRO</v>
          </cell>
          <cell r="Y731" t="str">
            <v>MATHEUS ALMEIDA</v>
          </cell>
          <cell r="Z731" t="str">
            <v>ADALTON/JANILSON RORIZ/MARIVALDO</v>
          </cell>
        </row>
        <row r="732">
          <cell r="V732" t="str">
            <v>Unloading Tabaco</v>
          </cell>
          <cell r="W732" t="str">
            <v>Operações Tabaco</v>
          </cell>
          <cell r="X732" t="str">
            <v>CRISOSTOMO CASTRO</v>
          </cell>
          <cell r="Y732" t="str">
            <v>MATHEUS ALMEIDA</v>
          </cell>
        </row>
        <row r="733">
          <cell r="V733" t="str">
            <v>Unloading Tabaco</v>
          </cell>
          <cell r="W733" t="str">
            <v>Operações Tabaco</v>
          </cell>
          <cell r="X733" t="str">
            <v>CRISOSTOMO CASTRO</v>
          </cell>
          <cell r="Y733" t="str">
            <v>MATHEUS ALMEIDA</v>
          </cell>
        </row>
        <row r="734">
          <cell r="V734" t="str">
            <v>Controle Fitosanitário - MIP</v>
          </cell>
          <cell r="W734" t="str">
            <v>Operações Tabaco</v>
          </cell>
          <cell r="X734" t="str">
            <v>CRISOSTOMO CASTRO</v>
          </cell>
          <cell r="Y734" t="str">
            <v>YAN SILVA</v>
          </cell>
          <cell r="Z734" t="str">
            <v>JUNIO TEIXEIRA /GEOVANI RORIZ</v>
          </cell>
        </row>
        <row r="735">
          <cell r="V735" t="str">
            <v>Controle Fitosanitário - MIP</v>
          </cell>
          <cell r="W735" t="str">
            <v>Operações Tabaco</v>
          </cell>
          <cell r="X735" t="str">
            <v>CRISOSTOMO CASTRO</v>
          </cell>
          <cell r="Y735" t="str">
            <v>YAN SILVA</v>
          </cell>
          <cell r="Z735" t="str">
            <v>JUNIO TEIXEIRA /GEOVANI RORIZ</v>
          </cell>
        </row>
        <row r="736">
          <cell r="V736" t="str">
            <v>Transplante Tabaco</v>
          </cell>
          <cell r="W736" t="str">
            <v>Operações Tabaco</v>
          </cell>
          <cell r="X736" t="str">
            <v>CRISOSTOMO CASTRO</v>
          </cell>
          <cell r="Y736" t="str">
            <v>YAN SILVA</v>
          </cell>
          <cell r="Z736" t="str">
            <v>JUNIO TEIXEIRA /GEOVANI RORIZ</v>
          </cell>
        </row>
        <row r="737">
          <cell r="V737" t="str">
            <v>Transplante Tabaco</v>
          </cell>
          <cell r="W737" t="str">
            <v>Operações Tabaco</v>
          </cell>
          <cell r="X737" t="str">
            <v>CRISOSTOMO CASTRO</v>
          </cell>
          <cell r="Y737" t="str">
            <v>YAN SILVA</v>
          </cell>
          <cell r="Z737" t="str">
            <v>JUNIO TEIXEIRA /GEOVANI RORIZ</v>
          </cell>
        </row>
        <row r="738">
          <cell r="V738" t="str">
            <v>Desponte Tabaco</v>
          </cell>
          <cell r="W738" t="str">
            <v>Operações Tabaco</v>
          </cell>
          <cell r="X738" t="str">
            <v>CRISOSTOMO CASTRO</v>
          </cell>
          <cell r="Y738" t="str">
            <v>YAN SILVA</v>
          </cell>
          <cell r="Z738" t="str">
            <v>JUNIO TEIXEIRA /GEOVANI RORIZ</v>
          </cell>
        </row>
        <row r="739">
          <cell r="V739" t="str">
            <v>Transplante Tabaco</v>
          </cell>
          <cell r="W739" t="str">
            <v>Operações Tabaco</v>
          </cell>
          <cell r="X739" t="str">
            <v>CRISOSTOMO CASTRO</v>
          </cell>
          <cell r="Y739" t="str">
            <v>YAN SILVA</v>
          </cell>
          <cell r="Z739" t="str">
            <v>JUNIO TEIXEIRA /GEOVANI RORIZ</v>
          </cell>
        </row>
        <row r="740">
          <cell r="V740" t="str">
            <v>Curing/Loading Tabaco</v>
          </cell>
          <cell r="W740" t="str">
            <v>Operações Tabaco</v>
          </cell>
          <cell r="X740" t="str">
            <v>CRISOSTOMO CASTRO</v>
          </cell>
          <cell r="Y740" t="str">
            <v>MATHEUS ALMEIDA</v>
          </cell>
          <cell r="Z740" t="str">
            <v>ADALTON/JANILSON RORIZ/MARIVALDO</v>
          </cell>
        </row>
        <row r="741">
          <cell r="V741" t="str">
            <v>Green House Tabaco</v>
          </cell>
          <cell r="W741" t="str">
            <v>Operações Tabaco</v>
          </cell>
          <cell r="X741" t="str">
            <v>CRISOSTOMO CASTRO</v>
          </cell>
          <cell r="Y741" t="str">
            <v>MATHEUS ALMEIDA</v>
          </cell>
          <cell r="Z741" t="str">
            <v>JOSIEL NEVES</v>
          </cell>
        </row>
        <row r="742">
          <cell r="V742" t="str">
            <v>Colheita Tabaco</v>
          </cell>
          <cell r="W742" t="str">
            <v>Operações Tabaco</v>
          </cell>
          <cell r="X742" t="str">
            <v>CRISOSTOMO CASTRO</v>
          </cell>
          <cell r="Y742" t="str">
            <v>JOÃO FILHO</v>
          </cell>
          <cell r="Z742" t="str">
            <v>ALCENO JUNIOR/JOÃO MARCOS</v>
          </cell>
        </row>
        <row r="743">
          <cell r="V743" t="str">
            <v>Preparo Solo Tabaco</v>
          </cell>
          <cell r="W743" t="str">
            <v>Operações Tabaco</v>
          </cell>
          <cell r="X743" t="str">
            <v>CRISOSTOMO CASTRO</v>
          </cell>
          <cell r="Y743" t="str">
            <v>JOÃO FILHO</v>
          </cell>
          <cell r="Z743" t="str">
            <v>ALCENO JUNIOR/JOÃO MARCOS</v>
          </cell>
        </row>
        <row r="744">
          <cell r="V744" t="str">
            <v>Curing/Loading Tabaco</v>
          </cell>
          <cell r="W744" t="str">
            <v>Operações Tabaco</v>
          </cell>
          <cell r="X744" t="str">
            <v>CRISOSTOMO CASTRO</v>
          </cell>
          <cell r="Y744" t="str">
            <v>MATHEUS ALMEIDA</v>
          </cell>
          <cell r="Z744" t="str">
            <v>ADALTON/JANILSON RORIZ/MARIVALDO</v>
          </cell>
        </row>
        <row r="745">
          <cell r="V745" t="str">
            <v>Curing/Loading Tabaco</v>
          </cell>
          <cell r="W745" t="str">
            <v>Operações Tabaco</v>
          </cell>
          <cell r="X745" t="str">
            <v>CRISOSTOMO CASTRO</v>
          </cell>
          <cell r="Y745" t="str">
            <v>MATHEUS ALMEIDA</v>
          </cell>
          <cell r="Z745" t="str">
            <v>ADALTON/JANILSON RORIZ/MARIVALDO</v>
          </cell>
        </row>
        <row r="746">
          <cell r="V746" t="str">
            <v>Curing/Loading Tabaco</v>
          </cell>
          <cell r="W746" t="str">
            <v>Operações Tabaco</v>
          </cell>
          <cell r="X746" t="str">
            <v>CRISOSTOMO CASTRO</v>
          </cell>
          <cell r="Y746" t="str">
            <v>MATHEUS ALMEIDA</v>
          </cell>
          <cell r="Z746" t="str">
            <v>ADALTON/JANILSON RORIZ/MARIVALDO</v>
          </cell>
        </row>
        <row r="747">
          <cell r="V747" t="str">
            <v>Unloading Tabaco</v>
          </cell>
          <cell r="W747" t="str">
            <v>Operações Tabaco</v>
          </cell>
          <cell r="X747" t="str">
            <v>CRISOSTOMO CASTRO</v>
          </cell>
          <cell r="Y747" t="str">
            <v>MATHEUS ALMEIDA</v>
          </cell>
        </row>
        <row r="748">
          <cell r="V748" t="str">
            <v>Green House Tabaco</v>
          </cell>
          <cell r="W748" t="str">
            <v>Operações Tabaco</v>
          </cell>
          <cell r="X748" t="str">
            <v>CRISOSTOMO CASTRO</v>
          </cell>
          <cell r="Y748" t="str">
            <v>MATHEUS ALMEIDA</v>
          </cell>
          <cell r="Z748" t="str">
            <v>JOSIEL NEVES</v>
          </cell>
        </row>
        <row r="749">
          <cell r="V749" t="str">
            <v>Colheita Tabaco</v>
          </cell>
          <cell r="W749" t="str">
            <v>Operações Tabaco</v>
          </cell>
          <cell r="X749" t="str">
            <v>CRISOSTOMO CASTRO</v>
          </cell>
          <cell r="Y749" t="str">
            <v>JOÃO FILHO</v>
          </cell>
          <cell r="Z749" t="str">
            <v>ALCENO JUNIOR/JOÃO MARCOS</v>
          </cell>
        </row>
        <row r="750">
          <cell r="V750" t="str">
            <v>Desponte Tabaco</v>
          </cell>
          <cell r="W750" t="str">
            <v>Operações Tabaco</v>
          </cell>
          <cell r="X750" t="str">
            <v>CRISOSTOMO CASTRO</v>
          </cell>
          <cell r="Y750" t="str">
            <v>YAN SILVA</v>
          </cell>
          <cell r="Z750" t="str">
            <v>JUNIO TEIXEIRA /GEOVANI RORIZ</v>
          </cell>
        </row>
        <row r="751">
          <cell r="V751" t="str">
            <v>Curing/Loading Tabaco</v>
          </cell>
          <cell r="W751" t="str">
            <v>Operações Tabaco</v>
          </cell>
          <cell r="X751" t="str">
            <v>CRISOSTOMO CASTRO</v>
          </cell>
          <cell r="Y751" t="str">
            <v>MATHEUS ALMEIDA</v>
          </cell>
          <cell r="Z751" t="str">
            <v>ADALTON/JANILSON RORIZ/MARIVALDO</v>
          </cell>
        </row>
        <row r="752">
          <cell r="V752" t="str">
            <v>Unloading Tabaco</v>
          </cell>
          <cell r="W752" t="str">
            <v>Operações Tabaco</v>
          </cell>
          <cell r="X752" t="str">
            <v>CRISOSTOMO CASTRO</v>
          </cell>
          <cell r="Y752" t="str">
            <v>MATHEUS ALMEIDA</v>
          </cell>
        </row>
        <row r="753">
          <cell r="V753" t="str">
            <v>Desponte Tabaco</v>
          </cell>
          <cell r="W753" t="str">
            <v>Operações Tabaco</v>
          </cell>
          <cell r="X753" t="str">
            <v>CRISOSTOMO CASTRO</v>
          </cell>
          <cell r="Y753" t="str">
            <v>YAN SILVA</v>
          </cell>
          <cell r="Z753" t="str">
            <v>JUNIO TEIXEIRA /GEOVANI RORIZ</v>
          </cell>
        </row>
        <row r="754">
          <cell r="V754" t="str">
            <v>Biofabrica - Tabaco</v>
          </cell>
          <cell r="W754" t="str">
            <v>Operações Tabaco</v>
          </cell>
          <cell r="X754" t="str">
            <v>CRISOSTOMO CASTRO</v>
          </cell>
          <cell r="Y754" t="str">
            <v>MATHEUS ALMEIDA</v>
          </cell>
        </row>
        <row r="755">
          <cell r="V755" t="str">
            <v>Desponte Tabaco</v>
          </cell>
          <cell r="W755" t="str">
            <v>Operações Tabaco</v>
          </cell>
          <cell r="X755" t="str">
            <v>CRISOSTOMO CASTRO</v>
          </cell>
          <cell r="Y755" t="str">
            <v>YAN SILVA</v>
          </cell>
          <cell r="Z755" t="str">
            <v>JUNIO TEIXEIRA /GEOVANI RORIZ</v>
          </cell>
        </row>
        <row r="756">
          <cell r="V756" t="str">
            <v>Controle Fitosanitário - MIP</v>
          </cell>
          <cell r="W756" t="str">
            <v>Operações Tabaco</v>
          </cell>
          <cell r="X756" t="str">
            <v>CRISOSTOMO CASTRO</v>
          </cell>
          <cell r="Y756" t="str">
            <v>YAN SILVA</v>
          </cell>
          <cell r="Z756" t="str">
            <v>JUNIO TEIXEIRA /GEOVANI RORIZ</v>
          </cell>
        </row>
        <row r="757">
          <cell r="V757" t="str">
            <v>Green House Tabaco</v>
          </cell>
          <cell r="W757" t="str">
            <v>Operações Tabaco</v>
          </cell>
          <cell r="X757" t="str">
            <v>CRISOSTOMO CASTRO</v>
          </cell>
          <cell r="Y757" t="str">
            <v>MATHEUS ALMEIDA</v>
          </cell>
          <cell r="Z757" t="str">
            <v>JOSIEL NEVES</v>
          </cell>
        </row>
        <row r="758">
          <cell r="V758" t="str">
            <v>Transplante Tabaco</v>
          </cell>
          <cell r="W758" t="str">
            <v>Operações Tabaco</v>
          </cell>
          <cell r="X758" t="str">
            <v>CRISOSTOMO CASTRO</v>
          </cell>
          <cell r="Y758" t="str">
            <v>YAN SILVA</v>
          </cell>
          <cell r="Z758" t="str">
            <v>JUNIO TEIXEIRA /GEOVANI RORIZ</v>
          </cell>
        </row>
        <row r="759">
          <cell r="V759" t="str">
            <v>Curing/Loading Tabaco</v>
          </cell>
          <cell r="W759" t="str">
            <v>Operações Tabaco</v>
          </cell>
          <cell r="X759" t="str">
            <v>CRISOSTOMO CASTRO</v>
          </cell>
          <cell r="Y759" t="str">
            <v>MATHEUS ALMEIDA</v>
          </cell>
          <cell r="Z759" t="str">
            <v>ADALTON/JANILSON RORIZ/MARIVALDO</v>
          </cell>
        </row>
        <row r="760">
          <cell r="V760" t="str">
            <v>Transplante Tabaco</v>
          </cell>
          <cell r="W760" t="str">
            <v>Operações Tabaco</v>
          </cell>
          <cell r="X760" t="str">
            <v>CRISOSTOMO CASTRO</v>
          </cell>
          <cell r="Y760" t="str">
            <v>YAN SILVA</v>
          </cell>
          <cell r="Z760" t="str">
            <v>JUNIO TEIXEIRA /GEOVANI RORIZ</v>
          </cell>
        </row>
        <row r="761">
          <cell r="V761" t="str">
            <v>Unloading Tabaco</v>
          </cell>
          <cell r="W761" t="str">
            <v>Operações Tabaco</v>
          </cell>
          <cell r="X761" t="str">
            <v>CRISOSTOMO CASTRO</v>
          </cell>
          <cell r="Y761" t="str">
            <v>MATHEUS ALMEIDA</v>
          </cell>
        </row>
        <row r="762">
          <cell r="V762" t="str">
            <v>Desponte Tabaco</v>
          </cell>
          <cell r="W762" t="str">
            <v>Operações Tabaco</v>
          </cell>
          <cell r="X762" t="str">
            <v>CRISOSTOMO CASTRO</v>
          </cell>
          <cell r="Y762" t="str">
            <v>YAN SILVA</v>
          </cell>
          <cell r="Z762" t="str">
            <v>JUNIO TEIXEIRA /GEOVANI RORIZ</v>
          </cell>
        </row>
        <row r="763">
          <cell r="V763" t="str">
            <v>Green House Tabaco</v>
          </cell>
          <cell r="W763" t="str">
            <v>Operações Tabaco</v>
          </cell>
          <cell r="X763" t="str">
            <v>CRISOSTOMO CASTRO</v>
          </cell>
          <cell r="Y763" t="str">
            <v>MATHEUS ALMEIDA</v>
          </cell>
          <cell r="Z763" t="str">
            <v>JOSIEL NEVES</v>
          </cell>
        </row>
        <row r="764">
          <cell r="V764" t="str">
            <v>Colheita Tabaco</v>
          </cell>
          <cell r="W764" t="str">
            <v>Operações Tabaco</v>
          </cell>
          <cell r="X764" t="str">
            <v>CRISOSTOMO CASTRO</v>
          </cell>
          <cell r="Y764" t="str">
            <v>JOÃO FILHO</v>
          </cell>
          <cell r="Z764" t="str">
            <v>ALCENO JUNIOR/JOÃO MARCOS</v>
          </cell>
        </row>
        <row r="765">
          <cell r="V765" t="str">
            <v>Desponte Tabaco</v>
          </cell>
          <cell r="W765" t="str">
            <v>Operações Tabaco</v>
          </cell>
          <cell r="X765" t="str">
            <v>CRISOSTOMO CASTRO</v>
          </cell>
          <cell r="Y765" t="str">
            <v>YAN SILVA</v>
          </cell>
          <cell r="Z765" t="str">
            <v>JUNIO TEIXEIRA /GEOVANI RORIZ</v>
          </cell>
        </row>
        <row r="766">
          <cell r="V766" t="str">
            <v>Controle Fitosanitário - MIP</v>
          </cell>
          <cell r="W766" t="str">
            <v>Operações Tabaco</v>
          </cell>
          <cell r="X766" t="str">
            <v>CRISOSTOMO CASTRO</v>
          </cell>
          <cell r="Y766" t="str">
            <v>YAN SILVA</v>
          </cell>
          <cell r="Z766" t="str">
            <v>JUNIO TEIXEIRA /GEOVANI RORIZ</v>
          </cell>
        </row>
        <row r="767">
          <cell r="V767" t="str">
            <v>Manutenção Agrícola Tabaco</v>
          </cell>
          <cell r="W767" t="str">
            <v>Operações Tabaco</v>
          </cell>
          <cell r="X767" t="str">
            <v>RAFAEL XAVIER</v>
          </cell>
          <cell r="Y767" t="str">
            <v>FERNANDO GUILHERME</v>
          </cell>
          <cell r="Z767" t="str">
            <v>MARCELO DOURADO</v>
          </cell>
        </row>
        <row r="768">
          <cell r="V768" t="str">
            <v>Curing/Loading Tabaco</v>
          </cell>
          <cell r="W768" t="str">
            <v>Operações Tabaco</v>
          </cell>
          <cell r="X768" t="str">
            <v>CRISOSTOMO CASTRO</v>
          </cell>
          <cell r="Y768" t="str">
            <v>MATHEUS ALMEIDA</v>
          </cell>
          <cell r="Z768" t="str">
            <v>ADALTON/JANILSON RORIZ/MARIVALDO</v>
          </cell>
        </row>
        <row r="769">
          <cell r="V769" t="str">
            <v>Unloading Tabaco</v>
          </cell>
          <cell r="W769" t="str">
            <v>Operações Tabaco</v>
          </cell>
          <cell r="X769" t="str">
            <v>CRISOSTOMO CASTRO</v>
          </cell>
          <cell r="Y769" t="str">
            <v>MATHEUS ALMEIDA</v>
          </cell>
        </row>
        <row r="770">
          <cell r="V770" t="str">
            <v>Curing/Loading Tabaco</v>
          </cell>
          <cell r="W770" t="str">
            <v>Operações Tabaco</v>
          </cell>
          <cell r="X770" t="str">
            <v>CRISOSTOMO CASTRO</v>
          </cell>
          <cell r="Y770" t="str">
            <v>MATHEUS ALMEIDA</v>
          </cell>
          <cell r="Z770" t="str">
            <v>ADALTON/JANILSON RORIZ/MARIVALDO</v>
          </cell>
        </row>
        <row r="771">
          <cell r="V771" t="str">
            <v>Transplante Tabaco</v>
          </cell>
          <cell r="W771" t="str">
            <v>Operações Tabaco</v>
          </cell>
          <cell r="X771" t="str">
            <v>CRISOSTOMO CASTRO</v>
          </cell>
          <cell r="Y771" t="str">
            <v>YAN SILVA</v>
          </cell>
          <cell r="Z771" t="str">
            <v>JUNIO TEIXEIRA /GEOVANI RORIZ</v>
          </cell>
        </row>
        <row r="772">
          <cell r="V772" t="str">
            <v>Manutenção Agrícola Tabaco</v>
          </cell>
          <cell r="W772" t="str">
            <v>Operações Tabaco</v>
          </cell>
          <cell r="X772" t="str">
            <v>RAFAEL XAVIER</v>
          </cell>
          <cell r="Y772" t="str">
            <v>FERNANDO GUILHERME</v>
          </cell>
          <cell r="Z772" t="str">
            <v>MARCELO DOURADO</v>
          </cell>
        </row>
        <row r="773">
          <cell r="V773" t="str">
            <v>Curing/Loading Tabaco</v>
          </cell>
          <cell r="W773" t="str">
            <v>Operações Tabaco</v>
          </cell>
          <cell r="X773" t="str">
            <v>CRISOSTOMO CASTRO</v>
          </cell>
          <cell r="Y773" t="str">
            <v>MATHEUS ALMEIDA</v>
          </cell>
          <cell r="Z773" t="str">
            <v>ADALTON/JANILSON RORIZ/MARIVALDO</v>
          </cell>
        </row>
        <row r="774">
          <cell r="V774" t="str">
            <v>Curing/Loading Tabaco</v>
          </cell>
          <cell r="W774" t="str">
            <v>Operações Tabaco</v>
          </cell>
          <cell r="X774" t="str">
            <v>CRISOSTOMO CASTRO</v>
          </cell>
          <cell r="Y774" t="str">
            <v>MATHEUS ALMEIDA</v>
          </cell>
          <cell r="Z774" t="str">
            <v>ADALTON/JANILSON RORIZ/MARIVALDO</v>
          </cell>
        </row>
        <row r="775">
          <cell r="V775" t="str">
            <v>Desponte Tabaco</v>
          </cell>
          <cell r="W775" t="str">
            <v>Operações Tabaco</v>
          </cell>
          <cell r="X775" t="str">
            <v>CRISOSTOMO CASTRO</v>
          </cell>
          <cell r="Y775" t="str">
            <v>YAN SILVA</v>
          </cell>
          <cell r="Z775" t="str">
            <v>JUNIO TEIXEIRA /GEOVANI RORIZ</v>
          </cell>
        </row>
        <row r="776">
          <cell r="V776" t="str">
            <v>Transplante Tabaco</v>
          </cell>
          <cell r="W776" t="str">
            <v>Operações Tabaco</v>
          </cell>
          <cell r="X776" t="str">
            <v>CRISOSTOMO CASTRO</v>
          </cell>
          <cell r="Y776" t="str">
            <v>YAN SILVA</v>
          </cell>
          <cell r="Z776" t="str">
            <v>JUNIO TEIXEIRA /GEOVANI RORIZ</v>
          </cell>
        </row>
        <row r="777">
          <cell r="V777" t="str">
            <v>Transplante Tabaco</v>
          </cell>
          <cell r="W777" t="str">
            <v>Operações Tabaco</v>
          </cell>
          <cell r="X777" t="str">
            <v>CRISOSTOMO CASTRO</v>
          </cell>
          <cell r="Y777" t="str">
            <v>YAN SILVA</v>
          </cell>
          <cell r="Z777" t="str">
            <v>JUNIO TEIXEIRA /GEOVANI RORIZ</v>
          </cell>
        </row>
        <row r="778">
          <cell r="V778" t="str">
            <v>Transplante Tabaco</v>
          </cell>
          <cell r="W778" t="str">
            <v>Operações Tabaco</v>
          </cell>
          <cell r="X778" t="str">
            <v>CRISOSTOMO CASTRO</v>
          </cell>
          <cell r="Y778" t="str">
            <v>YAN SILVA</v>
          </cell>
          <cell r="Z778" t="str">
            <v>JUNIO TEIXEIRA /GEOVANI RORIZ</v>
          </cell>
        </row>
        <row r="779">
          <cell r="V779" t="str">
            <v>Transplante Tabaco</v>
          </cell>
          <cell r="W779" t="str">
            <v>Operações Tabaco</v>
          </cell>
          <cell r="X779" t="str">
            <v>CRISOSTOMO CASTRO</v>
          </cell>
          <cell r="Y779" t="str">
            <v>YAN SILVA</v>
          </cell>
          <cell r="Z779" t="str">
            <v>JUNIO TEIXEIRA /GEOVANI RORIZ</v>
          </cell>
        </row>
        <row r="780">
          <cell r="V780" t="str">
            <v>Colheita Tabaco</v>
          </cell>
          <cell r="W780" t="str">
            <v>Operações Tabaco</v>
          </cell>
          <cell r="X780" t="str">
            <v>CRISOSTOMO CASTRO</v>
          </cell>
          <cell r="Y780" t="str">
            <v>JOÃO FILHO</v>
          </cell>
          <cell r="Z780" t="str">
            <v>ALCENO JUNIOR/JOÃO MARCOS</v>
          </cell>
        </row>
        <row r="781">
          <cell r="V781" t="str">
            <v>Curing/Loading Tabaco</v>
          </cell>
          <cell r="W781" t="str">
            <v>Operações Tabaco</v>
          </cell>
          <cell r="X781" t="str">
            <v>CRISOSTOMO CASTRO</v>
          </cell>
          <cell r="Y781" t="str">
            <v>MATHEUS ALMEIDA</v>
          </cell>
          <cell r="Z781" t="str">
            <v>ADALTON/JANILSON RORIZ/MARIVALDO</v>
          </cell>
        </row>
        <row r="782">
          <cell r="V782" t="str">
            <v>Curing/Loading Tabaco</v>
          </cell>
          <cell r="W782" t="str">
            <v>Operações Tabaco</v>
          </cell>
          <cell r="X782" t="str">
            <v>CRISOSTOMO CASTRO</v>
          </cell>
          <cell r="Y782" t="str">
            <v>MATHEUS ALMEIDA</v>
          </cell>
          <cell r="Z782" t="str">
            <v>ADALTON/JANILSON RORIZ/MARIVALDO</v>
          </cell>
        </row>
        <row r="783">
          <cell r="V783" t="str">
            <v>Curing/Loading Tabaco</v>
          </cell>
          <cell r="W783" t="str">
            <v>Operações Tabaco</v>
          </cell>
          <cell r="X783" t="str">
            <v>CRISOSTOMO CASTRO</v>
          </cell>
          <cell r="Y783" t="str">
            <v>MATHEUS ALMEIDA</v>
          </cell>
          <cell r="Z783" t="str">
            <v>ADALTON/JANILSON RORIZ/MARIVALDO</v>
          </cell>
        </row>
        <row r="784">
          <cell r="V784" t="str">
            <v>Colheita Tabaco</v>
          </cell>
          <cell r="W784" t="str">
            <v>Operações Tabaco</v>
          </cell>
          <cell r="X784" t="str">
            <v>CRISOSTOMO CASTRO</v>
          </cell>
          <cell r="Y784" t="str">
            <v>JOÃO FILHO</v>
          </cell>
          <cell r="Z784" t="str">
            <v>ALCENO JUNIOR/JOÃO MARCOS</v>
          </cell>
        </row>
        <row r="785">
          <cell r="V785" t="str">
            <v>Unloading Tabaco</v>
          </cell>
          <cell r="W785" t="str">
            <v>Operações Tabaco</v>
          </cell>
          <cell r="X785" t="str">
            <v>CRISOSTOMO CASTRO</v>
          </cell>
          <cell r="Y785" t="str">
            <v>MATHEUS ALMEIDA</v>
          </cell>
        </row>
        <row r="786">
          <cell r="V786" t="str">
            <v>Transplante Tabaco</v>
          </cell>
          <cell r="W786" t="str">
            <v>Operações Tabaco</v>
          </cell>
          <cell r="X786" t="str">
            <v>CRISOSTOMO CASTRO</v>
          </cell>
          <cell r="Y786" t="str">
            <v>YAN SILVA</v>
          </cell>
          <cell r="Z786" t="str">
            <v>JUNIO TEIXEIRA /GEOVANI RORIZ</v>
          </cell>
        </row>
        <row r="787">
          <cell r="V787" t="str">
            <v>Unloading Tabaco</v>
          </cell>
          <cell r="W787" t="str">
            <v>Operações Tabaco</v>
          </cell>
          <cell r="X787" t="str">
            <v>CRISOSTOMO CASTRO</v>
          </cell>
          <cell r="Y787" t="str">
            <v>MATHEUS ALMEIDA</v>
          </cell>
        </row>
        <row r="788">
          <cell r="V788" t="str">
            <v>Preparo Solo Tabaco</v>
          </cell>
          <cell r="W788" t="str">
            <v>Operações Tabaco</v>
          </cell>
          <cell r="X788" t="str">
            <v>CRISOSTOMO CASTRO</v>
          </cell>
          <cell r="Y788" t="str">
            <v>JOÃO FILHO</v>
          </cell>
          <cell r="Z788" t="str">
            <v>ALCENO JUNIOR/JOÃO MARCOS</v>
          </cell>
        </row>
        <row r="789">
          <cell r="V789" t="str">
            <v>Green House Tabaco</v>
          </cell>
          <cell r="W789" t="str">
            <v>Operações Tabaco</v>
          </cell>
          <cell r="X789" t="str">
            <v>CRISOSTOMO CASTRO</v>
          </cell>
          <cell r="Y789" t="str">
            <v>MATHEUS ALMEIDA</v>
          </cell>
          <cell r="Z789" t="str">
            <v>JOSIEL NEVES</v>
          </cell>
        </row>
        <row r="790">
          <cell r="V790" t="str">
            <v>Colheita Tabaco</v>
          </cell>
          <cell r="W790" t="str">
            <v>Operações Tabaco</v>
          </cell>
          <cell r="X790" t="str">
            <v>CRISOSTOMO CASTRO</v>
          </cell>
          <cell r="Y790" t="str">
            <v>JOÃO FILHO</v>
          </cell>
          <cell r="Z790" t="str">
            <v>ALCENO JUNIOR/JOÃO MARCOS</v>
          </cell>
        </row>
        <row r="791">
          <cell r="V791" t="str">
            <v>Unloading Tabaco</v>
          </cell>
          <cell r="W791" t="str">
            <v>Operações Tabaco</v>
          </cell>
          <cell r="X791" t="str">
            <v>CRISOSTOMO CASTRO</v>
          </cell>
          <cell r="Y791" t="str">
            <v>MATHEUS ALMEIDA</v>
          </cell>
        </row>
        <row r="792">
          <cell r="V792" t="str">
            <v>Colheita Tabaco</v>
          </cell>
          <cell r="W792" t="str">
            <v>Operações Tabaco</v>
          </cell>
          <cell r="X792" t="str">
            <v>CRISOSTOMO CASTRO</v>
          </cell>
          <cell r="Y792" t="str">
            <v>JOÃO FILHO</v>
          </cell>
          <cell r="Z792" t="str">
            <v>ALCENO JUNIOR/JOÃO MARCOS</v>
          </cell>
        </row>
        <row r="793">
          <cell r="V793" t="str">
            <v>Desponte Tabaco</v>
          </cell>
          <cell r="W793" t="str">
            <v>Operações Tabaco</v>
          </cell>
          <cell r="X793" t="str">
            <v>CRISOSTOMO CASTRO</v>
          </cell>
          <cell r="Y793" t="str">
            <v>YAN SILVA</v>
          </cell>
          <cell r="Z793" t="str">
            <v>JUNIO TEIXEIRA /GEOVANI RORIZ</v>
          </cell>
        </row>
        <row r="794">
          <cell r="V794" t="str">
            <v>Manutenção Industrial Tabaco</v>
          </cell>
          <cell r="W794" t="str">
            <v>Operações Tabaco</v>
          </cell>
          <cell r="X794" t="str">
            <v>CRISOSTOMO CASTRO</v>
          </cell>
          <cell r="Y794" t="str">
            <v>MATHEUS ALMEIDA</v>
          </cell>
          <cell r="Z794" t="str">
            <v>IURY GUEDES</v>
          </cell>
        </row>
        <row r="795">
          <cell r="V795" t="str">
            <v>Preparo Solo Tabaco</v>
          </cell>
          <cell r="W795" t="str">
            <v>Operações Tabaco</v>
          </cell>
          <cell r="X795" t="str">
            <v>CRISOSTOMO CASTRO</v>
          </cell>
          <cell r="Y795" t="str">
            <v>JOÃO FILHO</v>
          </cell>
          <cell r="Z795" t="str">
            <v>ALCENO JUNIOR/JOÃO MARCOS</v>
          </cell>
        </row>
        <row r="796">
          <cell r="V796" t="str">
            <v>Preparo Solo Tabaco</v>
          </cell>
          <cell r="W796" t="str">
            <v>Operações Tabaco</v>
          </cell>
          <cell r="X796" t="str">
            <v>CRISOSTOMO CASTRO</v>
          </cell>
          <cell r="Y796" t="str">
            <v>JOÃO FILHO</v>
          </cell>
          <cell r="Z796" t="str">
            <v>ALCENO JUNIOR/JOÃO MARCOS</v>
          </cell>
        </row>
        <row r="797">
          <cell r="V797" t="str">
            <v>Desponte Tabaco</v>
          </cell>
          <cell r="W797" t="str">
            <v>Operações Tabaco</v>
          </cell>
          <cell r="X797" t="str">
            <v>CRISOSTOMO CASTRO</v>
          </cell>
          <cell r="Y797" t="str">
            <v>YAN SILVA</v>
          </cell>
          <cell r="Z797" t="str">
            <v>JUNIO TEIXEIRA /GEOVANI RORIZ</v>
          </cell>
        </row>
        <row r="798">
          <cell r="V798" t="str">
            <v>Pulverização Tabaco</v>
          </cell>
          <cell r="W798" t="str">
            <v>Operações Tabaco</v>
          </cell>
          <cell r="X798" t="str">
            <v>CRISOSTOMO CASTRO</v>
          </cell>
          <cell r="Y798" t="str">
            <v>CRISOSTOMO CASTRO</v>
          </cell>
          <cell r="Z798" t="str">
            <v>JAILSON RORIZ</v>
          </cell>
        </row>
        <row r="799">
          <cell r="V799" t="str">
            <v>Colheita Tabaco</v>
          </cell>
          <cell r="W799" t="str">
            <v>Operações Tabaco</v>
          </cell>
          <cell r="X799" t="str">
            <v>CRISOSTOMO CASTRO</v>
          </cell>
          <cell r="Y799" t="str">
            <v>JOÃO FILHO</v>
          </cell>
          <cell r="Z799" t="str">
            <v>ALCENO JUNIOR/JOÃO MARCOS</v>
          </cell>
        </row>
        <row r="800">
          <cell r="V800" t="str">
            <v>Unloading Tabaco</v>
          </cell>
          <cell r="W800" t="str">
            <v>Operações Tabaco</v>
          </cell>
          <cell r="X800" t="str">
            <v>CRISOSTOMO CASTRO</v>
          </cell>
          <cell r="Y800" t="str">
            <v>MATHEUS ALMEIDA</v>
          </cell>
        </row>
        <row r="801">
          <cell r="V801" t="str">
            <v>Manutenção Agrícola Tabaco</v>
          </cell>
          <cell r="W801" t="str">
            <v>Operações Tabaco</v>
          </cell>
          <cell r="X801" t="str">
            <v>RAFAEL XAVIER</v>
          </cell>
          <cell r="Y801" t="str">
            <v>FERNANDO GUILHERME</v>
          </cell>
          <cell r="Z801" t="str">
            <v>MARCELO DOURADO</v>
          </cell>
        </row>
        <row r="802">
          <cell r="V802" t="str">
            <v>Desponte Tabaco</v>
          </cell>
          <cell r="W802" t="str">
            <v>Operações Tabaco</v>
          </cell>
          <cell r="X802" t="str">
            <v>CRISOSTOMO CASTRO</v>
          </cell>
          <cell r="Y802" t="str">
            <v>YAN SILVA</v>
          </cell>
          <cell r="Z802" t="str">
            <v>JUNIO TEIXEIRA /GEOVANI RORIZ</v>
          </cell>
        </row>
        <row r="803">
          <cell r="V803" t="str">
            <v>Transplante Tabaco</v>
          </cell>
          <cell r="W803" t="str">
            <v>Operações Tabaco</v>
          </cell>
          <cell r="X803" t="str">
            <v>CRISOSTOMO CASTRO</v>
          </cell>
          <cell r="Y803" t="str">
            <v>YAN SILVA</v>
          </cell>
          <cell r="Z803" t="str">
            <v>JUNIO TEIXEIRA /GEOVANI RORIZ</v>
          </cell>
        </row>
        <row r="804">
          <cell r="V804" t="str">
            <v>Green House Tabaco</v>
          </cell>
          <cell r="W804" t="str">
            <v>Operações Tabaco</v>
          </cell>
          <cell r="X804" t="str">
            <v>CRISOSTOMO CASTRO</v>
          </cell>
          <cell r="Y804" t="str">
            <v>MATHEUS ALMEIDA</v>
          </cell>
          <cell r="Z804" t="str">
            <v>JOSIEL NEVES</v>
          </cell>
        </row>
        <row r="805">
          <cell r="V805" t="str">
            <v>Colheita Tabaco</v>
          </cell>
          <cell r="W805" t="str">
            <v>Operações Tabaco</v>
          </cell>
          <cell r="X805" t="str">
            <v>CRISOSTOMO CASTRO</v>
          </cell>
          <cell r="Y805" t="str">
            <v>JOÃO FILHO</v>
          </cell>
          <cell r="Z805" t="str">
            <v>ALCENO JUNIOR/JOÃO MARCOS</v>
          </cell>
        </row>
        <row r="806">
          <cell r="V806" t="str">
            <v>Preparo Solo Tabaco</v>
          </cell>
          <cell r="W806" t="str">
            <v>Operações Tabaco</v>
          </cell>
          <cell r="X806" t="str">
            <v>CRISOSTOMO CASTRO</v>
          </cell>
          <cell r="Y806" t="str">
            <v>JOÃO FILHO</v>
          </cell>
          <cell r="Z806" t="str">
            <v>ALCENO JUNIOR/JOÃO MARCOS</v>
          </cell>
        </row>
        <row r="807">
          <cell r="V807" t="str">
            <v>Manutenção Industrial Tabaco</v>
          </cell>
          <cell r="W807" t="str">
            <v>Operações Tabaco</v>
          </cell>
          <cell r="X807" t="str">
            <v>CRISOSTOMO CASTRO</v>
          </cell>
          <cell r="Y807" t="str">
            <v>MATHEUS ALMEIDA</v>
          </cell>
          <cell r="Z807" t="str">
            <v>IURY GUEDES</v>
          </cell>
        </row>
        <row r="808">
          <cell r="V808" t="str">
            <v>Transplante Tabaco</v>
          </cell>
          <cell r="W808" t="str">
            <v>Operações Tabaco</v>
          </cell>
          <cell r="X808" t="str">
            <v>CRISOSTOMO CASTRO</v>
          </cell>
          <cell r="Y808" t="str">
            <v>YAN SILVA</v>
          </cell>
          <cell r="Z808" t="str">
            <v>JUNIO TEIXEIRA /GEOVANI RORIZ</v>
          </cell>
        </row>
        <row r="809">
          <cell r="V809" t="str">
            <v>Transplante Tabaco</v>
          </cell>
          <cell r="W809" t="str">
            <v>Operações Tabaco</v>
          </cell>
          <cell r="X809" t="str">
            <v>CRISOSTOMO CASTRO</v>
          </cell>
          <cell r="Y809" t="str">
            <v>YAN SILVA</v>
          </cell>
          <cell r="Z809" t="str">
            <v>JUNIO TEIXEIRA /GEOVANI RORIZ</v>
          </cell>
        </row>
        <row r="810">
          <cell r="V810" t="str">
            <v>Controle Fitosanitário - MIP</v>
          </cell>
          <cell r="W810" t="str">
            <v>Operações Tabaco</v>
          </cell>
          <cell r="X810" t="str">
            <v>CRISOSTOMO CASTRO</v>
          </cell>
          <cell r="Y810" t="str">
            <v>YAN SILVA</v>
          </cell>
          <cell r="Z810" t="str">
            <v>JUNIO TEIXEIRA /GEOVANI RORIZ</v>
          </cell>
        </row>
        <row r="811">
          <cell r="V811" t="str">
            <v>Curing/Loading Tabaco</v>
          </cell>
          <cell r="W811" t="str">
            <v>Operações Tabaco</v>
          </cell>
          <cell r="X811" t="str">
            <v>CRISOSTOMO CASTRO</v>
          </cell>
          <cell r="Y811" t="str">
            <v>MATHEUS ALMEIDA</v>
          </cell>
          <cell r="Z811" t="str">
            <v>ADALTON/JANILSON RORIZ/MARIVALDO</v>
          </cell>
        </row>
        <row r="812">
          <cell r="V812" t="str">
            <v>Colheita Tabaco</v>
          </cell>
          <cell r="W812" t="str">
            <v>Operações Tabaco</v>
          </cell>
          <cell r="X812" t="str">
            <v>CRISOSTOMO CASTRO</v>
          </cell>
          <cell r="Y812" t="str">
            <v>JOÃO FILHO</v>
          </cell>
          <cell r="Z812" t="str">
            <v>ALCENO JUNIOR/JOÃO MARCOS</v>
          </cell>
        </row>
        <row r="813">
          <cell r="V813" t="str">
            <v>Curing/Loading Tabaco</v>
          </cell>
          <cell r="W813" t="str">
            <v>Operações Tabaco</v>
          </cell>
          <cell r="X813" t="str">
            <v>CRISOSTOMO CASTRO</v>
          </cell>
          <cell r="Y813" t="str">
            <v>MATHEUS ALMEIDA</v>
          </cell>
          <cell r="Z813" t="str">
            <v>ADALTON/JANILSON RORIZ/MARIVALDO</v>
          </cell>
        </row>
        <row r="814">
          <cell r="V814" t="str">
            <v>Manutenção Industrial Tabaco</v>
          </cell>
          <cell r="W814" t="str">
            <v>Operações Tabaco</v>
          </cell>
          <cell r="X814" t="str">
            <v>CRISOSTOMO CASTRO</v>
          </cell>
          <cell r="Y814" t="str">
            <v>MATHEUS ALMEIDA</v>
          </cell>
          <cell r="Z814" t="str">
            <v>IURY GUEDES</v>
          </cell>
        </row>
        <row r="815">
          <cell r="V815" t="str">
            <v>Planejamento Irrigação Grãos</v>
          </cell>
          <cell r="W815" t="str">
            <v>Operações Karitel</v>
          </cell>
          <cell r="X815" t="str">
            <v>PAULO BONIFÁCIO</v>
          </cell>
          <cell r="Y815" t="str">
            <v>PAULO BONIFÁCIO</v>
          </cell>
          <cell r="Z815" t="str">
            <v xml:space="preserve">LEONARDO SANTOS </v>
          </cell>
        </row>
        <row r="816">
          <cell r="V816" t="str">
            <v>Pulverização Tabaco</v>
          </cell>
          <cell r="W816" t="str">
            <v>Operações Tabaco</v>
          </cell>
          <cell r="X816" t="str">
            <v>CRISOSTOMO CASTRO</v>
          </cell>
          <cell r="Y816" t="str">
            <v>CRISOSTOMO CASTRO</v>
          </cell>
          <cell r="Z816" t="str">
            <v>JAILSON RORIZ</v>
          </cell>
        </row>
        <row r="817">
          <cell r="V817" t="str">
            <v>Curing/Loading Tabaco</v>
          </cell>
          <cell r="W817" t="str">
            <v>Operações Tabaco</v>
          </cell>
          <cell r="X817" t="str">
            <v>CRISOSTOMO CASTRO</v>
          </cell>
          <cell r="Y817" t="str">
            <v>MATHEUS ALMEIDA</v>
          </cell>
          <cell r="Z817" t="str">
            <v>ADALTON/JANILSON RORIZ/MARIVALDO</v>
          </cell>
        </row>
        <row r="818">
          <cell r="V818" t="str">
            <v>Preparo Solo Tabaco</v>
          </cell>
          <cell r="W818" t="str">
            <v>Operações Tabaco</v>
          </cell>
          <cell r="X818" t="str">
            <v>CRISOSTOMO CASTRO</v>
          </cell>
          <cell r="Y818" t="str">
            <v>JOÃO FILHO</v>
          </cell>
          <cell r="Z818" t="str">
            <v>ALCENO JUNIOR/JOÃO MARCOS</v>
          </cell>
        </row>
        <row r="819">
          <cell r="V819" t="str">
            <v>Unloading Tabaco</v>
          </cell>
          <cell r="W819" t="str">
            <v>Operações Tabaco</v>
          </cell>
          <cell r="X819" t="str">
            <v>CRISOSTOMO CASTRO</v>
          </cell>
          <cell r="Y819" t="str">
            <v>MATHEUS ALMEIDA</v>
          </cell>
        </row>
        <row r="820">
          <cell r="V820" t="str">
            <v>Unloading Tabaco</v>
          </cell>
          <cell r="W820" t="str">
            <v>Operações Tabaco</v>
          </cell>
          <cell r="X820" t="str">
            <v>CRISOSTOMO CASTRO</v>
          </cell>
          <cell r="Y820" t="str">
            <v>MATHEUS ALMEIDA</v>
          </cell>
        </row>
        <row r="821">
          <cell r="V821" t="str">
            <v>Green House Tabaco</v>
          </cell>
          <cell r="W821" t="str">
            <v>Operações Tabaco</v>
          </cell>
          <cell r="X821" t="str">
            <v>CRISOSTOMO CASTRO</v>
          </cell>
          <cell r="Y821" t="str">
            <v>MATHEUS ALMEIDA</v>
          </cell>
          <cell r="Z821" t="str">
            <v>JOSIEL NEVES</v>
          </cell>
        </row>
        <row r="822">
          <cell r="V822" t="str">
            <v>Transplante Tabaco</v>
          </cell>
          <cell r="W822" t="str">
            <v>Operações Tabaco</v>
          </cell>
          <cell r="X822" t="str">
            <v>CRISOSTOMO CASTRO</v>
          </cell>
          <cell r="Y822" t="str">
            <v>YAN SILVA</v>
          </cell>
          <cell r="Z822" t="str">
            <v>JUNIO TEIXEIRA /GEOVANI RORIZ</v>
          </cell>
        </row>
        <row r="823">
          <cell r="V823" t="str">
            <v>Manutenção Industrial Tabaco</v>
          </cell>
          <cell r="W823" t="str">
            <v>Operações Tabaco</v>
          </cell>
          <cell r="X823" t="str">
            <v>CRISOSTOMO CASTRO</v>
          </cell>
          <cell r="Y823" t="str">
            <v>MATHEUS ALMEIDA</v>
          </cell>
          <cell r="Z823" t="str">
            <v>IURY GUEDES</v>
          </cell>
        </row>
        <row r="824">
          <cell r="V824" t="str">
            <v>Preparo Solo Tabaco</v>
          </cell>
          <cell r="W824" t="str">
            <v>Operações Tabaco</v>
          </cell>
          <cell r="X824" t="str">
            <v>CRISOSTOMO CASTRO</v>
          </cell>
          <cell r="Y824" t="str">
            <v>JOÃO FILHO</v>
          </cell>
          <cell r="Z824" t="str">
            <v>ALCENO JUNIOR/JOÃO MARCOS</v>
          </cell>
        </row>
        <row r="825">
          <cell r="V825" t="str">
            <v>Green House Tabaco</v>
          </cell>
          <cell r="W825" t="str">
            <v>Operações Tabaco</v>
          </cell>
          <cell r="X825" t="str">
            <v>CRISOSTOMO CASTRO</v>
          </cell>
          <cell r="Y825" t="str">
            <v>MATHEUS ALMEIDA</v>
          </cell>
          <cell r="Z825" t="str">
            <v>JOSIEL NEVES</v>
          </cell>
        </row>
        <row r="826">
          <cell r="V826" t="str">
            <v>Colheita Tabaco</v>
          </cell>
          <cell r="W826" t="str">
            <v>Operações Tabaco</v>
          </cell>
          <cell r="X826" t="str">
            <v>CRISOSTOMO CASTRO</v>
          </cell>
          <cell r="Y826" t="str">
            <v>JOÃO FILHO</v>
          </cell>
          <cell r="Z826" t="str">
            <v>ALCENO JUNIOR/JOÃO MARCOS</v>
          </cell>
        </row>
        <row r="827">
          <cell r="V827" t="str">
            <v>Desponte Tabaco</v>
          </cell>
          <cell r="W827" t="str">
            <v>Operações Tabaco</v>
          </cell>
          <cell r="X827" t="str">
            <v>CRISOSTOMO CASTRO</v>
          </cell>
          <cell r="Y827" t="str">
            <v>YAN SILVA</v>
          </cell>
          <cell r="Z827" t="str">
            <v>JUNIO TEIXEIRA /GEOVANI RORIZ</v>
          </cell>
        </row>
        <row r="828">
          <cell r="V828" t="str">
            <v>Controle Fitosanitário - MIP</v>
          </cell>
          <cell r="W828" t="str">
            <v>Operações Tabaco</v>
          </cell>
          <cell r="X828" t="str">
            <v>CRISOSTOMO CASTRO</v>
          </cell>
          <cell r="Y828" t="str">
            <v>YAN SILVA</v>
          </cell>
          <cell r="Z828" t="str">
            <v>JUNIO TEIXEIRA /GEOVANI RORIZ</v>
          </cell>
        </row>
        <row r="829">
          <cell r="V829" t="str">
            <v>Transplante Tabaco</v>
          </cell>
          <cell r="W829" t="str">
            <v>Operações Tabaco</v>
          </cell>
          <cell r="X829" t="str">
            <v>CRISOSTOMO CASTRO</v>
          </cell>
          <cell r="Y829" t="str">
            <v>YAN SILVA</v>
          </cell>
          <cell r="Z829" t="str">
            <v>JUNIO TEIXEIRA /GEOVANI RORIZ</v>
          </cell>
        </row>
        <row r="830">
          <cell r="V830" t="str">
            <v>Desponte Tabaco</v>
          </cell>
          <cell r="W830" t="str">
            <v>Operações Tabaco</v>
          </cell>
          <cell r="X830" t="str">
            <v>CRISOSTOMO CASTRO</v>
          </cell>
          <cell r="Y830" t="str">
            <v>YAN SILVA</v>
          </cell>
          <cell r="Z830" t="str">
            <v>JUNIO TEIXEIRA /GEOVANI RORIZ</v>
          </cell>
        </row>
        <row r="831">
          <cell r="V831" t="str">
            <v>Pulverização Tabaco</v>
          </cell>
          <cell r="W831" t="str">
            <v>Operações Tabaco</v>
          </cell>
          <cell r="X831" t="str">
            <v>CRISOSTOMO CASTRO</v>
          </cell>
          <cell r="Y831" t="str">
            <v>CRISOSTOMO CASTRO</v>
          </cell>
          <cell r="Z831" t="str">
            <v>JAILSON RORIZ</v>
          </cell>
        </row>
        <row r="832">
          <cell r="V832" t="str">
            <v>Transplante Tabaco</v>
          </cell>
          <cell r="W832" t="str">
            <v>Operações Tabaco</v>
          </cell>
          <cell r="X832" t="str">
            <v>CRISOSTOMO CASTRO</v>
          </cell>
          <cell r="Y832" t="str">
            <v>YAN SILVA</v>
          </cell>
          <cell r="Z832" t="str">
            <v>JUNIO TEIXEIRA /GEOVANI RORIZ</v>
          </cell>
        </row>
        <row r="833">
          <cell r="V833" t="str">
            <v>Transplante Tabaco</v>
          </cell>
          <cell r="W833" t="str">
            <v>Operações Tabaco</v>
          </cell>
          <cell r="X833" t="str">
            <v>CRISOSTOMO CASTRO</v>
          </cell>
          <cell r="Y833" t="str">
            <v>YAN SILVA</v>
          </cell>
          <cell r="Z833" t="str">
            <v>JUNIO TEIXEIRA /GEOVANI RORIZ</v>
          </cell>
        </row>
        <row r="834">
          <cell r="V834" t="str">
            <v>Planejamento Irrigação Grãos</v>
          </cell>
          <cell r="W834" t="str">
            <v>Operações Karitel</v>
          </cell>
          <cell r="X834" t="str">
            <v>PAULO BONIFÁCIO</v>
          </cell>
          <cell r="Y834" t="str">
            <v>PAULO BONIFÁCIO</v>
          </cell>
          <cell r="Z834" t="str">
            <v xml:space="preserve">LEONARDO SANTOS </v>
          </cell>
        </row>
        <row r="835">
          <cell r="V835" t="str">
            <v>Curing/Loading Tabaco</v>
          </cell>
          <cell r="W835" t="str">
            <v>Operações Tabaco</v>
          </cell>
          <cell r="X835" t="str">
            <v>CRISOSTOMO CASTRO</v>
          </cell>
          <cell r="Y835" t="str">
            <v>MATHEUS ALMEIDA</v>
          </cell>
          <cell r="Z835" t="str">
            <v>ADALTON/JANILSON RORIZ/MARIVALDO</v>
          </cell>
        </row>
        <row r="836">
          <cell r="V836" t="str">
            <v>Controle Fitosanitário - MIP</v>
          </cell>
          <cell r="W836" t="str">
            <v>Operações Tabaco</v>
          </cell>
          <cell r="X836" t="str">
            <v>CRISOSTOMO CASTRO</v>
          </cell>
          <cell r="Y836" t="str">
            <v>YAN SILVA</v>
          </cell>
          <cell r="Z836" t="str">
            <v>JUNIO TEIXEIRA /GEOVANI RORIZ</v>
          </cell>
        </row>
        <row r="837">
          <cell r="V837" t="str">
            <v>Unloading Tabaco</v>
          </cell>
          <cell r="W837" t="str">
            <v>Operações Tabaco</v>
          </cell>
          <cell r="X837" t="str">
            <v>CRISOSTOMO CASTRO</v>
          </cell>
          <cell r="Y837" t="str">
            <v>MATHEUS ALMEIDA</v>
          </cell>
        </row>
        <row r="838">
          <cell r="V838" t="str">
            <v>Desponte Tabaco</v>
          </cell>
          <cell r="W838" t="str">
            <v>Operações Tabaco</v>
          </cell>
          <cell r="X838" t="str">
            <v>CRISOSTOMO CASTRO</v>
          </cell>
          <cell r="Y838" t="str">
            <v>YAN SILVA</v>
          </cell>
          <cell r="Z838" t="str">
            <v>JUNIO TEIXEIRA /GEOVANI RORIZ</v>
          </cell>
        </row>
        <row r="839">
          <cell r="V839" t="str">
            <v>Curing/Loading Tabaco</v>
          </cell>
          <cell r="W839" t="str">
            <v>Operações Tabaco</v>
          </cell>
          <cell r="X839" t="str">
            <v>CRISOSTOMO CASTRO</v>
          </cell>
          <cell r="Y839" t="str">
            <v>MATHEUS ALMEIDA</v>
          </cell>
          <cell r="Z839" t="str">
            <v>ADALTON/JANILSON RORIZ/MARIVALDO</v>
          </cell>
        </row>
        <row r="840">
          <cell r="V840" t="str">
            <v>Unloading Tabaco</v>
          </cell>
          <cell r="W840" t="str">
            <v>Operações Tabaco</v>
          </cell>
          <cell r="X840" t="str">
            <v>CRISOSTOMO CASTRO</v>
          </cell>
          <cell r="Y840" t="str">
            <v>MATHEUS ALMEIDA</v>
          </cell>
        </row>
        <row r="841">
          <cell r="V841" t="str">
            <v>Curing/Loading Tabaco</v>
          </cell>
          <cell r="W841" t="str">
            <v>Operações Tabaco</v>
          </cell>
          <cell r="X841" t="str">
            <v>CRISOSTOMO CASTRO</v>
          </cell>
          <cell r="Y841" t="str">
            <v>MATHEUS ALMEIDA</v>
          </cell>
          <cell r="Z841" t="str">
            <v>ADALTON/JANILSON RORIZ/MARIVALDO</v>
          </cell>
        </row>
        <row r="842">
          <cell r="V842" t="str">
            <v>Manutenção Industrial Tabaco</v>
          </cell>
          <cell r="W842" t="str">
            <v>Operações Tabaco</v>
          </cell>
          <cell r="X842" t="str">
            <v>CRISOSTOMO CASTRO</v>
          </cell>
          <cell r="Y842" t="str">
            <v>MATHEUS ALMEIDA</v>
          </cell>
          <cell r="Z842" t="str">
            <v>IURY GUEDES</v>
          </cell>
        </row>
        <row r="843">
          <cell r="V843" t="str">
            <v>Curing/Loading Tabaco</v>
          </cell>
          <cell r="W843" t="str">
            <v>Operações Tabaco</v>
          </cell>
          <cell r="X843" t="str">
            <v>CRISOSTOMO CASTRO</v>
          </cell>
          <cell r="Y843" t="str">
            <v>MATHEUS ALMEIDA</v>
          </cell>
          <cell r="Z843" t="str">
            <v>ADALTON/JANILSON RORIZ/MARIVALDO</v>
          </cell>
        </row>
        <row r="844">
          <cell r="V844" t="str">
            <v>Transplante Tabaco</v>
          </cell>
          <cell r="W844" t="str">
            <v>Operações Tabaco</v>
          </cell>
          <cell r="X844" t="str">
            <v>CRISOSTOMO CASTRO</v>
          </cell>
          <cell r="Y844" t="str">
            <v>YAN SILVA</v>
          </cell>
          <cell r="Z844" t="str">
            <v>JUNIO TEIXEIRA /GEOVANI RORIZ</v>
          </cell>
        </row>
        <row r="845">
          <cell r="V845" t="str">
            <v>Unloading Tabaco</v>
          </cell>
          <cell r="W845" t="str">
            <v>Operações Tabaco</v>
          </cell>
          <cell r="X845" t="str">
            <v>CRISOSTOMO CASTRO</v>
          </cell>
          <cell r="Y845" t="str">
            <v>MATHEUS ALMEIDA</v>
          </cell>
        </row>
        <row r="846">
          <cell r="V846" t="str">
            <v>Preparo Solo Tabaco</v>
          </cell>
          <cell r="W846" t="str">
            <v>Operações Tabaco</v>
          </cell>
          <cell r="X846" t="str">
            <v>CRISOSTOMO CASTRO</v>
          </cell>
          <cell r="Y846" t="str">
            <v>JOÃO FILHO</v>
          </cell>
          <cell r="Z846" t="str">
            <v>ALCENO JUNIOR/JOÃO MARCOS</v>
          </cell>
        </row>
        <row r="847">
          <cell r="V847" t="str">
            <v>Transplante Tabaco</v>
          </cell>
          <cell r="W847" t="str">
            <v>Operações Tabaco</v>
          </cell>
          <cell r="X847" t="str">
            <v>CRISOSTOMO CASTRO</v>
          </cell>
          <cell r="Y847" t="str">
            <v>YAN SILVA</v>
          </cell>
          <cell r="Z847" t="str">
            <v>JUNIO TEIXEIRA /GEOVANI RORIZ</v>
          </cell>
        </row>
        <row r="848">
          <cell r="V848" t="str">
            <v>Melhoria Continua - Tabaco</v>
          </cell>
          <cell r="W848" t="str">
            <v>Gente e Gestão</v>
          </cell>
          <cell r="X848" t="str">
            <v xml:space="preserve">GISELE NASCENTE </v>
          </cell>
          <cell r="Y848" t="str">
            <v xml:space="preserve">GISELE NASCENTE </v>
          </cell>
          <cell r="Z848" t="str">
            <v>MARCOS OLIVEIRA</v>
          </cell>
        </row>
        <row r="849">
          <cell r="V849" t="str">
            <v>Controle Fitosanitário - MIP</v>
          </cell>
          <cell r="W849" t="str">
            <v>Operações Tabaco</v>
          </cell>
          <cell r="X849" t="str">
            <v>CRISOSTOMO CASTRO</v>
          </cell>
          <cell r="Y849" t="str">
            <v>YAN SILVA</v>
          </cell>
          <cell r="Z849" t="str">
            <v>JUNIO TEIXEIRA /GEOVANI RORIZ</v>
          </cell>
        </row>
        <row r="850">
          <cell r="V850" t="str">
            <v>Transplante Tabaco</v>
          </cell>
          <cell r="W850" t="str">
            <v>Operações Tabaco</v>
          </cell>
          <cell r="X850" t="str">
            <v>CRISOSTOMO CASTRO</v>
          </cell>
          <cell r="Y850" t="str">
            <v>YAN SILVA</v>
          </cell>
          <cell r="Z850" t="str">
            <v>JUNIO TEIXEIRA /GEOVANI RORIZ</v>
          </cell>
        </row>
        <row r="851">
          <cell r="V851" t="str">
            <v>Green House Tabaco</v>
          </cell>
          <cell r="W851" t="str">
            <v>Operações Tabaco</v>
          </cell>
          <cell r="X851" t="str">
            <v>CRISOSTOMO CASTRO</v>
          </cell>
          <cell r="Y851" t="str">
            <v>MATHEUS ALMEIDA</v>
          </cell>
          <cell r="Z851" t="str">
            <v>JOSIEL NEVES</v>
          </cell>
        </row>
        <row r="852">
          <cell r="V852" t="str">
            <v>Manutenção Agrícola Tabaco</v>
          </cell>
          <cell r="W852" t="str">
            <v>Operações Tabaco</v>
          </cell>
          <cell r="X852" t="str">
            <v>RAFAEL XAVIER</v>
          </cell>
          <cell r="Y852" t="str">
            <v>FERNANDO GUILHERME</v>
          </cell>
          <cell r="Z852" t="str">
            <v>MARCELO DOURADO</v>
          </cell>
        </row>
        <row r="853">
          <cell r="V853" t="str">
            <v>Unloading Tabaco</v>
          </cell>
          <cell r="W853" t="str">
            <v>Operações Tabaco</v>
          </cell>
          <cell r="X853" t="str">
            <v>CRISOSTOMO CASTRO</v>
          </cell>
          <cell r="Y853" t="str">
            <v>MATHEUS ALMEIDA</v>
          </cell>
        </row>
        <row r="854">
          <cell r="V854" t="str">
            <v>Unloading Tabaco</v>
          </cell>
          <cell r="W854" t="str">
            <v>Operações Tabaco</v>
          </cell>
          <cell r="X854" t="str">
            <v>CRISOSTOMO CASTRO</v>
          </cell>
          <cell r="Y854" t="str">
            <v>MATHEUS ALMEIDA</v>
          </cell>
        </row>
        <row r="855">
          <cell r="V855" t="str">
            <v>Transplante Tabaco</v>
          </cell>
          <cell r="W855" t="str">
            <v>Operações Tabaco</v>
          </cell>
          <cell r="X855" t="str">
            <v>CRISOSTOMO CASTRO</v>
          </cell>
          <cell r="Y855" t="str">
            <v>YAN SILVA</v>
          </cell>
          <cell r="Z855" t="str">
            <v>JUNIO TEIXEIRA /GEOVANI RORIZ</v>
          </cell>
        </row>
        <row r="856">
          <cell r="V856" t="str">
            <v>Gestor Campo Tabaco</v>
          </cell>
          <cell r="W856" t="str">
            <v>Operações Tabaco</v>
          </cell>
          <cell r="X856" t="str">
            <v>CRISOSTOMO CASTRO</v>
          </cell>
        </row>
        <row r="857">
          <cell r="V857" t="str">
            <v>Colheita Tabaco</v>
          </cell>
          <cell r="W857" t="str">
            <v>Operações Tabaco</v>
          </cell>
          <cell r="X857" t="str">
            <v>CRISOSTOMO CASTRO</v>
          </cell>
          <cell r="Y857" t="str">
            <v>JOÃO FILHO</v>
          </cell>
          <cell r="Z857" t="str">
            <v>ALCENO JUNIOR/JOÃO MARCOS</v>
          </cell>
        </row>
        <row r="858">
          <cell r="V858" t="str">
            <v>Curing/Loading Tabaco</v>
          </cell>
          <cell r="W858" t="str">
            <v>Operações Tabaco</v>
          </cell>
          <cell r="X858" t="str">
            <v>CRISOSTOMO CASTRO</v>
          </cell>
          <cell r="Y858" t="str">
            <v>MATHEUS ALMEIDA</v>
          </cell>
          <cell r="Z858" t="str">
            <v>ADALTON/JANILSON RORIZ/MARIVALDO</v>
          </cell>
        </row>
        <row r="859">
          <cell r="V859" t="str">
            <v>Manutenção Agrícola Tabaco</v>
          </cell>
          <cell r="W859" t="str">
            <v>Operações Tabaco</v>
          </cell>
          <cell r="X859" t="str">
            <v>RAFAEL XAVIER</v>
          </cell>
          <cell r="Y859" t="str">
            <v>FERNANDO GUILHERME</v>
          </cell>
          <cell r="Z859" t="str">
            <v>MARCELO DOURADO</v>
          </cell>
        </row>
        <row r="860">
          <cell r="V860" t="str">
            <v>Pulverização Tabaco</v>
          </cell>
          <cell r="W860" t="str">
            <v>Operações Tabaco</v>
          </cell>
          <cell r="X860" t="str">
            <v>CRISOSTOMO CASTRO</v>
          </cell>
          <cell r="Y860" t="str">
            <v>CRISOSTOMO CASTRO</v>
          </cell>
          <cell r="Z860" t="str">
            <v>JAILSON RORIZ</v>
          </cell>
        </row>
        <row r="861">
          <cell r="V861" t="str">
            <v>Controle Fitosanitário - MIP</v>
          </cell>
          <cell r="W861" t="str">
            <v>Operações Tabaco</v>
          </cell>
          <cell r="X861" t="str">
            <v>CRISOSTOMO CASTRO</v>
          </cell>
          <cell r="Y861" t="str">
            <v>YAN SILVA</v>
          </cell>
          <cell r="Z861" t="str">
            <v>JUNIO TEIXEIRA /GEOVANI RORIZ</v>
          </cell>
        </row>
        <row r="862">
          <cell r="V862" t="str">
            <v>Transplante Tabaco</v>
          </cell>
          <cell r="W862" t="str">
            <v>Operações Tabaco</v>
          </cell>
          <cell r="X862" t="str">
            <v>CRISOSTOMO CASTRO</v>
          </cell>
          <cell r="Y862" t="str">
            <v>YAN SILVA</v>
          </cell>
          <cell r="Z862" t="str">
            <v>JUNIO TEIXEIRA /GEOVANI RORIZ</v>
          </cell>
        </row>
        <row r="863">
          <cell r="V863" t="str">
            <v>Green House Tabaco</v>
          </cell>
          <cell r="W863" t="str">
            <v>Operações Tabaco</v>
          </cell>
          <cell r="X863" t="str">
            <v>CRISOSTOMO CASTRO</v>
          </cell>
          <cell r="Y863" t="str">
            <v>MATHEUS ALMEIDA</v>
          </cell>
          <cell r="Z863" t="str">
            <v>JOSIEL NEVES</v>
          </cell>
        </row>
        <row r="864">
          <cell r="V864" t="str">
            <v>Transplante Tabaco</v>
          </cell>
          <cell r="W864" t="str">
            <v>Operações Tabaco</v>
          </cell>
          <cell r="X864" t="str">
            <v>CRISOSTOMO CASTRO</v>
          </cell>
          <cell r="Y864" t="str">
            <v>YAN SILVA</v>
          </cell>
          <cell r="Z864" t="str">
            <v>JUNIO TEIXEIRA /GEOVANI RORIZ</v>
          </cell>
        </row>
        <row r="865">
          <cell r="V865" t="str">
            <v>Curing/Loading Tabaco</v>
          </cell>
          <cell r="W865" t="str">
            <v>Operações Tabaco</v>
          </cell>
          <cell r="X865" t="str">
            <v>CRISOSTOMO CASTRO</v>
          </cell>
          <cell r="Y865" t="str">
            <v>MATHEUS ALMEIDA</v>
          </cell>
          <cell r="Z865" t="str">
            <v>ADALTON/JANILSON RORIZ/MARIVALDO</v>
          </cell>
        </row>
        <row r="866">
          <cell r="V866" t="str">
            <v>Curing/Loading Tabaco</v>
          </cell>
          <cell r="W866" t="str">
            <v>Operações Tabaco</v>
          </cell>
          <cell r="X866" t="str">
            <v>CRISOSTOMO CASTRO</v>
          </cell>
          <cell r="Y866" t="str">
            <v>MATHEUS ALMEIDA</v>
          </cell>
          <cell r="Z866" t="str">
            <v>ADALTON/JANILSON RORIZ/MARIVALDO</v>
          </cell>
        </row>
        <row r="867">
          <cell r="V867" t="str">
            <v>Unloading Tabaco</v>
          </cell>
          <cell r="W867" t="str">
            <v>Operações Tabaco</v>
          </cell>
          <cell r="X867" t="str">
            <v>CRISOSTOMO CASTRO</v>
          </cell>
          <cell r="Y867" t="str">
            <v>MATHEUS ALMEIDA</v>
          </cell>
        </row>
        <row r="868">
          <cell r="V868" t="str">
            <v>Transplante Tabaco</v>
          </cell>
          <cell r="W868" t="str">
            <v>Operações Tabaco</v>
          </cell>
          <cell r="X868" t="str">
            <v>CRISOSTOMO CASTRO</v>
          </cell>
          <cell r="Y868" t="str">
            <v>YAN SILVA</v>
          </cell>
          <cell r="Z868" t="str">
            <v>JUNIO TEIXEIRA /GEOVANI RORIZ</v>
          </cell>
        </row>
        <row r="869">
          <cell r="V869" t="str">
            <v>Preparo Solo Tabaco</v>
          </cell>
          <cell r="W869" t="str">
            <v>Operações Tabaco</v>
          </cell>
          <cell r="X869" t="str">
            <v>CRISOSTOMO CASTRO</v>
          </cell>
          <cell r="Y869" t="str">
            <v>JOÃO FILHO</v>
          </cell>
          <cell r="Z869" t="str">
            <v>ALCENO JUNIOR/JOÃO MARCOS</v>
          </cell>
        </row>
        <row r="870">
          <cell r="V870" t="str">
            <v>Curing/Loading Tabaco</v>
          </cell>
          <cell r="W870" t="str">
            <v>Operações Tabaco</v>
          </cell>
          <cell r="X870" t="str">
            <v>CRISOSTOMO CASTRO</v>
          </cell>
          <cell r="Y870" t="str">
            <v>MATHEUS ALMEIDA</v>
          </cell>
          <cell r="Z870" t="str">
            <v>ADALTON/JANILSON RORIZ/MARIVALDO</v>
          </cell>
        </row>
        <row r="871">
          <cell r="V871" t="str">
            <v>Unloading Tabaco</v>
          </cell>
          <cell r="W871" t="str">
            <v>Operações Tabaco</v>
          </cell>
          <cell r="X871" t="str">
            <v>CRISOSTOMO CASTRO</v>
          </cell>
          <cell r="Y871" t="str">
            <v>MATHEUS ALMEIDA</v>
          </cell>
        </row>
        <row r="872">
          <cell r="V872" t="str">
            <v>Green House Tabaco</v>
          </cell>
          <cell r="W872" t="str">
            <v>Operações Tabaco</v>
          </cell>
          <cell r="X872" t="str">
            <v>CRISOSTOMO CASTRO</v>
          </cell>
          <cell r="Y872" t="str">
            <v>MATHEUS ALMEIDA</v>
          </cell>
          <cell r="Z872" t="str">
            <v>JOSIEL NEVES</v>
          </cell>
        </row>
        <row r="873">
          <cell r="V873" t="str">
            <v>Curing/Loading Tabaco</v>
          </cell>
          <cell r="W873" t="str">
            <v>Operações Tabaco</v>
          </cell>
          <cell r="X873" t="str">
            <v>CRISOSTOMO CASTRO</v>
          </cell>
          <cell r="Y873" t="str">
            <v>MATHEUS ALMEIDA</v>
          </cell>
          <cell r="Z873" t="str">
            <v>ADALTON/JANILSON RORIZ/MARIVALDO</v>
          </cell>
        </row>
        <row r="874">
          <cell r="V874" t="str">
            <v>Controle Fitosanitário - MIP</v>
          </cell>
          <cell r="W874" t="str">
            <v>Operações Tabaco</v>
          </cell>
          <cell r="X874" t="str">
            <v>CRISOSTOMO CASTRO</v>
          </cell>
          <cell r="Y874" t="str">
            <v>YAN SILVA</v>
          </cell>
          <cell r="Z874" t="str">
            <v>JUNIO TEIXEIRA /GEOVANI RORIZ</v>
          </cell>
        </row>
        <row r="875">
          <cell r="V875" t="str">
            <v>Colheita Tabaco</v>
          </cell>
          <cell r="W875" t="str">
            <v>Operações Tabaco</v>
          </cell>
          <cell r="X875" t="str">
            <v>CRISOSTOMO CASTRO</v>
          </cell>
          <cell r="Y875" t="str">
            <v>JOÃO FILHO</v>
          </cell>
          <cell r="Z875" t="str">
            <v>ALCENO JUNIOR/JOÃO MARCOS</v>
          </cell>
        </row>
        <row r="876">
          <cell r="V876" t="str">
            <v>Colheita Tabaco</v>
          </cell>
          <cell r="W876" t="str">
            <v>Operações Tabaco</v>
          </cell>
          <cell r="X876" t="str">
            <v>CRISOSTOMO CASTRO</v>
          </cell>
          <cell r="Y876" t="str">
            <v>JOÃO FILHO</v>
          </cell>
          <cell r="Z876" t="str">
            <v>ALCENO JUNIOR/JOÃO MARCOS</v>
          </cell>
        </row>
        <row r="877">
          <cell r="V877" t="str">
            <v>Manutenção Industrial Tabaco</v>
          </cell>
          <cell r="W877" t="str">
            <v>Operações Tabaco</v>
          </cell>
          <cell r="X877" t="str">
            <v>CRISOSTOMO CASTRO</v>
          </cell>
          <cell r="Y877" t="str">
            <v>MATHEUS ALMEIDA</v>
          </cell>
          <cell r="Z877" t="str">
            <v>IURY GUEDES</v>
          </cell>
        </row>
        <row r="878">
          <cell r="V878" t="str">
            <v>Desponte Tabaco</v>
          </cell>
          <cell r="W878" t="str">
            <v>Operações Tabaco</v>
          </cell>
          <cell r="X878" t="str">
            <v>CRISOSTOMO CASTRO</v>
          </cell>
          <cell r="Y878" t="str">
            <v>YAN SILVA</v>
          </cell>
          <cell r="Z878" t="str">
            <v>JUNIO TEIXEIRA /GEOVANI RORIZ</v>
          </cell>
        </row>
        <row r="879">
          <cell r="V879" t="str">
            <v>Green House Tabaco</v>
          </cell>
          <cell r="W879" t="str">
            <v>Operações Tabaco</v>
          </cell>
          <cell r="X879" t="str">
            <v>CRISOSTOMO CASTRO</v>
          </cell>
          <cell r="Y879" t="str">
            <v>MATHEUS ALMEIDA</v>
          </cell>
          <cell r="Z879" t="str">
            <v>JOSIEL NEVES</v>
          </cell>
        </row>
        <row r="880">
          <cell r="V880" t="str">
            <v>Colheita Tabaco</v>
          </cell>
          <cell r="W880" t="str">
            <v>Operações Tabaco</v>
          </cell>
          <cell r="X880" t="str">
            <v>CRISOSTOMO CASTRO</v>
          </cell>
          <cell r="Y880" t="str">
            <v>JOÃO FILHO</v>
          </cell>
          <cell r="Z880" t="str">
            <v>ALCENO JUNIOR/JOÃO MARCOS</v>
          </cell>
        </row>
        <row r="881">
          <cell r="V881" t="str">
            <v>Curing/Loading Tabaco</v>
          </cell>
          <cell r="W881" t="str">
            <v>Operações Tabaco</v>
          </cell>
          <cell r="X881" t="str">
            <v>CRISOSTOMO CASTRO</v>
          </cell>
          <cell r="Y881" t="str">
            <v>MATHEUS ALMEIDA</v>
          </cell>
          <cell r="Z881" t="str">
            <v>ADALTON/JANILSON RORIZ/MARIVALDO</v>
          </cell>
        </row>
        <row r="882">
          <cell r="V882" t="str">
            <v>Controle Fitosanitário - MIP</v>
          </cell>
          <cell r="W882" t="str">
            <v>Operações Tabaco</v>
          </cell>
          <cell r="X882" t="str">
            <v>CRISOSTOMO CASTRO</v>
          </cell>
          <cell r="Y882" t="str">
            <v>YAN SILVA</v>
          </cell>
          <cell r="Z882" t="str">
            <v>JUNIO TEIXEIRA /GEOVANI RORIZ</v>
          </cell>
        </row>
        <row r="883">
          <cell r="V883" t="str">
            <v>Green House Tabaco</v>
          </cell>
          <cell r="W883" t="str">
            <v>Operações Tabaco</v>
          </cell>
          <cell r="X883" t="str">
            <v>CRISOSTOMO CASTRO</v>
          </cell>
          <cell r="Y883" t="str">
            <v>MATHEUS ALMEIDA</v>
          </cell>
          <cell r="Z883" t="str">
            <v>JOSIEL NEVES</v>
          </cell>
        </row>
        <row r="884">
          <cell r="V884" t="str">
            <v>Manutenção Agrícola Tabaco</v>
          </cell>
          <cell r="W884" t="str">
            <v>Operações Tabaco</v>
          </cell>
          <cell r="X884" t="str">
            <v>RAFAEL XAVIER</v>
          </cell>
          <cell r="Y884" t="str">
            <v>FERNANDO GUILHERME</v>
          </cell>
          <cell r="Z884" t="str">
            <v>MARCELO DOURADO</v>
          </cell>
        </row>
        <row r="885">
          <cell r="V885" t="str">
            <v>Controle Fitosanitário - MIP</v>
          </cell>
          <cell r="W885" t="str">
            <v>Operações Tabaco</v>
          </cell>
          <cell r="X885" t="str">
            <v>CRISOSTOMO CASTRO</v>
          </cell>
          <cell r="Y885" t="str">
            <v>YAN SILVA</v>
          </cell>
          <cell r="Z885" t="str">
            <v>JUNIO TEIXEIRA /GEOVANI RORIZ</v>
          </cell>
        </row>
        <row r="886">
          <cell r="V886" t="str">
            <v>Green House Tabaco</v>
          </cell>
          <cell r="W886" t="str">
            <v>Operações Tabaco</v>
          </cell>
          <cell r="X886" t="str">
            <v>CRISOSTOMO CASTRO</v>
          </cell>
          <cell r="Y886" t="str">
            <v>MATHEUS ALMEIDA</v>
          </cell>
          <cell r="Z886" t="str">
            <v>JOSIEL NEVES</v>
          </cell>
        </row>
        <row r="887">
          <cell r="V887" t="str">
            <v>Controle Fitosanitário - MIP</v>
          </cell>
          <cell r="W887" t="str">
            <v>Operações Tabaco</v>
          </cell>
          <cell r="X887" t="str">
            <v>CRISOSTOMO CASTRO</v>
          </cell>
          <cell r="Y887" t="str">
            <v>YAN SILVA</v>
          </cell>
          <cell r="Z887" t="str">
            <v>JUNIO TEIXEIRA /GEOVANI RORIZ</v>
          </cell>
        </row>
        <row r="888">
          <cell r="V888" t="str">
            <v>Unloading Tabaco</v>
          </cell>
          <cell r="W888" t="str">
            <v>Operações Tabaco</v>
          </cell>
          <cell r="X888" t="str">
            <v>CRISOSTOMO CASTRO</v>
          </cell>
          <cell r="Y888" t="str">
            <v>MATHEUS ALMEIDA</v>
          </cell>
        </row>
        <row r="889">
          <cell r="V889" t="str">
            <v>Colheita Tabaco</v>
          </cell>
          <cell r="W889" t="str">
            <v>Operações Tabaco</v>
          </cell>
          <cell r="X889" t="str">
            <v>CRISOSTOMO CASTRO</v>
          </cell>
          <cell r="Y889" t="str">
            <v>JOÃO FILHO</v>
          </cell>
          <cell r="Z889" t="str">
            <v>ALCENO JUNIOR/JOÃO MARCOS</v>
          </cell>
        </row>
        <row r="890">
          <cell r="V890" t="str">
            <v>Transplante Tabaco</v>
          </cell>
          <cell r="W890" t="str">
            <v>Operações Tabaco</v>
          </cell>
          <cell r="X890" t="str">
            <v>CRISOSTOMO CASTRO</v>
          </cell>
          <cell r="Y890" t="str">
            <v>YAN SILVA</v>
          </cell>
          <cell r="Z890" t="str">
            <v>JUNIO TEIXEIRA /GEOVANI RORIZ</v>
          </cell>
        </row>
        <row r="891">
          <cell r="V891" t="str">
            <v>Colheita Tabaco</v>
          </cell>
          <cell r="W891" t="str">
            <v>Operações Tabaco</v>
          </cell>
          <cell r="X891" t="str">
            <v>CRISOSTOMO CASTRO</v>
          </cell>
          <cell r="Y891" t="str">
            <v>JOÃO FILHO</v>
          </cell>
          <cell r="Z891" t="str">
            <v>ALCENO JUNIOR/JOÃO MARCOS</v>
          </cell>
        </row>
        <row r="892">
          <cell r="V892" t="str">
            <v>Melhoria Continua - Tabaco</v>
          </cell>
          <cell r="W892" t="str">
            <v>Gente e Gestão</v>
          </cell>
          <cell r="X892" t="str">
            <v xml:space="preserve">GISELE NASCENTE </v>
          </cell>
          <cell r="Y892" t="str">
            <v xml:space="preserve">GISELE NASCENTE </v>
          </cell>
          <cell r="Z892" t="str">
            <v>MARCOS OLIVEIRA</v>
          </cell>
        </row>
        <row r="893">
          <cell r="V893" t="str">
            <v>Transplante Tabaco</v>
          </cell>
          <cell r="W893" t="str">
            <v>Operações Tabaco</v>
          </cell>
          <cell r="X893" t="str">
            <v>CRISOSTOMO CASTRO</v>
          </cell>
          <cell r="Y893" t="str">
            <v>YAN SILVA</v>
          </cell>
          <cell r="Z893" t="str">
            <v>JUNIO TEIXEIRA /GEOVANI RORIZ</v>
          </cell>
        </row>
        <row r="894">
          <cell r="V894" t="str">
            <v>Desponte Tabaco</v>
          </cell>
          <cell r="W894" t="str">
            <v>Operações Tabaco</v>
          </cell>
          <cell r="X894" t="str">
            <v>CRISOSTOMO CASTRO</v>
          </cell>
          <cell r="Y894" t="str">
            <v>YAN SILVA</v>
          </cell>
          <cell r="Z894" t="str">
            <v>JUNIO TEIXEIRA /GEOVANI RORIZ</v>
          </cell>
        </row>
        <row r="895">
          <cell r="V895" t="str">
            <v>Curing/Loading Tabaco</v>
          </cell>
          <cell r="W895" t="str">
            <v>Operações Tabaco</v>
          </cell>
          <cell r="X895" t="str">
            <v>CRISOSTOMO CASTRO</v>
          </cell>
          <cell r="Y895" t="str">
            <v>MATHEUS ALMEIDA</v>
          </cell>
          <cell r="Z895" t="str">
            <v>ADALTON/JANILSON RORIZ/MARIVALDO</v>
          </cell>
        </row>
        <row r="896">
          <cell r="V896" t="str">
            <v>Curing/Loading Tabaco</v>
          </cell>
          <cell r="W896" t="str">
            <v>Operações Tabaco</v>
          </cell>
          <cell r="X896" t="str">
            <v>CRISOSTOMO CASTRO</v>
          </cell>
          <cell r="Y896" t="str">
            <v>MATHEUS ALMEIDA</v>
          </cell>
          <cell r="Z896" t="str">
            <v>ADALTON/JANILSON RORIZ/MARIVALDO</v>
          </cell>
        </row>
        <row r="897">
          <cell r="V897" t="str">
            <v>Desponte Tabaco</v>
          </cell>
          <cell r="W897" t="str">
            <v>Operações Tabaco</v>
          </cell>
          <cell r="X897" t="str">
            <v>CRISOSTOMO CASTRO</v>
          </cell>
          <cell r="Y897" t="str">
            <v>YAN SILVA</v>
          </cell>
          <cell r="Z897" t="str">
            <v>JUNIO TEIXEIRA /GEOVANI RORIZ</v>
          </cell>
        </row>
        <row r="898">
          <cell r="V898" t="str">
            <v>Curing/Loading Tabaco</v>
          </cell>
          <cell r="W898" t="str">
            <v>Operações Tabaco</v>
          </cell>
          <cell r="X898" t="str">
            <v>CRISOSTOMO CASTRO</v>
          </cell>
          <cell r="Y898" t="str">
            <v>MATHEUS ALMEIDA</v>
          </cell>
          <cell r="Z898" t="str">
            <v>ADALTON/JANILSON RORIZ/MARIVALDO</v>
          </cell>
        </row>
        <row r="899">
          <cell r="V899" t="str">
            <v>Desponte Tabaco</v>
          </cell>
          <cell r="W899" t="str">
            <v>Operações Tabaco</v>
          </cell>
          <cell r="X899" t="str">
            <v>CRISOSTOMO CASTRO</v>
          </cell>
          <cell r="Y899" t="str">
            <v>YAN SILVA</v>
          </cell>
          <cell r="Z899" t="str">
            <v>JUNIO TEIXEIRA /GEOVANI RORIZ</v>
          </cell>
        </row>
        <row r="900">
          <cell r="V900" t="str">
            <v>Desponte Tabaco</v>
          </cell>
          <cell r="W900" t="str">
            <v>Operações Tabaco</v>
          </cell>
          <cell r="X900" t="str">
            <v>CRISOSTOMO CASTRO</v>
          </cell>
          <cell r="Y900" t="str">
            <v>YAN SILVA</v>
          </cell>
          <cell r="Z900" t="str">
            <v>JUNIO TEIXEIRA /GEOVANI RORIZ</v>
          </cell>
        </row>
        <row r="901">
          <cell r="V901" t="str">
            <v>Curing/Loading Tabaco</v>
          </cell>
          <cell r="W901" t="str">
            <v>Operações Tabaco</v>
          </cell>
          <cell r="X901" t="str">
            <v>CRISOSTOMO CASTRO</v>
          </cell>
          <cell r="Y901" t="str">
            <v>MATHEUS ALMEIDA</v>
          </cell>
          <cell r="Z901" t="str">
            <v>ADALTON/JANILSON RORIZ/MARIVALDO</v>
          </cell>
        </row>
        <row r="902">
          <cell r="V902" t="str">
            <v>Controle Fitosanitário - MIP</v>
          </cell>
          <cell r="W902" t="str">
            <v>Operações Tabaco</v>
          </cell>
          <cell r="X902" t="str">
            <v>CRISOSTOMO CASTRO</v>
          </cell>
          <cell r="Y902" t="str">
            <v>YAN SILVA</v>
          </cell>
          <cell r="Z902" t="str">
            <v>JUNIO TEIXEIRA /GEOVANI RORIZ</v>
          </cell>
        </row>
        <row r="903">
          <cell r="V903" t="str">
            <v>Curing/Loading Tabaco</v>
          </cell>
          <cell r="W903" t="str">
            <v>Operações Tabaco</v>
          </cell>
          <cell r="X903" t="str">
            <v>CRISOSTOMO CASTRO</v>
          </cell>
          <cell r="Y903" t="str">
            <v>MATHEUS ALMEIDA</v>
          </cell>
          <cell r="Z903" t="str">
            <v>ADALTON/JANILSON RORIZ/MARIVALDO</v>
          </cell>
        </row>
        <row r="904">
          <cell r="V904" t="str">
            <v>Facilities - Tabaco</v>
          </cell>
          <cell r="W904" t="str">
            <v>Gente e Gestão</v>
          </cell>
          <cell r="X904" t="str">
            <v xml:space="preserve">LEIDJANE MARTINS </v>
          </cell>
          <cell r="Y904" t="str">
            <v xml:space="preserve">LEIDJANE MARTINS </v>
          </cell>
          <cell r="Z904" t="str">
            <v>DENIS ACASSIO</v>
          </cell>
        </row>
        <row r="905">
          <cell r="V905" t="str">
            <v>Controle Fitosanitário - MIP</v>
          </cell>
          <cell r="W905" t="str">
            <v>Operações Tabaco</v>
          </cell>
          <cell r="X905" t="str">
            <v>CRISOSTOMO CASTRO</v>
          </cell>
          <cell r="Y905" t="str">
            <v>YAN SILVA</v>
          </cell>
          <cell r="Z905" t="str">
            <v>JUNIO TEIXEIRA /GEOVANI RORIZ</v>
          </cell>
        </row>
        <row r="906">
          <cell r="V906" t="str">
            <v>Green House Tabaco</v>
          </cell>
          <cell r="W906" t="str">
            <v>Operações Tabaco</v>
          </cell>
          <cell r="X906" t="str">
            <v>CRISOSTOMO CASTRO</v>
          </cell>
          <cell r="Y906" t="str">
            <v>MATHEUS ALMEIDA</v>
          </cell>
          <cell r="Z906" t="str">
            <v>JOSIEL NEVES</v>
          </cell>
        </row>
        <row r="907">
          <cell r="V907" t="str">
            <v>Curing/Loading Tabaco</v>
          </cell>
          <cell r="W907" t="str">
            <v>Operações Tabaco</v>
          </cell>
          <cell r="X907" t="str">
            <v>CRISOSTOMO CASTRO</v>
          </cell>
          <cell r="Y907" t="str">
            <v>MATHEUS ALMEIDA</v>
          </cell>
          <cell r="Z907" t="str">
            <v>ADALTON/JANILSON RORIZ/MARIVALDO</v>
          </cell>
        </row>
        <row r="908">
          <cell r="V908" t="str">
            <v>Curing/Loading Tabaco</v>
          </cell>
          <cell r="W908" t="str">
            <v>Operações Tabaco</v>
          </cell>
          <cell r="X908" t="str">
            <v>CRISOSTOMO CASTRO</v>
          </cell>
          <cell r="Y908" t="str">
            <v>MATHEUS ALMEIDA</v>
          </cell>
          <cell r="Z908" t="str">
            <v>ADALTON/JANILSON RORIZ/MARIVALDO</v>
          </cell>
        </row>
        <row r="909">
          <cell r="V909" t="str">
            <v>Desponte Tabaco</v>
          </cell>
          <cell r="W909" t="str">
            <v>Operações Tabaco</v>
          </cell>
          <cell r="X909" t="str">
            <v>CRISOSTOMO CASTRO</v>
          </cell>
          <cell r="Y909" t="str">
            <v>YAN SILVA</v>
          </cell>
          <cell r="Z909" t="str">
            <v>JUNIO TEIXEIRA /GEOVANI RORIZ</v>
          </cell>
        </row>
        <row r="910">
          <cell r="V910" t="str">
            <v>Controle Fitosanitário - MIP</v>
          </cell>
          <cell r="W910" t="str">
            <v>Operações Tabaco</v>
          </cell>
          <cell r="X910" t="str">
            <v>CRISOSTOMO CASTRO</v>
          </cell>
          <cell r="Y910" t="str">
            <v>YAN SILVA</v>
          </cell>
          <cell r="Z910" t="str">
            <v>JUNIO TEIXEIRA /GEOVANI RORIZ</v>
          </cell>
        </row>
        <row r="911">
          <cell r="V911" t="str">
            <v>Preparo Solo Tabaco</v>
          </cell>
          <cell r="W911" t="str">
            <v>Operações Tabaco</v>
          </cell>
          <cell r="X911" t="str">
            <v>CRISOSTOMO CASTRO</v>
          </cell>
          <cell r="Y911" t="str">
            <v>JOÃO FILHO</v>
          </cell>
          <cell r="Z911" t="str">
            <v>ALCENO JUNIOR/JOÃO MARCOS</v>
          </cell>
        </row>
        <row r="912">
          <cell r="V912" t="str">
            <v>Curing/Loading Tabaco</v>
          </cell>
          <cell r="W912" t="str">
            <v>Operações Tabaco</v>
          </cell>
          <cell r="X912" t="str">
            <v>CRISOSTOMO CASTRO</v>
          </cell>
          <cell r="Y912" t="str">
            <v>MATHEUS ALMEIDA</v>
          </cell>
          <cell r="Z912" t="str">
            <v>ADALTON/JANILSON RORIZ/MARIVALDO</v>
          </cell>
        </row>
        <row r="913">
          <cell r="V913" t="str">
            <v>Manutenção Agrícola Tabaco</v>
          </cell>
          <cell r="W913" t="str">
            <v>Operações Tabaco</v>
          </cell>
          <cell r="X913" t="str">
            <v>RAFAEL XAVIER</v>
          </cell>
          <cell r="Y913" t="str">
            <v>FERNANDO GUILHERME</v>
          </cell>
          <cell r="Z913" t="str">
            <v>MARCELO DOURADO</v>
          </cell>
        </row>
        <row r="914">
          <cell r="V914" t="str">
            <v>Manutenção Industrial Tabaco</v>
          </cell>
          <cell r="W914" t="str">
            <v>Operações Tabaco</v>
          </cell>
          <cell r="X914" t="str">
            <v>CRISOSTOMO CASTRO</v>
          </cell>
          <cell r="Y914" t="str">
            <v>MATHEUS ALMEIDA</v>
          </cell>
          <cell r="Z914" t="str">
            <v>IURY GUEDES</v>
          </cell>
        </row>
        <row r="915">
          <cell r="V915" t="str">
            <v>Facilities - Tabaco</v>
          </cell>
          <cell r="W915" t="str">
            <v>Gente e Gestão</v>
          </cell>
          <cell r="X915" t="str">
            <v xml:space="preserve">LEIDJANE MARTINS </v>
          </cell>
          <cell r="Y915" t="str">
            <v xml:space="preserve">LEIDJANE MARTINS </v>
          </cell>
          <cell r="Z915" t="str">
            <v>DENIS ACASSIO</v>
          </cell>
        </row>
        <row r="916">
          <cell r="V916" t="str">
            <v>Curing/Loading Tabaco</v>
          </cell>
          <cell r="W916" t="str">
            <v>Operações Tabaco</v>
          </cell>
          <cell r="X916" t="str">
            <v>CRISOSTOMO CASTRO</v>
          </cell>
          <cell r="Y916" t="str">
            <v>MATHEUS ALMEIDA</v>
          </cell>
          <cell r="Z916" t="str">
            <v>ADALTON/JANILSON RORIZ/MARIVALDO</v>
          </cell>
        </row>
        <row r="917">
          <cell r="V917" t="str">
            <v>Green House Tabaco</v>
          </cell>
          <cell r="W917" t="str">
            <v>Operações Tabaco</v>
          </cell>
          <cell r="X917" t="str">
            <v>CRISOSTOMO CASTRO</v>
          </cell>
          <cell r="Y917" t="str">
            <v>MATHEUS ALMEIDA</v>
          </cell>
          <cell r="Z917" t="str">
            <v>JOSIEL NEVES</v>
          </cell>
        </row>
        <row r="918">
          <cell r="V918" t="str">
            <v>Pulverização Tabaco</v>
          </cell>
          <cell r="W918" t="str">
            <v>Operações Tabaco</v>
          </cell>
          <cell r="X918" t="str">
            <v>CRISOSTOMO CASTRO</v>
          </cell>
          <cell r="Y918" t="str">
            <v>CRISOSTOMO CASTRO</v>
          </cell>
          <cell r="Z918" t="str">
            <v>JAILSON RORIZ</v>
          </cell>
        </row>
        <row r="919">
          <cell r="V919" t="str">
            <v>Controle Fitosanitário - MIP</v>
          </cell>
          <cell r="W919" t="str">
            <v>Operações Tabaco</v>
          </cell>
          <cell r="X919" t="str">
            <v>CRISOSTOMO CASTRO</v>
          </cell>
          <cell r="Y919" t="str">
            <v>YAN SILVA</v>
          </cell>
          <cell r="Z919" t="str">
            <v>JUNIO TEIXEIRA /GEOVANI RORIZ</v>
          </cell>
        </row>
        <row r="920">
          <cell r="V920" t="str">
            <v>Desponte Tabaco</v>
          </cell>
          <cell r="W920" t="str">
            <v>Operações Tabaco</v>
          </cell>
          <cell r="X920" t="str">
            <v>CRISOSTOMO CASTRO</v>
          </cell>
          <cell r="Y920" t="str">
            <v>YAN SILVA</v>
          </cell>
          <cell r="Z920" t="str">
            <v>JUNIO TEIXEIRA /GEOVANI RORIZ</v>
          </cell>
        </row>
        <row r="921">
          <cell r="V921" t="str">
            <v>Colheita Tabaco</v>
          </cell>
          <cell r="W921" t="str">
            <v>Operações Tabaco</v>
          </cell>
          <cell r="X921" t="str">
            <v>CRISOSTOMO CASTRO</v>
          </cell>
          <cell r="Y921" t="str">
            <v>JOÃO FILHO</v>
          </cell>
          <cell r="Z921" t="str">
            <v>ALCENO JUNIOR/JOÃO MARCOS</v>
          </cell>
        </row>
        <row r="922">
          <cell r="V922" t="str">
            <v>Preparo Solo Tabaco</v>
          </cell>
          <cell r="W922" t="str">
            <v>Operações Tabaco</v>
          </cell>
          <cell r="X922" t="str">
            <v>CRISOSTOMO CASTRO</v>
          </cell>
          <cell r="Y922" t="str">
            <v>JOÃO FILHO</v>
          </cell>
          <cell r="Z922" t="str">
            <v>ALCENO JUNIOR/JOÃO MARCOS</v>
          </cell>
        </row>
        <row r="923">
          <cell r="V923" t="str">
            <v>Colheita Tabaco</v>
          </cell>
          <cell r="W923" t="str">
            <v>Operações Tabaco</v>
          </cell>
          <cell r="X923" t="str">
            <v>CRISOSTOMO CASTRO</v>
          </cell>
          <cell r="Y923" t="str">
            <v>JOÃO FILHO</v>
          </cell>
          <cell r="Z923" t="str">
            <v>ALCENO JUNIOR/JOÃO MARCOS</v>
          </cell>
        </row>
        <row r="924">
          <cell r="V924" t="str">
            <v>Transplante Tabaco</v>
          </cell>
          <cell r="W924" t="str">
            <v>Operações Tabaco</v>
          </cell>
          <cell r="X924" t="str">
            <v>CRISOSTOMO CASTRO</v>
          </cell>
          <cell r="Y924" t="str">
            <v>YAN SILVA</v>
          </cell>
          <cell r="Z924" t="str">
            <v>JUNIO TEIXEIRA /GEOVANI RORIZ</v>
          </cell>
        </row>
        <row r="925">
          <cell r="V925" t="str">
            <v>Manutenção Agrícola Tabaco</v>
          </cell>
          <cell r="W925" t="str">
            <v>Operações Tabaco</v>
          </cell>
          <cell r="X925" t="str">
            <v>RAFAEL XAVIER</v>
          </cell>
          <cell r="Y925" t="str">
            <v>FERNANDO GUILHERME</v>
          </cell>
          <cell r="Z925" t="str">
            <v>MARCELO DOURADO</v>
          </cell>
        </row>
        <row r="926">
          <cell r="V926" t="str">
            <v>Unloading Tabaco</v>
          </cell>
          <cell r="W926" t="str">
            <v>Operações Tabaco</v>
          </cell>
          <cell r="X926" t="str">
            <v>CRISOSTOMO CASTRO</v>
          </cell>
          <cell r="Y926" t="str">
            <v>MATHEUS ALMEIDA</v>
          </cell>
        </row>
        <row r="927">
          <cell r="V927" t="str">
            <v>Curing/Loading Tabaco</v>
          </cell>
          <cell r="W927" t="str">
            <v>Operações Tabaco</v>
          </cell>
          <cell r="X927" t="str">
            <v>CRISOSTOMO CASTRO</v>
          </cell>
          <cell r="Y927" t="str">
            <v>MATHEUS ALMEIDA</v>
          </cell>
          <cell r="Z927" t="str">
            <v>ADALTON/JANILSON RORIZ/MARIVALDO</v>
          </cell>
        </row>
        <row r="928">
          <cell r="V928" t="str">
            <v>Green House Tabaco</v>
          </cell>
          <cell r="W928" t="str">
            <v>Operações Tabaco</v>
          </cell>
          <cell r="X928" t="str">
            <v>CRISOSTOMO CASTRO</v>
          </cell>
          <cell r="Y928" t="str">
            <v>MATHEUS ALMEIDA</v>
          </cell>
          <cell r="Z928" t="str">
            <v>JOSIEL NEVES</v>
          </cell>
        </row>
        <row r="929">
          <cell r="V929" t="str">
            <v>Manutenção Industrial Tabaco</v>
          </cell>
          <cell r="W929" t="str">
            <v>Operações Tabaco</v>
          </cell>
          <cell r="X929" t="str">
            <v>CRISOSTOMO CASTRO</v>
          </cell>
          <cell r="Y929" t="str">
            <v>MATHEUS ALMEIDA</v>
          </cell>
          <cell r="Z929" t="str">
            <v>IURY GUEDES</v>
          </cell>
        </row>
        <row r="930">
          <cell r="V930" t="str">
            <v>Transplante Tabaco</v>
          </cell>
          <cell r="W930" t="str">
            <v>Operações Tabaco</v>
          </cell>
          <cell r="X930" t="str">
            <v>CRISOSTOMO CASTRO</v>
          </cell>
          <cell r="Y930" t="str">
            <v>YAN SILVA</v>
          </cell>
          <cell r="Z930" t="str">
            <v>JUNIO TEIXEIRA /GEOVANI RORIZ</v>
          </cell>
        </row>
        <row r="931">
          <cell r="V931" t="str">
            <v>Manutenção Agrícola Tabaco</v>
          </cell>
          <cell r="W931" t="str">
            <v>Operações Tabaco</v>
          </cell>
          <cell r="X931" t="str">
            <v>RAFAEL XAVIER</v>
          </cell>
          <cell r="Y931" t="str">
            <v>FERNANDO GUILHERME</v>
          </cell>
          <cell r="Z931" t="str">
            <v>MARCELO DOURADO</v>
          </cell>
        </row>
        <row r="932">
          <cell r="V932" t="str">
            <v>Preparo Solo Tabaco</v>
          </cell>
          <cell r="W932" t="str">
            <v>Operações Tabaco</v>
          </cell>
          <cell r="X932" t="str">
            <v>CRISOSTOMO CASTRO</v>
          </cell>
          <cell r="Y932" t="str">
            <v>JOÃO FILHO</v>
          </cell>
          <cell r="Z932" t="str">
            <v>ALCENO JUNIOR/JOÃO MARCOS</v>
          </cell>
        </row>
        <row r="933">
          <cell r="V933" t="str">
            <v>Preparo Solo Tabaco</v>
          </cell>
          <cell r="W933" t="str">
            <v>Operações Tabaco</v>
          </cell>
          <cell r="X933" t="str">
            <v>CRISOSTOMO CASTRO</v>
          </cell>
          <cell r="Y933" t="str">
            <v>JOÃO FILHO</v>
          </cell>
          <cell r="Z933" t="str">
            <v>ALCENO JUNIOR/JOÃO MARCOS</v>
          </cell>
        </row>
        <row r="934">
          <cell r="V934" t="str">
            <v>Desponte Tabaco</v>
          </cell>
          <cell r="W934" t="str">
            <v>Operações Tabaco</v>
          </cell>
          <cell r="X934" t="str">
            <v>CRISOSTOMO CASTRO</v>
          </cell>
          <cell r="Y934" t="str">
            <v>YAN SILVA</v>
          </cell>
          <cell r="Z934" t="str">
            <v>JUNIO TEIXEIRA /GEOVANI RORIZ</v>
          </cell>
        </row>
        <row r="935">
          <cell r="V935" t="str">
            <v>Melhoria Continua - Tabaco</v>
          </cell>
          <cell r="W935" t="str">
            <v>Gente e Gestão</v>
          </cell>
          <cell r="X935" t="str">
            <v xml:space="preserve">GISELE NASCENTE </v>
          </cell>
          <cell r="Y935" t="str">
            <v xml:space="preserve">GISELE NASCENTE </v>
          </cell>
          <cell r="Z935" t="str">
            <v>MARCOS OLIVEIRA</v>
          </cell>
        </row>
        <row r="936">
          <cell r="V936" t="str">
            <v>Unloading Tabaco</v>
          </cell>
          <cell r="W936" t="str">
            <v>Operações Tabaco</v>
          </cell>
          <cell r="X936" t="str">
            <v>CRISOSTOMO CASTRO</v>
          </cell>
          <cell r="Y936" t="str">
            <v>MATHEUS ALMEIDA</v>
          </cell>
        </row>
        <row r="937">
          <cell r="V937" t="str">
            <v>Green House Tabaco</v>
          </cell>
          <cell r="W937" t="str">
            <v>Operações Tabaco</v>
          </cell>
          <cell r="X937" t="str">
            <v>CRISOSTOMO CASTRO</v>
          </cell>
          <cell r="Y937" t="str">
            <v>MATHEUS ALMEIDA</v>
          </cell>
          <cell r="Z937" t="str">
            <v>JOSIEL NEVES</v>
          </cell>
        </row>
        <row r="938">
          <cell r="V938" t="str">
            <v>Curing/Loading Tabaco</v>
          </cell>
          <cell r="W938" t="str">
            <v>Operações Tabaco</v>
          </cell>
          <cell r="X938" t="str">
            <v>CRISOSTOMO CASTRO</v>
          </cell>
          <cell r="Y938" t="str">
            <v>MATHEUS ALMEIDA</v>
          </cell>
          <cell r="Z938" t="str">
            <v>ADALTON/JANILSON RORIZ/MARIVALDO</v>
          </cell>
        </row>
        <row r="939">
          <cell r="V939" t="str">
            <v>Curing/Loading Tabaco</v>
          </cell>
          <cell r="W939" t="str">
            <v>Operações Tabaco</v>
          </cell>
          <cell r="X939" t="str">
            <v>CRISOSTOMO CASTRO</v>
          </cell>
          <cell r="Y939" t="str">
            <v>MATHEUS ALMEIDA</v>
          </cell>
          <cell r="Z939" t="str">
            <v>ADALTON/JANILSON RORIZ/MARIVALDO</v>
          </cell>
        </row>
        <row r="940">
          <cell r="V940" t="str">
            <v>Controle Fitosanitário - MIP</v>
          </cell>
          <cell r="W940" t="str">
            <v>Operações Tabaco</v>
          </cell>
          <cell r="X940" t="str">
            <v>CRISOSTOMO CASTRO</v>
          </cell>
          <cell r="Y940" t="str">
            <v>YAN SILVA</v>
          </cell>
          <cell r="Z940" t="str">
            <v>JUNIO TEIXEIRA /GEOVANI RORIZ</v>
          </cell>
        </row>
        <row r="941">
          <cell r="V941" t="str">
            <v>Preparo Solo Tabaco</v>
          </cell>
          <cell r="W941" t="str">
            <v>Operações Tabaco</v>
          </cell>
          <cell r="X941" t="str">
            <v>CRISOSTOMO CASTRO</v>
          </cell>
          <cell r="Y941" t="str">
            <v>JOÃO FILHO</v>
          </cell>
          <cell r="Z941" t="str">
            <v>ALCENO JUNIOR/JOÃO MARCOS</v>
          </cell>
        </row>
        <row r="942">
          <cell r="V942" t="str">
            <v>Melhoria Continua - Tabaco</v>
          </cell>
          <cell r="W942" t="str">
            <v>Gente e Gestão</v>
          </cell>
          <cell r="X942" t="str">
            <v xml:space="preserve">GISELE NASCENTE </v>
          </cell>
          <cell r="Y942" t="str">
            <v xml:space="preserve">GISELE NASCENTE </v>
          </cell>
          <cell r="Z942" t="str">
            <v>MARCOS OLIVEIRA</v>
          </cell>
        </row>
        <row r="943">
          <cell r="V943" t="str">
            <v>Transplante Tabaco</v>
          </cell>
          <cell r="W943" t="str">
            <v>Operações Tabaco</v>
          </cell>
          <cell r="X943" t="str">
            <v>CRISOSTOMO CASTRO</v>
          </cell>
          <cell r="Y943" t="str">
            <v>YAN SILVA</v>
          </cell>
          <cell r="Z943" t="str">
            <v>JUNIO TEIXEIRA /GEOVANI RORIZ</v>
          </cell>
        </row>
        <row r="944">
          <cell r="V944" t="str">
            <v>Apontamento Tabaco</v>
          </cell>
          <cell r="W944" t="str">
            <v>Operações Tabaco</v>
          </cell>
          <cell r="X944" t="str">
            <v>MATHEUS FERNANDES</v>
          </cell>
          <cell r="Y944" t="str">
            <v>MATHEUS FERNANDES</v>
          </cell>
        </row>
        <row r="945">
          <cell r="V945" t="str">
            <v>Colheita Tabaco</v>
          </cell>
          <cell r="W945" t="str">
            <v>Operações Tabaco</v>
          </cell>
          <cell r="X945" t="str">
            <v>CRISOSTOMO CASTRO</v>
          </cell>
          <cell r="Y945" t="str">
            <v>JOÃO FILHO</v>
          </cell>
          <cell r="Z945" t="str">
            <v>ALCENO JUNIOR/JOÃO MARCOS</v>
          </cell>
        </row>
        <row r="946">
          <cell r="V946" t="str">
            <v>Controle Fitosanitário - MIP</v>
          </cell>
          <cell r="W946" t="str">
            <v>Operações Tabaco</v>
          </cell>
          <cell r="X946" t="str">
            <v>CRISOSTOMO CASTRO</v>
          </cell>
          <cell r="Y946" t="str">
            <v>YAN SILVA</v>
          </cell>
          <cell r="Z946" t="str">
            <v>JUNIO TEIXEIRA /GEOVANI RORIZ</v>
          </cell>
        </row>
        <row r="947">
          <cell r="V947" t="str">
            <v>Pulverização Tabaco</v>
          </cell>
          <cell r="W947" t="str">
            <v>Operações Tabaco</v>
          </cell>
          <cell r="X947" t="str">
            <v>CRISOSTOMO CASTRO</v>
          </cell>
          <cell r="Y947" t="str">
            <v>CRISOSTOMO CASTRO</v>
          </cell>
          <cell r="Z947" t="str">
            <v>JAILSON RORIZ</v>
          </cell>
        </row>
        <row r="948">
          <cell r="V948" t="str">
            <v>Curing/Loading Tabaco</v>
          </cell>
          <cell r="W948" t="str">
            <v>Operações Tabaco</v>
          </cell>
          <cell r="X948" t="str">
            <v>CRISOSTOMO CASTRO</v>
          </cell>
          <cell r="Y948" t="str">
            <v>MATHEUS ALMEIDA</v>
          </cell>
          <cell r="Z948" t="str">
            <v>ADALTON/JANILSON RORIZ/MARIVALDO</v>
          </cell>
        </row>
        <row r="949">
          <cell r="V949" t="str">
            <v>Colheita Tabaco</v>
          </cell>
          <cell r="W949" t="str">
            <v>Operações Tabaco</v>
          </cell>
          <cell r="X949" t="str">
            <v>CRISOSTOMO CASTRO</v>
          </cell>
          <cell r="Y949" t="str">
            <v>JOÃO FILHO</v>
          </cell>
          <cell r="Z949" t="str">
            <v>ALCENO JUNIOR/JOÃO MARCOS</v>
          </cell>
        </row>
        <row r="950">
          <cell r="V950" t="str">
            <v>Controle Fitosanitário - MIP</v>
          </cell>
          <cell r="W950" t="str">
            <v>Operações Tabaco</v>
          </cell>
          <cell r="X950" t="str">
            <v>CRISOSTOMO CASTRO</v>
          </cell>
          <cell r="Y950" t="str">
            <v>YAN SILVA</v>
          </cell>
          <cell r="Z950" t="str">
            <v>JUNIO TEIXEIRA /GEOVANI RORIZ</v>
          </cell>
        </row>
        <row r="951">
          <cell r="V951" t="str">
            <v>Curing/Loading Tabaco</v>
          </cell>
          <cell r="W951" t="str">
            <v>Operações Tabaco</v>
          </cell>
          <cell r="X951" t="str">
            <v>CRISOSTOMO CASTRO</v>
          </cell>
          <cell r="Y951" t="str">
            <v>MATHEUS ALMEIDA</v>
          </cell>
          <cell r="Z951" t="str">
            <v>ADALTON/JANILSON RORIZ/MARIVALDO</v>
          </cell>
        </row>
        <row r="952">
          <cell r="V952" t="str">
            <v>Manutenção Agrícola Tabaco</v>
          </cell>
          <cell r="W952" t="str">
            <v>Operações Tabaco</v>
          </cell>
          <cell r="X952" t="str">
            <v>RAFAEL XAVIER</v>
          </cell>
          <cell r="Y952" t="str">
            <v>FERNANDO GUILHERME</v>
          </cell>
          <cell r="Z952" t="str">
            <v>MARCELO DOURADO</v>
          </cell>
        </row>
        <row r="953">
          <cell r="V953" t="str">
            <v>Desponte Tabaco</v>
          </cell>
          <cell r="W953" t="str">
            <v>Operações Tabaco</v>
          </cell>
          <cell r="X953" t="str">
            <v>CRISOSTOMO CASTRO</v>
          </cell>
          <cell r="Y953" t="str">
            <v>YAN SILVA</v>
          </cell>
          <cell r="Z953" t="str">
            <v>JUNIO TEIXEIRA /GEOVANI RORIZ</v>
          </cell>
        </row>
        <row r="954">
          <cell r="V954" t="str">
            <v>Facilities - Tabaco</v>
          </cell>
          <cell r="W954" t="str">
            <v>Gente e Gestão</v>
          </cell>
          <cell r="X954" t="str">
            <v xml:space="preserve">LEIDJANE MARTINS </v>
          </cell>
          <cell r="Y954" t="str">
            <v xml:space="preserve">LEIDJANE MARTINS </v>
          </cell>
          <cell r="Z954" t="str">
            <v>DENIS ACASSIO</v>
          </cell>
        </row>
        <row r="955">
          <cell r="V955" t="str">
            <v>Colheita Tabaco</v>
          </cell>
          <cell r="W955" t="str">
            <v>Operações Tabaco</v>
          </cell>
          <cell r="X955" t="str">
            <v>CRISOSTOMO CASTRO</v>
          </cell>
          <cell r="Y955" t="str">
            <v>JOÃO FILHO</v>
          </cell>
          <cell r="Z955" t="str">
            <v>ALCENO JUNIOR/JOÃO MARCOS</v>
          </cell>
        </row>
        <row r="956">
          <cell r="V956" t="str">
            <v>Pulverização Tabaco</v>
          </cell>
          <cell r="W956" t="str">
            <v>Operações Tabaco</v>
          </cell>
          <cell r="X956" t="str">
            <v>CRISOSTOMO CASTRO</v>
          </cell>
          <cell r="Y956" t="str">
            <v>CRISOSTOMO CASTRO</v>
          </cell>
          <cell r="Z956" t="str">
            <v>JAILSON RORIZ</v>
          </cell>
        </row>
        <row r="957">
          <cell r="V957" t="str">
            <v>Transplante Tabaco</v>
          </cell>
          <cell r="W957" t="str">
            <v>Operações Tabaco</v>
          </cell>
          <cell r="X957" t="str">
            <v>CRISOSTOMO CASTRO</v>
          </cell>
          <cell r="Y957" t="str">
            <v>YAN SILVA</v>
          </cell>
          <cell r="Z957" t="str">
            <v>JUNIO TEIXEIRA /GEOVANI RORIZ</v>
          </cell>
        </row>
        <row r="958">
          <cell r="V958" t="str">
            <v>Manutenção Industrial Tabaco</v>
          </cell>
          <cell r="W958" t="str">
            <v>Operações Tabaco</v>
          </cell>
          <cell r="X958" t="str">
            <v>CRISOSTOMO CASTRO</v>
          </cell>
          <cell r="Y958" t="str">
            <v>MATHEUS ALMEIDA</v>
          </cell>
          <cell r="Z958" t="str">
            <v>IURY GUEDES</v>
          </cell>
        </row>
        <row r="959">
          <cell r="V959" t="str">
            <v>Controle Fitosanitário - MIP</v>
          </cell>
          <cell r="W959" t="str">
            <v>Operações Tabaco</v>
          </cell>
          <cell r="X959" t="str">
            <v>CRISOSTOMO CASTRO</v>
          </cell>
          <cell r="Y959" t="str">
            <v>YAN SILVA</v>
          </cell>
          <cell r="Z959" t="str">
            <v>JUNIO TEIXEIRA /GEOVANI RORIZ</v>
          </cell>
        </row>
        <row r="960">
          <cell r="V960" t="str">
            <v>Melhoria Continua - Tabaco</v>
          </cell>
          <cell r="W960" t="str">
            <v>Gente e Gestão</v>
          </cell>
          <cell r="X960" t="str">
            <v xml:space="preserve">GISELE NASCENTE </v>
          </cell>
          <cell r="Y960" t="str">
            <v xml:space="preserve">GISELE NASCENTE </v>
          </cell>
          <cell r="Z960" t="str">
            <v>MARCOS OLIVEIRA</v>
          </cell>
        </row>
        <row r="961">
          <cell r="V961" t="str">
            <v>Manutenção Industrial Tabaco</v>
          </cell>
          <cell r="W961" t="str">
            <v>Operações Tabaco</v>
          </cell>
          <cell r="X961" t="str">
            <v>CRISOSTOMO CASTRO</v>
          </cell>
          <cell r="Y961" t="str">
            <v>MATHEUS ALMEIDA</v>
          </cell>
          <cell r="Z961" t="str">
            <v>IURY GUEDES</v>
          </cell>
        </row>
        <row r="962">
          <cell r="V962" t="str">
            <v>Green House Tabaco</v>
          </cell>
          <cell r="W962" t="str">
            <v>Operações Tabaco</v>
          </cell>
          <cell r="X962" t="str">
            <v>CRISOSTOMO CASTRO</v>
          </cell>
          <cell r="Y962" t="str">
            <v>MATHEUS ALMEIDA</v>
          </cell>
          <cell r="Z962" t="str">
            <v>JOSIEL NEVES</v>
          </cell>
        </row>
        <row r="963">
          <cell r="V963" t="str">
            <v>Unloading Tabaco</v>
          </cell>
          <cell r="W963" t="str">
            <v>Operações Tabaco</v>
          </cell>
          <cell r="X963" t="str">
            <v>CRISOSTOMO CASTRO</v>
          </cell>
          <cell r="Y963" t="str">
            <v>MATHEUS ALMEIDA</v>
          </cell>
        </row>
        <row r="964">
          <cell r="V964" t="str">
            <v>Colheita Tabaco</v>
          </cell>
          <cell r="W964" t="str">
            <v>Operações Tabaco</v>
          </cell>
          <cell r="X964" t="str">
            <v>CRISOSTOMO CASTRO</v>
          </cell>
          <cell r="Y964" t="str">
            <v>JOÃO FILHO</v>
          </cell>
          <cell r="Z964" t="str">
            <v>ALCENO JUNIOR/JOÃO MARCOS</v>
          </cell>
        </row>
        <row r="965">
          <cell r="V965" t="str">
            <v>Green House Tabaco</v>
          </cell>
          <cell r="W965" t="str">
            <v>Operações Tabaco</v>
          </cell>
          <cell r="X965" t="str">
            <v>CRISOSTOMO CASTRO</v>
          </cell>
          <cell r="Y965" t="str">
            <v>MATHEUS ALMEIDA</v>
          </cell>
          <cell r="Z965" t="str">
            <v>JOSIEL NEVES</v>
          </cell>
        </row>
        <row r="966">
          <cell r="V966" t="str">
            <v>Manutenção Industrial Tabaco</v>
          </cell>
          <cell r="W966" t="str">
            <v>Operações Tabaco</v>
          </cell>
          <cell r="X966" t="str">
            <v>CRISOSTOMO CASTRO</v>
          </cell>
          <cell r="Y966" t="str">
            <v>MATHEUS ALMEIDA</v>
          </cell>
          <cell r="Z966" t="str">
            <v>IURY GUEDES</v>
          </cell>
        </row>
        <row r="967">
          <cell r="V967" t="str">
            <v>Transplante Tabaco</v>
          </cell>
          <cell r="W967" t="str">
            <v>Operações Tabaco</v>
          </cell>
          <cell r="X967" t="str">
            <v>CRISOSTOMO CASTRO</v>
          </cell>
          <cell r="Y967" t="str">
            <v>YAN SILVA</v>
          </cell>
          <cell r="Z967" t="str">
            <v>JUNIO TEIXEIRA /GEOVANI RORIZ</v>
          </cell>
        </row>
        <row r="968">
          <cell r="V968" t="str">
            <v>Controle Fitosanitário - MIP</v>
          </cell>
          <cell r="W968" t="str">
            <v>Operações Tabaco</v>
          </cell>
          <cell r="X968" t="str">
            <v>CRISOSTOMO CASTRO</v>
          </cell>
          <cell r="Y968" t="str">
            <v>YAN SILVA</v>
          </cell>
          <cell r="Z968" t="str">
            <v>JUNIO TEIXEIRA /GEOVANI RORIZ</v>
          </cell>
        </row>
        <row r="969">
          <cell r="V969" t="str">
            <v>Curing/Loading Tabaco</v>
          </cell>
          <cell r="W969" t="str">
            <v>Operações Tabaco</v>
          </cell>
          <cell r="X969" t="str">
            <v>CRISOSTOMO CASTRO</v>
          </cell>
          <cell r="Y969" t="str">
            <v>MATHEUS ALMEIDA</v>
          </cell>
          <cell r="Z969" t="str">
            <v>ADALTON/JANILSON RORIZ/MARIVALDO</v>
          </cell>
        </row>
        <row r="970">
          <cell r="V970" t="str">
            <v>Green House Tabaco</v>
          </cell>
          <cell r="W970" t="str">
            <v>Operações Tabaco</v>
          </cell>
          <cell r="X970" t="str">
            <v>CRISOSTOMO CASTRO</v>
          </cell>
          <cell r="Y970" t="str">
            <v>MATHEUS ALMEIDA</v>
          </cell>
          <cell r="Z970" t="str">
            <v>JOSIEL NEVES</v>
          </cell>
        </row>
        <row r="971">
          <cell r="V971" t="str">
            <v>Facilities - Tabaco</v>
          </cell>
          <cell r="W971" t="str">
            <v>Gente e Gestão</v>
          </cell>
          <cell r="X971" t="str">
            <v xml:space="preserve">LEIDJANE MARTINS </v>
          </cell>
          <cell r="Y971" t="str">
            <v xml:space="preserve">LEIDJANE MARTINS </v>
          </cell>
          <cell r="Z971" t="str">
            <v>DENIS ACASSIO</v>
          </cell>
        </row>
        <row r="972">
          <cell r="V972" t="str">
            <v>Facilities - Tabaco</v>
          </cell>
          <cell r="W972" t="str">
            <v>Gente e Gestão</v>
          </cell>
          <cell r="X972" t="str">
            <v xml:space="preserve">LEIDJANE MARTINS </v>
          </cell>
          <cell r="Y972" t="str">
            <v xml:space="preserve">LEIDJANE MARTINS </v>
          </cell>
          <cell r="Z972" t="str">
            <v>DENIS ACASSIO</v>
          </cell>
        </row>
        <row r="973">
          <cell r="V973" t="str">
            <v>Curing/Loading Tabaco</v>
          </cell>
          <cell r="W973" t="str">
            <v>Operações Tabaco</v>
          </cell>
          <cell r="X973" t="str">
            <v>CRISOSTOMO CASTRO</v>
          </cell>
          <cell r="Y973" t="str">
            <v>MATHEUS ALMEIDA</v>
          </cell>
          <cell r="Z973" t="str">
            <v>ADALTON/JANILSON RORIZ/MARIVALDO</v>
          </cell>
        </row>
        <row r="974">
          <cell r="V974" t="str">
            <v>Curing/Loading Tabaco</v>
          </cell>
          <cell r="W974" t="str">
            <v>Operações Tabaco</v>
          </cell>
          <cell r="X974" t="str">
            <v>CRISOSTOMO CASTRO</v>
          </cell>
          <cell r="Y974" t="str">
            <v>MATHEUS ALMEIDA</v>
          </cell>
          <cell r="Z974" t="str">
            <v>ADALTON/JANILSON RORIZ/MARIVALDO</v>
          </cell>
        </row>
        <row r="975">
          <cell r="V975" t="str">
            <v>Melhoria Continua - Tabaco</v>
          </cell>
          <cell r="W975" t="str">
            <v>Gente e Gestão</v>
          </cell>
          <cell r="X975" t="str">
            <v xml:space="preserve">GISELE NASCENTE </v>
          </cell>
          <cell r="Y975" t="str">
            <v xml:space="preserve">GISELE NASCENTE </v>
          </cell>
          <cell r="Z975" t="str">
            <v>MARCOS OLIVEIRA</v>
          </cell>
        </row>
        <row r="976">
          <cell r="V976" t="str">
            <v>Colheita Tabaco</v>
          </cell>
          <cell r="W976" t="str">
            <v>Operações Tabaco</v>
          </cell>
          <cell r="X976" t="str">
            <v>CRISOSTOMO CASTRO</v>
          </cell>
          <cell r="Y976" t="str">
            <v>JOÃO FILHO</v>
          </cell>
          <cell r="Z976" t="str">
            <v>ALCENO JUNIOR/JOÃO MARCOS</v>
          </cell>
        </row>
        <row r="977">
          <cell r="V977" t="str">
            <v>Curing/Loading Tabaco</v>
          </cell>
          <cell r="W977" t="str">
            <v>Operações Tabaco</v>
          </cell>
          <cell r="X977" t="str">
            <v>CRISOSTOMO CASTRO</v>
          </cell>
          <cell r="Y977" t="str">
            <v>MATHEUS ALMEIDA</v>
          </cell>
          <cell r="Z977" t="str">
            <v>ADALTON/JANILSON RORIZ/MARIVALDO</v>
          </cell>
        </row>
        <row r="978">
          <cell r="V978" t="str">
            <v>Manutenção Agrícola Tabaco</v>
          </cell>
          <cell r="W978" t="str">
            <v>Operações Tabaco</v>
          </cell>
          <cell r="X978" t="str">
            <v>RAFAEL XAVIER</v>
          </cell>
          <cell r="Y978" t="str">
            <v>FERNANDO GUILHERME</v>
          </cell>
          <cell r="Z978" t="str">
            <v>MARCELO DOURADO</v>
          </cell>
        </row>
        <row r="979">
          <cell r="V979" t="str">
            <v>Unloading Tabaco</v>
          </cell>
          <cell r="W979" t="str">
            <v>Operações Tabaco</v>
          </cell>
          <cell r="X979" t="str">
            <v>CRISOSTOMO CASTRO</v>
          </cell>
          <cell r="Y979" t="str">
            <v>MATHEUS ALMEIDA</v>
          </cell>
        </row>
        <row r="980">
          <cell r="V980" t="str">
            <v>Desponte Tabaco</v>
          </cell>
          <cell r="W980" t="str">
            <v>Operações Tabaco</v>
          </cell>
          <cell r="X980" t="str">
            <v>CRISOSTOMO CASTRO</v>
          </cell>
          <cell r="Y980" t="str">
            <v>YAN SILVA</v>
          </cell>
          <cell r="Z980" t="str">
            <v>JUNIO TEIXEIRA /GEOVANI RORIZ</v>
          </cell>
        </row>
        <row r="981">
          <cell r="V981" t="str">
            <v>Gestor Industrial</v>
          </cell>
          <cell r="W981" t="str">
            <v>Operações Tabaco</v>
          </cell>
          <cell r="X981" t="str">
            <v>CRISOSTOMO CASTRO</v>
          </cell>
        </row>
        <row r="982">
          <cell r="V982" t="str">
            <v>Curing/Loading Tabaco</v>
          </cell>
          <cell r="W982" t="str">
            <v>Operações Tabaco</v>
          </cell>
          <cell r="X982" t="str">
            <v>CRISOSTOMO CASTRO</v>
          </cell>
          <cell r="Y982" t="str">
            <v>MATHEUS ALMEIDA</v>
          </cell>
          <cell r="Z982" t="str">
            <v>ADALTON/JANILSON RORIZ/MARIVALDO</v>
          </cell>
        </row>
        <row r="983">
          <cell r="V983" t="str">
            <v>Green House Tabaco</v>
          </cell>
          <cell r="W983" t="str">
            <v>Operações Tabaco</v>
          </cell>
          <cell r="X983" t="str">
            <v>CRISOSTOMO CASTRO</v>
          </cell>
          <cell r="Y983" t="str">
            <v>MATHEUS ALMEIDA</v>
          </cell>
          <cell r="Z983" t="str">
            <v>JOSIEL NEVES</v>
          </cell>
        </row>
        <row r="984">
          <cell r="V984" t="str">
            <v>Curing/Loading Tabaco</v>
          </cell>
          <cell r="W984" t="str">
            <v>Operações Tabaco</v>
          </cell>
          <cell r="X984" t="str">
            <v>CRISOSTOMO CASTRO</v>
          </cell>
          <cell r="Y984" t="str">
            <v>MATHEUS ALMEIDA</v>
          </cell>
          <cell r="Z984" t="str">
            <v>ADALTON/JANILSON RORIZ/MARIVALDO</v>
          </cell>
        </row>
        <row r="985">
          <cell r="V985" t="str">
            <v>Colheita Tabaco</v>
          </cell>
          <cell r="W985" t="str">
            <v>Operações Tabaco</v>
          </cell>
          <cell r="X985" t="str">
            <v>CRISOSTOMO CASTRO</v>
          </cell>
          <cell r="Y985" t="str">
            <v>JOÃO FILHO</v>
          </cell>
          <cell r="Z985" t="str">
            <v>ALCENO JUNIOR/JOÃO MARCOS</v>
          </cell>
        </row>
        <row r="986">
          <cell r="V986" t="str">
            <v>Transplante Tabaco</v>
          </cell>
          <cell r="W986" t="str">
            <v>Operações Tabaco</v>
          </cell>
          <cell r="X986" t="str">
            <v>CRISOSTOMO CASTRO</v>
          </cell>
          <cell r="Y986" t="str">
            <v>YAN SILVA</v>
          </cell>
          <cell r="Z986" t="str">
            <v>JUNIO TEIXEIRA /GEOVANI RORIZ</v>
          </cell>
        </row>
        <row r="987">
          <cell r="V987" t="str">
            <v>Green House Tabaco</v>
          </cell>
          <cell r="W987" t="str">
            <v>Operações Tabaco</v>
          </cell>
          <cell r="X987" t="str">
            <v>CRISOSTOMO CASTRO</v>
          </cell>
          <cell r="Y987" t="str">
            <v>MATHEUS ALMEIDA</v>
          </cell>
          <cell r="Z987" t="str">
            <v>JOSIEL NEVES</v>
          </cell>
        </row>
        <row r="988">
          <cell r="V988" t="str">
            <v>Manutenção Agrícola Tabaco</v>
          </cell>
          <cell r="W988" t="str">
            <v>Operações Tabaco</v>
          </cell>
          <cell r="X988" t="str">
            <v>RAFAEL XAVIER</v>
          </cell>
          <cell r="Y988" t="str">
            <v>FERNANDO GUILHERME</v>
          </cell>
          <cell r="Z988" t="str">
            <v>MARCELO DOURADO</v>
          </cell>
        </row>
        <row r="989">
          <cell r="V989" t="str">
            <v>Planejamento Irrigação Grãos</v>
          </cell>
          <cell r="W989" t="str">
            <v>Operações Karitel</v>
          </cell>
          <cell r="X989" t="str">
            <v>PAULO BONIFÁCIO</v>
          </cell>
          <cell r="Y989" t="str">
            <v>PAULO BONIFÁCIO</v>
          </cell>
          <cell r="Z989" t="str">
            <v xml:space="preserve">LEONARDO SANTOS </v>
          </cell>
        </row>
        <row r="990">
          <cell r="V990" t="str">
            <v>Facilities - Tabaco</v>
          </cell>
          <cell r="W990" t="str">
            <v>Gente e Gestão</v>
          </cell>
          <cell r="X990" t="str">
            <v xml:space="preserve">LEIDJANE MARTINS </v>
          </cell>
          <cell r="Y990" t="str">
            <v xml:space="preserve">LEIDJANE MARTINS </v>
          </cell>
          <cell r="Z990" t="str">
            <v>DENIS ACASSIO</v>
          </cell>
        </row>
        <row r="991">
          <cell r="V991" t="str">
            <v>Manutenção Industrial Tabaco</v>
          </cell>
          <cell r="W991" t="str">
            <v>Operações Tabaco</v>
          </cell>
          <cell r="X991" t="str">
            <v>CRISOSTOMO CASTRO</v>
          </cell>
          <cell r="Y991" t="str">
            <v>MATHEUS ALMEIDA</v>
          </cell>
          <cell r="Z991" t="str">
            <v>IURY GUEDES</v>
          </cell>
        </row>
        <row r="992">
          <cell r="V992" t="str">
            <v>Transplante Tabaco</v>
          </cell>
          <cell r="W992" t="str">
            <v>Operações Tabaco</v>
          </cell>
          <cell r="X992" t="str">
            <v>CRISOSTOMO CASTRO</v>
          </cell>
          <cell r="Y992" t="str">
            <v>YAN SILVA</v>
          </cell>
          <cell r="Z992" t="str">
            <v>JUNIO TEIXEIRA /GEOVANI RORIZ</v>
          </cell>
        </row>
        <row r="993">
          <cell r="V993" t="str">
            <v>Colheita Tabaco</v>
          </cell>
          <cell r="W993" t="str">
            <v>Operações Tabaco</v>
          </cell>
          <cell r="X993" t="str">
            <v>CRISOSTOMO CASTRO</v>
          </cell>
          <cell r="Y993" t="str">
            <v>JOÃO FILHO</v>
          </cell>
          <cell r="Z993" t="str">
            <v>ALCENO JUNIOR/JOÃO MARCOS</v>
          </cell>
        </row>
        <row r="994">
          <cell r="V994" t="str">
            <v>Curing/Loading Tabaco</v>
          </cell>
          <cell r="W994" t="str">
            <v>Operações Tabaco</v>
          </cell>
          <cell r="X994" t="str">
            <v>CRISOSTOMO CASTRO</v>
          </cell>
          <cell r="Y994" t="str">
            <v>MATHEUS ALMEIDA</v>
          </cell>
          <cell r="Z994" t="str">
            <v>ADALTON/JANILSON RORIZ/MARIVALDO</v>
          </cell>
        </row>
        <row r="995">
          <cell r="V995" t="str">
            <v>Desponte Tabaco</v>
          </cell>
          <cell r="W995" t="str">
            <v>Operações Tabaco</v>
          </cell>
          <cell r="X995" t="str">
            <v>CRISOSTOMO CASTRO</v>
          </cell>
          <cell r="Y995" t="str">
            <v>YAN SILVA</v>
          </cell>
          <cell r="Z995" t="str">
            <v>JUNIO TEIXEIRA /GEOVANI RORIZ</v>
          </cell>
        </row>
        <row r="996">
          <cell r="V996" t="str">
            <v>Desponte Tabaco</v>
          </cell>
          <cell r="W996" t="str">
            <v>Operações Tabaco</v>
          </cell>
          <cell r="X996" t="str">
            <v>CRISOSTOMO CASTRO</v>
          </cell>
          <cell r="Y996" t="str">
            <v>YAN SILVA</v>
          </cell>
          <cell r="Z996" t="str">
            <v>JUNIO TEIXEIRA /GEOVANI RORIZ</v>
          </cell>
        </row>
        <row r="997">
          <cell r="V997" t="str">
            <v>Manutenção Industrial Tabaco</v>
          </cell>
          <cell r="W997" t="str">
            <v>Operações Tabaco</v>
          </cell>
          <cell r="X997" t="str">
            <v>CRISOSTOMO CASTRO</v>
          </cell>
          <cell r="Y997" t="str">
            <v>MATHEUS ALMEIDA</v>
          </cell>
          <cell r="Z997" t="str">
            <v>IURY GUEDES</v>
          </cell>
        </row>
        <row r="998">
          <cell r="V998" t="str">
            <v>Colheita Tabaco</v>
          </cell>
          <cell r="W998" t="str">
            <v>Operações Tabaco</v>
          </cell>
          <cell r="X998" t="str">
            <v>CRISOSTOMO CASTRO</v>
          </cell>
          <cell r="Y998" t="str">
            <v>JOÃO FILHO</v>
          </cell>
          <cell r="Z998" t="str">
            <v>ALCENO JUNIOR/JOÃO MARCOS</v>
          </cell>
        </row>
        <row r="999">
          <cell r="V999" t="str">
            <v>Desponte Tabaco</v>
          </cell>
          <cell r="W999" t="str">
            <v>Operações Tabaco</v>
          </cell>
          <cell r="X999" t="str">
            <v>CRISOSTOMO CASTRO</v>
          </cell>
          <cell r="Y999" t="str">
            <v>YAN SILVA</v>
          </cell>
          <cell r="Z999" t="str">
            <v>JUNIO TEIXEIRA /GEOVANI RORIZ</v>
          </cell>
        </row>
        <row r="1000">
          <cell r="V1000" t="str">
            <v>Apontamento Graos/Tabaco</v>
          </cell>
          <cell r="W1000" t="str">
            <v>Operações Karitel</v>
          </cell>
          <cell r="X1000" t="str">
            <v>MATHEUS FERNANDES</v>
          </cell>
          <cell r="Y1000" t="str">
            <v>MATHEUS FERNANDES</v>
          </cell>
        </row>
        <row r="1001">
          <cell r="V1001" t="str">
            <v>Curing/Loading Tabaco</v>
          </cell>
          <cell r="W1001" t="str">
            <v>Operações Tabaco</v>
          </cell>
          <cell r="X1001" t="str">
            <v>CRISOSTOMO CASTRO</v>
          </cell>
          <cell r="Y1001" t="str">
            <v>MATHEUS ALMEIDA</v>
          </cell>
          <cell r="Z1001" t="str">
            <v>ADALTON/JANILSON RORIZ/MARIVALDO</v>
          </cell>
        </row>
        <row r="1002">
          <cell r="V1002" t="str">
            <v>Curing/Loading Tabaco</v>
          </cell>
          <cell r="W1002" t="str">
            <v>Operações Tabaco</v>
          </cell>
          <cell r="X1002" t="str">
            <v>CRISOSTOMO CASTRO</v>
          </cell>
          <cell r="Y1002" t="str">
            <v>MATHEUS ALMEIDA</v>
          </cell>
          <cell r="Z1002" t="str">
            <v>ADALTON/JANILSON RORIZ/MARIVALDO</v>
          </cell>
        </row>
        <row r="1003">
          <cell r="V1003" t="str">
            <v>Desponte Tabaco</v>
          </cell>
          <cell r="W1003" t="str">
            <v>Operações Tabaco</v>
          </cell>
          <cell r="X1003" t="str">
            <v>CRISOSTOMO CASTRO</v>
          </cell>
          <cell r="Y1003" t="str">
            <v>YAN SILVA</v>
          </cell>
          <cell r="Z1003" t="str">
            <v>JUNIO TEIXEIRA /GEOVANI RORIZ</v>
          </cell>
        </row>
        <row r="1004">
          <cell r="V1004" t="str">
            <v>SSMA - Karitel</v>
          </cell>
          <cell r="W1004" t="str">
            <v>Gente e Gestão</v>
          </cell>
          <cell r="X1004" t="str">
            <v>CARSON NEVES</v>
          </cell>
          <cell r="Y1004" t="str">
            <v>CARSON NEVES</v>
          </cell>
        </row>
        <row r="1005">
          <cell r="V1005" t="str">
            <v>Desponte Tabaco</v>
          </cell>
          <cell r="W1005" t="str">
            <v>Operações Tabaco</v>
          </cell>
          <cell r="X1005" t="str">
            <v>CRISOSTOMO CASTRO</v>
          </cell>
          <cell r="Y1005" t="str">
            <v>YAN SILVA</v>
          </cell>
          <cell r="Z1005" t="str">
            <v>JUNIO TEIXEIRA /GEOVANI RORIZ</v>
          </cell>
        </row>
        <row r="1006">
          <cell r="V1006" t="str">
            <v>Controle Fitosanitário - MIP</v>
          </cell>
          <cell r="W1006" t="str">
            <v>Operações Tabaco</v>
          </cell>
          <cell r="X1006" t="str">
            <v>CRISOSTOMO CASTRO</v>
          </cell>
          <cell r="Y1006" t="str">
            <v>YAN SILVA</v>
          </cell>
          <cell r="Z1006" t="str">
            <v>JUNIO TEIXEIRA /GEOVANI RORIZ</v>
          </cell>
        </row>
        <row r="1007">
          <cell r="V1007" t="str">
            <v>Green House Tabaco</v>
          </cell>
          <cell r="W1007" t="str">
            <v>Operações Tabaco</v>
          </cell>
          <cell r="X1007" t="str">
            <v>CRISOSTOMO CASTRO</v>
          </cell>
          <cell r="Y1007" t="str">
            <v>MATHEUS ALMEIDA</v>
          </cell>
          <cell r="Z1007" t="str">
            <v>JOSIEL NEVES</v>
          </cell>
        </row>
        <row r="1008">
          <cell r="V1008" t="str">
            <v>Manutenção Agrícola Tabaco</v>
          </cell>
          <cell r="W1008" t="str">
            <v>Operações Tabaco</v>
          </cell>
          <cell r="X1008" t="str">
            <v>RAFAEL XAVIER</v>
          </cell>
          <cell r="Y1008" t="str">
            <v>FERNANDO GUILHERME</v>
          </cell>
          <cell r="Z1008" t="str">
            <v>MARCELO DOURADO</v>
          </cell>
        </row>
        <row r="1009">
          <cell r="V1009" t="str">
            <v>Transplante Tabaco</v>
          </cell>
          <cell r="W1009" t="str">
            <v>Operações Tabaco</v>
          </cell>
          <cell r="X1009" t="str">
            <v>CRISOSTOMO CASTRO</v>
          </cell>
          <cell r="Y1009" t="str">
            <v>YAN SILVA</v>
          </cell>
          <cell r="Z1009" t="str">
            <v>JUNIO TEIXEIRA /GEOVANI RORIZ</v>
          </cell>
        </row>
        <row r="1010">
          <cell r="V1010" t="str">
            <v>Controle Fitosanitário - MIP</v>
          </cell>
          <cell r="W1010" t="str">
            <v>Operações Tabaco</v>
          </cell>
          <cell r="X1010" t="str">
            <v>CRISOSTOMO CASTRO</v>
          </cell>
          <cell r="Y1010" t="str">
            <v>YAN SILVA</v>
          </cell>
          <cell r="Z1010" t="str">
            <v>JUNIO TEIXEIRA /GEOVANI RORIZ</v>
          </cell>
        </row>
        <row r="1011">
          <cell r="V1011" t="str">
            <v>Colheita Tabaco</v>
          </cell>
          <cell r="W1011" t="str">
            <v>Operações Tabaco</v>
          </cell>
          <cell r="X1011" t="str">
            <v>CRISOSTOMO CASTRO</v>
          </cell>
          <cell r="Y1011" t="str">
            <v>JOÃO FILHO</v>
          </cell>
          <cell r="Z1011" t="str">
            <v>ALCENO JUNIOR/JOÃO MARCOS</v>
          </cell>
        </row>
        <row r="1012">
          <cell r="V1012" t="str">
            <v>Unloading Tabaco</v>
          </cell>
          <cell r="W1012" t="str">
            <v>Operações Tabaco</v>
          </cell>
          <cell r="X1012" t="str">
            <v>CRISOSTOMO CASTRO</v>
          </cell>
          <cell r="Y1012" t="str">
            <v>MATHEUS ALMEIDA</v>
          </cell>
        </row>
        <row r="1013">
          <cell r="V1013" t="str">
            <v>Transplante Tabaco</v>
          </cell>
          <cell r="W1013" t="str">
            <v>Operações Tabaco</v>
          </cell>
          <cell r="X1013" t="str">
            <v>CRISOSTOMO CASTRO</v>
          </cell>
          <cell r="Y1013" t="str">
            <v>YAN SILVA</v>
          </cell>
          <cell r="Z1013" t="str">
            <v>JUNIO TEIXEIRA /GEOVANI RORIZ</v>
          </cell>
        </row>
        <row r="1014">
          <cell r="V1014" t="str">
            <v>Colheita Tabaco</v>
          </cell>
          <cell r="W1014" t="str">
            <v>Operações Tabaco</v>
          </cell>
          <cell r="X1014" t="str">
            <v>CRISOSTOMO CASTRO</v>
          </cell>
          <cell r="Y1014" t="str">
            <v>JOÃO FILHO</v>
          </cell>
          <cell r="Z1014" t="str">
            <v>ALCENO JUNIOR/JOÃO MARCOS</v>
          </cell>
        </row>
        <row r="1015">
          <cell r="V1015" t="str">
            <v>Controle Fitosanitário - MIP</v>
          </cell>
          <cell r="W1015" t="str">
            <v>Operações Tabaco</v>
          </cell>
          <cell r="X1015" t="str">
            <v>CRISOSTOMO CASTRO</v>
          </cell>
          <cell r="Y1015" t="str">
            <v>YAN SILVA</v>
          </cell>
          <cell r="Z1015" t="str">
            <v>JUNIO TEIXEIRA /GEOVANI RORIZ</v>
          </cell>
        </row>
        <row r="1016">
          <cell r="V1016" t="str">
            <v>Almoxarifado - Tabaco</v>
          </cell>
          <cell r="W1016" t="str">
            <v>Finanças</v>
          </cell>
          <cell r="X1016" t="str">
            <v>ANDREZA LARDO</v>
          </cell>
          <cell r="Y1016" t="str">
            <v>ANDREZA LARDO</v>
          </cell>
          <cell r="Z1016" t="str">
            <v>ADENILTON RODRIGUES</v>
          </cell>
        </row>
        <row r="1017">
          <cell r="V1017" t="str">
            <v>Curing/Loading Tabaco</v>
          </cell>
          <cell r="W1017" t="str">
            <v>Operações Tabaco</v>
          </cell>
          <cell r="X1017" t="str">
            <v>CRISOSTOMO CASTRO</v>
          </cell>
          <cell r="Y1017" t="str">
            <v>MATHEUS ALMEIDA</v>
          </cell>
          <cell r="Z1017" t="str">
            <v>ADALTON/JANILSON RORIZ/MARIVALDO</v>
          </cell>
        </row>
        <row r="1018">
          <cell r="V1018" t="str">
            <v>Unloading Tabaco</v>
          </cell>
          <cell r="W1018" t="str">
            <v>Operações Tabaco</v>
          </cell>
          <cell r="X1018" t="str">
            <v>CRISOSTOMO CASTRO</v>
          </cell>
          <cell r="Y1018" t="str">
            <v>MATHEUS ALMEIDA</v>
          </cell>
        </row>
        <row r="1019">
          <cell r="V1019" t="str">
            <v>Manutenção Industrial Tabaco</v>
          </cell>
          <cell r="W1019" t="str">
            <v>Operações Tabaco</v>
          </cell>
          <cell r="X1019" t="str">
            <v>CRISOSTOMO CASTRO</v>
          </cell>
          <cell r="Y1019" t="str">
            <v>MATHEUS ALMEIDA</v>
          </cell>
          <cell r="Z1019" t="str">
            <v>IURY GUEDES</v>
          </cell>
        </row>
        <row r="1020">
          <cell r="V1020" t="str">
            <v>Gestao Diretoria</v>
          </cell>
          <cell r="W1020" t="str">
            <v>Operações Karitel</v>
          </cell>
          <cell r="X1020" t="str">
            <v xml:space="preserve">CARLOS OLIVEIRA </v>
          </cell>
          <cell r="Y1020" t="str">
            <v xml:space="preserve">CARLOS OLIVEIRA </v>
          </cell>
        </row>
        <row r="1021">
          <cell r="V1021" t="str">
            <v>Almoxarifado - Tabaco</v>
          </cell>
          <cell r="W1021" t="str">
            <v>Finanças</v>
          </cell>
          <cell r="X1021" t="str">
            <v>ANDREZA LARDO</v>
          </cell>
          <cell r="Y1021" t="str">
            <v>ANDREZA LARDO</v>
          </cell>
          <cell r="Z1021" t="str">
            <v>ADENILTON RODRIGUES</v>
          </cell>
        </row>
        <row r="1022">
          <cell r="V1022" t="str">
            <v>Desponte Tabaco</v>
          </cell>
          <cell r="W1022" t="str">
            <v>Operações Tabaco</v>
          </cell>
          <cell r="X1022" t="str">
            <v>CRISOSTOMO CASTRO</v>
          </cell>
          <cell r="Y1022" t="str">
            <v>YAN SILVA</v>
          </cell>
          <cell r="Z1022" t="str">
            <v>JUNIO TEIXEIRA /GEOVANI RORIZ</v>
          </cell>
        </row>
        <row r="1023">
          <cell r="V1023" t="str">
            <v>Unloading Tabaco</v>
          </cell>
          <cell r="W1023" t="str">
            <v>Operações Tabaco</v>
          </cell>
          <cell r="X1023" t="str">
            <v>CRISOSTOMO CASTRO</v>
          </cell>
          <cell r="Y1023" t="str">
            <v>MATHEUS ALMEIDA</v>
          </cell>
        </row>
        <row r="1024">
          <cell r="V1024" t="str">
            <v>Curing/Loading Tabaco</v>
          </cell>
          <cell r="W1024" t="str">
            <v>Operações Tabaco</v>
          </cell>
          <cell r="X1024" t="str">
            <v>CRISOSTOMO CASTRO</v>
          </cell>
          <cell r="Y1024" t="str">
            <v>MATHEUS ALMEIDA</v>
          </cell>
          <cell r="Z1024" t="str">
            <v>ADALTON/JANILSON RORIZ/MARIVALDO</v>
          </cell>
        </row>
        <row r="1025">
          <cell r="V1025" t="str">
            <v>Green House Tabaco</v>
          </cell>
          <cell r="W1025" t="str">
            <v>Operações Tabaco</v>
          </cell>
          <cell r="X1025" t="str">
            <v>CRISOSTOMO CASTRO</v>
          </cell>
          <cell r="Y1025" t="str">
            <v>MATHEUS ALMEIDA</v>
          </cell>
          <cell r="Z1025" t="str">
            <v>JOSIEL NEVES</v>
          </cell>
        </row>
        <row r="1026">
          <cell r="V1026" t="str">
            <v>Colheita Tabaco</v>
          </cell>
          <cell r="W1026" t="str">
            <v>Operações Tabaco</v>
          </cell>
          <cell r="X1026" t="str">
            <v>CRISOSTOMO CASTRO</v>
          </cell>
          <cell r="Y1026" t="str">
            <v>JOÃO FILHO</v>
          </cell>
          <cell r="Z1026" t="str">
            <v>ALCENO JUNIOR/JOÃO MARCOS</v>
          </cell>
        </row>
        <row r="1027">
          <cell r="V1027" t="str">
            <v>Transplante Tabaco</v>
          </cell>
          <cell r="W1027" t="str">
            <v>Operações Tabaco</v>
          </cell>
          <cell r="X1027" t="str">
            <v>CRISOSTOMO CASTRO</v>
          </cell>
          <cell r="Y1027" t="str">
            <v>YAN SILVA</v>
          </cell>
          <cell r="Z1027" t="str">
            <v>JUNIO TEIXEIRA /GEOVANI RORIZ</v>
          </cell>
        </row>
        <row r="1028">
          <cell r="V1028" t="str">
            <v>Colheita Tabaco</v>
          </cell>
          <cell r="W1028" t="str">
            <v>Operações Tabaco</v>
          </cell>
          <cell r="X1028" t="str">
            <v>CRISOSTOMO CASTRO</v>
          </cell>
          <cell r="Y1028" t="str">
            <v>JOÃO FILHO</v>
          </cell>
          <cell r="Z1028" t="str">
            <v>ALCENO JUNIOR/JOÃO MARCOS</v>
          </cell>
        </row>
        <row r="1029">
          <cell r="V1029" t="str">
            <v>Unloading Tabaco</v>
          </cell>
          <cell r="W1029" t="str">
            <v>Operações Tabaco</v>
          </cell>
          <cell r="X1029" t="str">
            <v>CRISOSTOMO CASTRO</v>
          </cell>
          <cell r="Y1029" t="str">
            <v>MATHEUS ALMEIDA</v>
          </cell>
        </row>
        <row r="1030">
          <cell r="V1030" t="str">
            <v>Facilities - Tabaco</v>
          </cell>
          <cell r="W1030" t="str">
            <v>Gente e Gestão</v>
          </cell>
          <cell r="X1030" t="str">
            <v xml:space="preserve">LEIDJANE MARTINS </v>
          </cell>
          <cell r="Y1030" t="str">
            <v xml:space="preserve">LEIDJANE MARTINS </v>
          </cell>
          <cell r="Z1030" t="str">
            <v>DENIS ACASSIO</v>
          </cell>
        </row>
        <row r="1031">
          <cell r="V1031" t="str">
            <v>Manutenção Agrícola Tabaco</v>
          </cell>
          <cell r="W1031" t="str">
            <v>Operações Tabaco</v>
          </cell>
          <cell r="X1031" t="str">
            <v>RAFAEL XAVIER</v>
          </cell>
          <cell r="Y1031" t="str">
            <v>FERNANDO GUILHERME</v>
          </cell>
          <cell r="Z1031" t="str">
            <v>MARCELO DOURADO</v>
          </cell>
        </row>
        <row r="1032">
          <cell r="V1032" t="str">
            <v>Colheita Tabaco</v>
          </cell>
          <cell r="W1032" t="str">
            <v>Operações Tabaco</v>
          </cell>
          <cell r="X1032" t="str">
            <v>CRISOSTOMO CASTRO</v>
          </cell>
          <cell r="Y1032" t="str">
            <v>JOÃO FILHO</v>
          </cell>
          <cell r="Z1032" t="str">
            <v>ALCENO JUNIOR/JOÃO MARCOS</v>
          </cell>
        </row>
        <row r="1033">
          <cell r="V1033" t="str">
            <v>Desponte Tabaco</v>
          </cell>
          <cell r="W1033" t="str">
            <v>Operações Tabaco</v>
          </cell>
          <cell r="X1033" t="str">
            <v>CRISOSTOMO CASTRO</v>
          </cell>
          <cell r="Y1033" t="str">
            <v>YAN SILVA</v>
          </cell>
          <cell r="Z1033" t="str">
            <v>JUNIO TEIXEIRA /GEOVANI RORIZ</v>
          </cell>
        </row>
        <row r="1034">
          <cell r="V1034" t="str">
            <v>Manutenção Agrícola Tabaco</v>
          </cell>
          <cell r="W1034" t="str">
            <v>Operações Tabaco</v>
          </cell>
          <cell r="X1034" t="str">
            <v>RAFAEL XAVIER</v>
          </cell>
          <cell r="Y1034" t="str">
            <v>FERNANDO GUILHERME</v>
          </cell>
          <cell r="Z1034" t="str">
            <v>MARCELO DOURADO</v>
          </cell>
        </row>
        <row r="1035">
          <cell r="V1035" t="str">
            <v>Curing/Loading Tabaco</v>
          </cell>
          <cell r="W1035" t="str">
            <v>Operações Tabaco</v>
          </cell>
          <cell r="X1035" t="str">
            <v>CRISOSTOMO CASTRO</v>
          </cell>
          <cell r="Y1035" t="str">
            <v>MATHEUS ALMEIDA</v>
          </cell>
          <cell r="Z1035" t="str">
            <v>ADALTON/JANILSON RORIZ/MARIVALDO</v>
          </cell>
        </row>
        <row r="1036">
          <cell r="V1036" t="str">
            <v>Planejamento Irrigação Grãos</v>
          </cell>
          <cell r="W1036" t="str">
            <v>Operações Karitel</v>
          </cell>
          <cell r="X1036" t="str">
            <v>PAULO BONIFÁCIO</v>
          </cell>
          <cell r="Y1036" t="str">
            <v>PAULO BONIFÁCIO</v>
          </cell>
          <cell r="Z1036" t="str">
            <v xml:space="preserve">LEONARDO SANTOS </v>
          </cell>
        </row>
        <row r="1037">
          <cell r="V1037" t="str">
            <v>Controle Fitosanitário - MIP</v>
          </cell>
          <cell r="W1037" t="str">
            <v>Operações Tabaco</v>
          </cell>
          <cell r="X1037" t="str">
            <v>CRISOSTOMO CASTRO</v>
          </cell>
          <cell r="Y1037" t="str">
            <v>YAN SILVA</v>
          </cell>
          <cell r="Z1037" t="str">
            <v>JUNIO TEIXEIRA /GEOVANI RORIZ</v>
          </cell>
        </row>
        <row r="1038">
          <cell r="V1038" t="str">
            <v>Curing/Loading Tabaco</v>
          </cell>
          <cell r="W1038" t="str">
            <v>Operações Tabaco</v>
          </cell>
          <cell r="X1038" t="str">
            <v>CRISOSTOMO CASTRO</v>
          </cell>
          <cell r="Y1038" t="str">
            <v>MATHEUS ALMEIDA</v>
          </cell>
          <cell r="Z1038" t="str">
            <v>ADALTON/JANILSON RORIZ/MARIVALDO</v>
          </cell>
        </row>
        <row r="1039">
          <cell r="V1039" t="str">
            <v>Desponte Tabaco</v>
          </cell>
          <cell r="W1039" t="str">
            <v>Operações Tabaco</v>
          </cell>
          <cell r="X1039" t="str">
            <v>CRISOSTOMO CASTRO</v>
          </cell>
          <cell r="Y1039" t="str">
            <v>YAN SILVA</v>
          </cell>
          <cell r="Z1039" t="str">
            <v>JUNIO TEIXEIRA /GEOVANI RORIZ</v>
          </cell>
        </row>
        <row r="1040">
          <cell r="V1040" t="str">
            <v>Green House Tabaco</v>
          </cell>
          <cell r="W1040" t="str">
            <v>Operações Tabaco</v>
          </cell>
          <cell r="X1040" t="str">
            <v>CRISOSTOMO CASTRO</v>
          </cell>
          <cell r="Y1040" t="str">
            <v>MATHEUS ALMEIDA</v>
          </cell>
          <cell r="Z1040" t="str">
            <v>JOSIEL NEVES</v>
          </cell>
        </row>
        <row r="1041">
          <cell r="V1041" t="str">
            <v>Colheita Tabaco</v>
          </cell>
          <cell r="W1041" t="str">
            <v>Operações Tabaco</v>
          </cell>
          <cell r="X1041" t="str">
            <v>CRISOSTOMO CASTRO</v>
          </cell>
          <cell r="Y1041" t="str">
            <v>JOÃO FILHO</v>
          </cell>
          <cell r="Z1041" t="str">
            <v>ALCENO JUNIOR/JOÃO MARCOS</v>
          </cell>
        </row>
        <row r="1042">
          <cell r="V1042" t="str">
            <v>Controle Fitosanitário - MIP</v>
          </cell>
          <cell r="W1042" t="str">
            <v>Operações Tabaco</v>
          </cell>
          <cell r="X1042" t="str">
            <v>CRISOSTOMO CASTRO</v>
          </cell>
          <cell r="Y1042" t="str">
            <v>YAN SILVA</v>
          </cell>
          <cell r="Z1042" t="str">
            <v>JUNIO TEIXEIRA /GEOVANI RORIZ</v>
          </cell>
        </row>
        <row r="1043">
          <cell r="V1043" t="str">
            <v>Manutenção Agrícola Tabaco</v>
          </cell>
          <cell r="W1043" t="str">
            <v>Operações Tabaco</v>
          </cell>
          <cell r="X1043" t="str">
            <v>RAFAEL XAVIER</v>
          </cell>
          <cell r="Y1043" t="str">
            <v>FERNANDO GUILHERME</v>
          </cell>
          <cell r="Z1043" t="str">
            <v>MARCELO DOURADO</v>
          </cell>
        </row>
        <row r="1044">
          <cell r="V1044" t="str">
            <v>Colheita Tabaco</v>
          </cell>
          <cell r="W1044" t="str">
            <v>Operações Tabaco</v>
          </cell>
          <cell r="X1044" t="str">
            <v>CRISOSTOMO CASTRO</v>
          </cell>
          <cell r="Y1044" t="str">
            <v>JOÃO FILHO</v>
          </cell>
          <cell r="Z1044" t="str">
            <v>ALCENO JUNIOR/JOÃO MARCOS</v>
          </cell>
        </row>
        <row r="1045">
          <cell r="V1045" t="str">
            <v>Green House Tabaco</v>
          </cell>
          <cell r="W1045" t="str">
            <v>Operações Tabaco</v>
          </cell>
          <cell r="X1045" t="str">
            <v>CRISOSTOMO CASTRO</v>
          </cell>
          <cell r="Y1045" t="str">
            <v>MATHEUS ALMEIDA</v>
          </cell>
          <cell r="Z1045" t="str">
            <v>JOSIEL NEVES</v>
          </cell>
        </row>
        <row r="1046">
          <cell r="V1046" t="str">
            <v>Curing/Loading Tabaco</v>
          </cell>
          <cell r="W1046" t="str">
            <v>Operações Tabaco</v>
          </cell>
          <cell r="X1046" t="str">
            <v>CRISOSTOMO CASTRO</v>
          </cell>
          <cell r="Y1046" t="str">
            <v>MATHEUS ALMEIDA</v>
          </cell>
          <cell r="Z1046" t="str">
            <v>ADALTON/JANILSON RORIZ/MARIVALDO</v>
          </cell>
        </row>
        <row r="1047">
          <cell r="V1047" t="str">
            <v>Colheita Tabaco</v>
          </cell>
          <cell r="W1047" t="str">
            <v>Operações Tabaco</v>
          </cell>
          <cell r="X1047" t="str">
            <v>CRISOSTOMO CASTRO</v>
          </cell>
          <cell r="Y1047" t="str">
            <v>JOÃO FILHO</v>
          </cell>
          <cell r="Z1047" t="str">
            <v>ALCENO JUNIOR/JOÃO MARCOS</v>
          </cell>
        </row>
        <row r="1048">
          <cell r="V1048" t="str">
            <v>Controle Fitosanitário - MIP</v>
          </cell>
          <cell r="W1048" t="str">
            <v>Operações Tabaco</v>
          </cell>
          <cell r="X1048" t="str">
            <v>CRISOSTOMO CASTRO</v>
          </cell>
          <cell r="Y1048" t="str">
            <v>YAN SILVA</v>
          </cell>
          <cell r="Z1048" t="str">
            <v>JUNIO TEIXEIRA /GEOVANI RORIZ</v>
          </cell>
        </row>
        <row r="1049">
          <cell r="V1049" t="str">
            <v>Melhoria Continua - Tabaco</v>
          </cell>
          <cell r="W1049" t="str">
            <v>Gente e Gestão</v>
          </cell>
          <cell r="X1049" t="str">
            <v xml:space="preserve">GISELE NASCENTE </v>
          </cell>
          <cell r="Y1049" t="str">
            <v xml:space="preserve">GISELE NASCENTE </v>
          </cell>
          <cell r="Z1049" t="str">
            <v>MARCOS OLIVEIRA</v>
          </cell>
        </row>
        <row r="1050">
          <cell r="V1050" t="str">
            <v>Unloading Tabaco</v>
          </cell>
          <cell r="W1050" t="str">
            <v>Operações Tabaco</v>
          </cell>
          <cell r="X1050" t="str">
            <v>CRISOSTOMO CASTRO</v>
          </cell>
          <cell r="Y1050" t="str">
            <v>MATHEUS ALMEIDA</v>
          </cell>
        </row>
        <row r="1051">
          <cell r="V1051" t="str">
            <v>Desponte Tabaco</v>
          </cell>
          <cell r="W1051" t="str">
            <v>Operações Tabaco</v>
          </cell>
          <cell r="X1051" t="str">
            <v>CRISOSTOMO CASTRO</v>
          </cell>
          <cell r="Y1051" t="str">
            <v>YAN SILVA</v>
          </cell>
          <cell r="Z1051" t="str">
            <v>JUNIO TEIXEIRA /GEOVANI RORIZ</v>
          </cell>
        </row>
        <row r="1052">
          <cell r="V1052" t="str">
            <v>Preparo Solo Tabaco</v>
          </cell>
          <cell r="W1052" t="str">
            <v>Operações Tabaco</v>
          </cell>
          <cell r="X1052" t="str">
            <v>CRISOSTOMO CASTRO</v>
          </cell>
          <cell r="Y1052" t="str">
            <v>JOÃO FILHO</v>
          </cell>
          <cell r="Z1052" t="str">
            <v>ALCENO JUNIOR/JOÃO MARCOS</v>
          </cell>
        </row>
        <row r="1053">
          <cell r="V1053" t="str">
            <v>Colheita Tabaco</v>
          </cell>
          <cell r="W1053" t="str">
            <v>Operações Tabaco</v>
          </cell>
          <cell r="X1053" t="str">
            <v>CRISOSTOMO CASTRO</v>
          </cell>
          <cell r="Y1053" t="str">
            <v>JOÃO FILHO</v>
          </cell>
          <cell r="Z1053" t="str">
            <v>ALCENO JUNIOR/JOÃO MARCOS</v>
          </cell>
        </row>
        <row r="1054">
          <cell r="V1054" t="str">
            <v>Green House Tabaco</v>
          </cell>
          <cell r="W1054" t="str">
            <v>Operações Tabaco</v>
          </cell>
          <cell r="X1054" t="str">
            <v>CRISOSTOMO CASTRO</v>
          </cell>
          <cell r="Y1054" t="str">
            <v>MATHEUS ALMEIDA</v>
          </cell>
          <cell r="Z1054" t="str">
            <v>JOSIEL NEVES</v>
          </cell>
        </row>
        <row r="1055">
          <cell r="V1055" t="str">
            <v>Controle Fitosanitário - MIP</v>
          </cell>
          <cell r="W1055" t="str">
            <v>Operações Tabaco</v>
          </cell>
          <cell r="X1055" t="str">
            <v>CRISOSTOMO CASTRO</v>
          </cell>
          <cell r="Y1055" t="str">
            <v>YAN SILVA</v>
          </cell>
          <cell r="Z1055" t="str">
            <v>JUNIO TEIXEIRA /GEOVANI RORIZ</v>
          </cell>
        </row>
        <row r="1056">
          <cell r="V1056" t="str">
            <v>Curing/Loading Tabaco</v>
          </cell>
          <cell r="W1056" t="str">
            <v>Operações Tabaco</v>
          </cell>
          <cell r="X1056" t="str">
            <v>CRISOSTOMO CASTRO</v>
          </cell>
          <cell r="Y1056" t="str">
            <v>MATHEUS ALMEIDA</v>
          </cell>
          <cell r="Z1056" t="str">
            <v>ADALTON/JANILSON RORIZ/MARIVALDO</v>
          </cell>
        </row>
        <row r="1057">
          <cell r="V1057" t="str">
            <v>Curing/Loading Tabaco</v>
          </cell>
          <cell r="W1057" t="str">
            <v>Operações Tabaco</v>
          </cell>
          <cell r="X1057" t="str">
            <v>CRISOSTOMO CASTRO</v>
          </cell>
          <cell r="Y1057" t="str">
            <v>MATHEUS ALMEIDA</v>
          </cell>
          <cell r="Z1057" t="str">
            <v>ADALTON/JANILSON RORIZ/MARIVALDO</v>
          </cell>
        </row>
        <row r="1058">
          <cell r="V1058" t="str">
            <v>Desponte Tabaco</v>
          </cell>
          <cell r="W1058" t="str">
            <v>Operações Tabaco</v>
          </cell>
          <cell r="X1058" t="str">
            <v>CRISOSTOMO CASTRO</v>
          </cell>
          <cell r="Y1058" t="str">
            <v>YAN SILVA</v>
          </cell>
          <cell r="Z1058" t="str">
            <v>JUNIO TEIXEIRA /GEOVANI RORIZ</v>
          </cell>
        </row>
        <row r="1059">
          <cell r="V1059" t="str">
            <v>Transplante Tabaco</v>
          </cell>
          <cell r="W1059" t="str">
            <v>Operações Tabaco</v>
          </cell>
          <cell r="X1059" t="str">
            <v>CRISOSTOMO CASTRO</v>
          </cell>
          <cell r="Y1059" t="str">
            <v>YAN SILVA</v>
          </cell>
          <cell r="Z1059" t="str">
            <v>JUNIO TEIXEIRA /GEOVANI RORIZ</v>
          </cell>
        </row>
        <row r="1060">
          <cell r="V1060" t="str">
            <v>Unloading Tabaco</v>
          </cell>
          <cell r="W1060" t="str">
            <v>Operações Tabaco</v>
          </cell>
          <cell r="X1060" t="str">
            <v>CRISOSTOMO CASTRO</v>
          </cell>
          <cell r="Y1060" t="str">
            <v>MATHEUS ALMEIDA</v>
          </cell>
        </row>
        <row r="1061">
          <cell r="V1061" t="str">
            <v>Curing/Loading Tabaco</v>
          </cell>
          <cell r="W1061" t="str">
            <v>Operações Tabaco</v>
          </cell>
          <cell r="X1061" t="str">
            <v>CRISOSTOMO CASTRO</v>
          </cell>
          <cell r="Y1061" t="str">
            <v>MATHEUS ALMEIDA</v>
          </cell>
          <cell r="Z1061" t="str">
            <v>ADALTON/JANILSON RORIZ/MARIVALDO</v>
          </cell>
        </row>
        <row r="1062">
          <cell r="V1062" t="str">
            <v>Transplante Tabaco</v>
          </cell>
          <cell r="W1062" t="str">
            <v>Operações Tabaco</v>
          </cell>
          <cell r="X1062" t="str">
            <v>CRISOSTOMO CASTRO</v>
          </cell>
          <cell r="Y1062" t="str">
            <v>YAN SILVA</v>
          </cell>
          <cell r="Z1062" t="str">
            <v>JUNIO TEIXEIRA /GEOVANI RORIZ</v>
          </cell>
        </row>
        <row r="1063">
          <cell r="V1063" t="str">
            <v>Preparo Solo Tabaco</v>
          </cell>
          <cell r="W1063" t="str">
            <v>Operações Tabaco</v>
          </cell>
          <cell r="X1063" t="str">
            <v>CRISOSTOMO CASTRO</v>
          </cell>
          <cell r="Y1063" t="str">
            <v>JOÃO FILHO</v>
          </cell>
          <cell r="Z1063" t="str">
            <v>ALCENO JUNIOR/JOÃO MARCOS</v>
          </cell>
        </row>
        <row r="1064">
          <cell r="V1064" t="str">
            <v>Colheita Tabaco</v>
          </cell>
          <cell r="W1064" t="str">
            <v>Operações Tabaco</v>
          </cell>
          <cell r="X1064" t="str">
            <v>CRISOSTOMO CASTRO</v>
          </cell>
          <cell r="Y1064" t="str">
            <v>JOÃO FILHO</v>
          </cell>
          <cell r="Z1064" t="str">
            <v>ALCENO JUNIOR/JOÃO MARCOS</v>
          </cell>
        </row>
        <row r="1065">
          <cell r="V1065" t="str">
            <v>Curing/Loading Tabaco</v>
          </cell>
          <cell r="W1065" t="str">
            <v>Operações Tabaco</v>
          </cell>
          <cell r="X1065" t="str">
            <v>CRISOSTOMO CASTRO</v>
          </cell>
          <cell r="Y1065" t="str">
            <v>MATHEUS ALMEIDA</v>
          </cell>
          <cell r="Z1065" t="str">
            <v>ADALTON/JANILSON RORIZ/MARIVALDO</v>
          </cell>
        </row>
        <row r="1066">
          <cell r="V1066" t="str">
            <v>Desponte Tabaco</v>
          </cell>
          <cell r="W1066" t="str">
            <v>Operações Tabaco</v>
          </cell>
          <cell r="X1066" t="str">
            <v>CRISOSTOMO CASTRO</v>
          </cell>
          <cell r="Y1066" t="str">
            <v>YAN SILVA</v>
          </cell>
          <cell r="Z1066" t="str">
            <v>JUNIO TEIXEIRA /GEOVANI RORIZ</v>
          </cell>
        </row>
        <row r="1067">
          <cell r="V1067" t="str">
            <v>Colheita Tabaco</v>
          </cell>
          <cell r="W1067" t="str">
            <v>Operações Tabaco</v>
          </cell>
          <cell r="X1067" t="str">
            <v>CRISOSTOMO CASTRO</v>
          </cell>
          <cell r="Y1067" t="str">
            <v>JOÃO FILHO</v>
          </cell>
          <cell r="Z1067" t="str">
            <v>ALCENO JUNIOR/JOÃO MARCOS</v>
          </cell>
        </row>
        <row r="1068">
          <cell r="V1068" t="str">
            <v>Transplante Tabaco</v>
          </cell>
          <cell r="W1068" t="str">
            <v>Operações Tabaco</v>
          </cell>
          <cell r="X1068" t="str">
            <v>CRISOSTOMO CASTRO</v>
          </cell>
          <cell r="Y1068" t="str">
            <v>YAN SILVA</v>
          </cell>
          <cell r="Z1068" t="str">
            <v>JUNIO TEIXEIRA /GEOVANI RORIZ</v>
          </cell>
        </row>
        <row r="1069">
          <cell r="V1069" t="str">
            <v>Preparo Solo Tabaco</v>
          </cell>
          <cell r="W1069" t="str">
            <v>Operações Tabaco</v>
          </cell>
          <cell r="X1069" t="str">
            <v>CRISOSTOMO CASTRO</v>
          </cell>
          <cell r="Y1069" t="str">
            <v>JOÃO FILHO</v>
          </cell>
          <cell r="Z1069" t="str">
            <v>ALCENO JUNIOR/JOÃO MARCOS</v>
          </cell>
        </row>
        <row r="1070">
          <cell r="V1070" t="str">
            <v>Colheita Tabaco</v>
          </cell>
          <cell r="W1070" t="str">
            <v>Operações Tabaco</v>
          </cell>
          <cell r="X1070" t="str">
            <v>CRISOSTOMO CASTRO</v>
          </cell>
          <cell r="Y1070" t="str">
            <v>JOÃO FILHO</v>
          </cell>
          <cell r="Z1070" t="str">
            <v>ALCENO JUNIOR/JOÃO MARCOS</v>
          </cell>
        </row>
        <row r="1071">
          <cell r="V1071" t="str">
            <v>Transplante Tabaco</v>
          </cell>
          <cell r="W1071" t="str">
            <v>Operações Tabaco</v>
          </cell>
          <cell r="X1071" t="str">
            <v>CRISOSTOMO CASTRO</v>
          </cell>
          <cell r="Y1071" t="str">
            <v>YAN SILVA</v>
          </cell>
          <cell r="Z1071" t="str">
            <v>JUNIO TEIXEIRA /GEOVANI RORIZ</v>
          </cell>
        </row>
        <row r="1072">
          <cell r="V1072" t="str">
            <v>Colheita Tabaco</v>
          </cell>
          <cell r="W1072" t="str">
            <v>Operações Tabaco</v>
          </cell>
          <cell r="X1072" t="str">
            <v>CRISOSTOMO CASTRO</v>
          </cell>
          <cell r="Y1072" t="str">
            <v>JOÃO FILHO</v>
          </cell>
          <cell r="Z1072" t="str">
            <v>ALCENO JUNIOR/JOÃO MARCOS</v>
          </cell>
        </row>
        <row r="1073">
          <cell r="V1073" t="str">
            <v>Desponte Tabaco</v>
          </cell>
          <cell r="W1073" t="str">
            <v>Operações Tabaco</v>
          </cell>
          <cell r="X1073" t="str">
            <v>CRISOSTOMO CASTRO</v>
          </cell>
          <cell r="Y1073" t="str">
            <v>YAN SILVA</v>
          </cell>
          <cell r="Z1073" t="str">
            <v>JUNIO TEIXEIRA /GEOVANI RORIZ</v>
          </cell>
        </row>
        <row r="1074">
          <cell r="V1074" t="str">
            <v>Unloading Tabaco</v>
          </cell>
          <cell r="W1074" t="str">
            <v>Operações Tabaco</v>
          </cell>
          <cell r="X1074" t="str">
            <v>CRISOSTOMO CASTRO</v>
          </cell>
          <cell r="Y1074" t="str">
            <v>MATHEUS ALMEIDA</v>
          </cell>
        </row>
        <row r="1075">
          <cell r="V1075" t="str">
            <v>SSMA - Karitel</v>
          </cell>
          <cell r="W1075" t="str">
            <v>Gente e Gestão</v>
          </cell>
          <cell r="X1075" t="str">
            <v>CARSON NEVES</v>
          </cell>
          <cell r="Y1075" t="str">
            <v>CARSON NEVES</v>
          </cell>
        </row>
        <row r="1076">
          <cell r="V1076" t="str">
            <v>Transplante Tabaco</v>
          </cell>
          <cell r="W1076" t="str">
            <v>Operações Tabaco</v>
          </cell>
          <cell r="X1076" t="str">
            <v>CRISOSTOMO CASTRO</v>
          </cell>
          <cell r="Y1076" t="str">
            <v>YAN SILVA</v>
          </cell>
          <cell r="Z1076" t="str">
            <v>JUNIO TEIXEIRA /GEOVANI RORIZ</v>
          </cell>
        </row>
        <row r="1077">
          <cell r="V1077" t="str">
            <v>Melhoria Continua - Tabaco</v>
          </cell>
          <cell r="W1077" t="str">
            <v>Gente e Gestão</v>
          </cell>
          <cell r="X1077" t="str">
            <v xml:space="preserve">GISELE NASCENTE </v>
          </cell>
          <cell r="Y1077" t="str">
            <v xml:space="preserve">GISELE NASCENTE </v>
          </cell>
          <cell r="Z1077" t="str">
            <v>MARCOS OLIVEIRA</v>
          </cell>
        </row>
        <row r="1078">
          <cell r="V1078" t="str">
            <v>Unloading Tabaco</v>
          </cell>
          <cell r="W1078" t="str">
            <v>Operações Tabaco</v>
          </cell>
          <cell r="X1078" t="str">
            <v>CRISOSTOMO CASTRO</v>
          </cell>
          <cell r="Y1078" t="str">
            <v>MATHEUS ALMEIDA</v>
          </cell>
        </row>
        <row r="1079">
          <cell r="V1079" t="str">
            <v>Green House Tabaco</v>
          </cell>
          <cell r="W1079" t="str">
            <v>Operações Tabaco</v>
          </cell>
          <cell r="X1079" t="str">
            <v>CRISOSTOMO CASTRO</v>
          </cell>
          <cell r="Y1079" t="str">
            <v>MATHEUS ALMEIDA</v>
          </cell>
          <cell r="Z1079" t="str">
            <v>JOSIEL NEVES</v>
          </cell>
        </row>
        <row r="1080">
          <cell r="V1080" t="str">
            <v>Desponte Tabaco</v>
          </cell>
          <cell r="W1080" t="str">
            <v>Operações Tabaco</v>
          </cell>
          <cell r="X1080" t="str">
            <v>CRISOSTOMO CASTRO</v>
          </cell>
          <cell r="Y1080" t="str">
            <v>YAN SILVA</v>
          </cell>
          <cell r="Z1080" t="str">
            <v>JUNIO TEIXEIRA /GEOVANI RORIZ</v>
          </cell>
        </row>
        <row r="1081">
          <cell r="V1081" t="str">
            <v>Curing/Loading Tabaco</v>
          </cell>
          <cell r="W1081" t="str">
            <v>Operações Tabaco</v>
          </cell>
          <cell r="X1081" t="str">
            <v>CRISOSTOMO CASTRO</v>
          </cell>
          <cell r="Y1081" t="str">
            <v>MATHEUS ALMEIDA</v>
          </cell>
          <cell r="Z1081" t="str">
            <v>ADALTON/JANILSON RORIZ/MARIVALDO</v>
          </cell>
        </row>
        <row r="1082">
          <cell r="V1082" t="str">
            <v>Green House Tabaco</v>
          </cell>
          <cell r="W1082" t="str">
            <v>Operações Tabaco</v>
          </cell>
          <cell r="X1082" t="str">
            <v>CRISOSTOMO CASTRO</v>
          </cell>
          <cell r="Y1082" t="str">
            <v>MATHEUS ALMEIDA</v>
          </cell>
          <cell r="Z1082" t="str">
            <v>JOSIEL NEVES</v>
          </cell>
        </row>
        <row r="1083">
          <cell r="V1083" t="str">
            <v>Desponte Tabaco</v>
          </cell>
          <cell r="W1083" t="str">
            <v>Operações Tabaco</v>
          </cell>
          <cell r="X1083" t="str">
            <v>CRISOSTOMO CASTRO</v>
          </cell>
          <cell r="Y1083" t="str">
            <v>YAN SILVA</v>
          </cell>
          <cell r="Z1083" t="str">
            <v>JUNIO TEIXEIRA /GEOVANI RORIZ</v>
          </cell>
        </row>
        <row r="1084">
          <cell r="V1084" t="str">
            <v>Pulverização Tabaco</v>
          </cell>
          <cell r="W1084" t="str">
            <v>Operações Tabaco</v>
          </cell>
          <cell r="X1084" t="str">
            <v>CRISOSTOMO CASTRO</v>
          </cell>
          <cell r="Y1084" t="str">
            <v>CRISOSTOMO CASTRO</v>
          </cell>
          <cell r="Z1084" t="str">
            <v>JAILSON RORIZ</v>
          </cell>
        </row>
        <row r="1085">
          <cell r="V1085" t="str">
            <v>Desponte Tabaco</v>
          </cell>
          <cell r="W1085" t="str">
            <v>Operações Tabaco</v>
          </cell>
          <cell r="X1085" t="str">
            <v>CRISOSTOMO CASTRO</v>
          </cell>
          <cell r="Y1085" t="str">
            <v>YAN SILVA</v>
          </cell>
          <cell r="Z1085" t="str">
            <v>JUNIO TEIXEIRA /GEOVANI RORIZ</v>
          </cell>
        </row>
        <row r="1086">
          <cell r="V1086" t="str">
            <v>Colheita Tabaco</v>
          </cell>
          <cell r="W1086" t="str">
            <v>Operações Tabaco</v>
          </cell>
          <cell r="X1086" t="str">
            <v>CRISOSTOMO CASTRO</v>
          </cell>
          <cell r="Y1086" t="str">
            <v>JOÃO FILHO</v>
          </cell>
          <cell r="Z1086" t="str">
            <v>ALCENO JUNIOR/JOÃO MARCOS</v>
          </cell>
        </row>
        <row r="1087">
          <cell r="V1087" t="str">
            <v>Unloading Tabaco</v>
          </cell>
          <cell r="W1087" t="str">
            <v>Operações Tabaco</v>
          </cell>
          <cell r="X1087" t="str">
            <v>CRISOSTOMO CASTRO</v>
          </cell>
          <cell r="Y1087" t="str">
            <v>MATHEUS ALMEIDA</v>
          </cell>
        </row>
        <row r="1088">
          <cell r="V1088" t="str">
            <v>Colheita Tabaco</v>
          </cell>
          <cell r="W1088" t="str">
            <v>Operações Tabaco</v>
          </cell>
          <cell r="X1088" t="str">
            <v>CRISOSTOMO CASTRO</v>
          </cell>
          <cell r="Y1088" t="str">
            <v>JOÃO FILHO</v>
          </cell>
          <cell r="Z1088" t="str">
            <v>ALCENO JUNIOR/JOÃO MARCOS</v>
          </cell>
        </row>
        <row r="1089">
          <cell r="V1089" t="str">
            <v>Colheita Tabaco</v>
          </cell>
          <cell r="W1089" t="str">
            <v>Operações Tabaco</v>
          </cell>
          <cell r="X1089" t="str">
            <v>CRISOSTOMO CASTRO</v>
          </cell>
          <cell r="Y1089" t="str">
            <v>JOÃO FILHO</v>
          </cell>
          <cell r="Z1089" t="str">
            <v>ALCENO JUNIOR/JOÃO MARCOS</v>
          </cell>
        </row>
        <row r="1090">
          <cell r="V1090" t="str">
            <v>Curing/Loading Tabaco</v>
          </cell>
          <cell r="W1090" t="str">
            <v>Operações Tabaco</v>
          </cell>
          <cell r="X1090" t="str">
            <v>CRISOSTOMO CASTRO</v>
          </cell>
          <cell r="Y1090" t="str">
            <v>MATHEUS ALMEIDA</v>
          </cell>
          <cell r="Z1090" t="str">
            <v>ADALTON/JANILSON RORIZ/MARIVALDO</v>
          </cell>
        </row>
        <row r="1091">
          <cell r="V1091" t="str">
            <v>Transplante Tabaco</v>
          </cell>
          <cell r="W1091" t="str">
            <v>Operações Tabaco</v>
          </cell>
          <cell r="X1091" t="str">
            <v>CRISOSTOMO CASTRO</v>
          </cell>
          <cell r="Y1091" t="str">
            <v>YAN SILVA</v>
          </cell>
          <cell r="Z1091" t="str">
            <v>JUNIO TEIXEIRA /GEOVANI RORIZ</v>
          </cell>
        </row>
        <row r="1092">
          <cell r="V1092" t="str">
            <v>Green House Tabaco</v>
          </cell>
          <cell r="W1092" t="str">
            <v>Operações Tabaco</v>
          </cell>
          <cell r="X1092" t="str">
            <v>CRISOSTOMO CASTRO</v>
          </cell>
          <cell r="Y1092" t="str">
            <v>MATHEUS ALMEIDA</v>
          </cell>
          <cell r="Z1092" t="str">
            <v>JOSIEL NEVES</v>
          </cell>
        </row>
        <row r="1093">
          <cell r="V1093" t="str">
            <v>Desponte Tabaco</v>
          </cell>
          <cell r="W1093" t="str">
            <v>Operações Tabaco</v>
          </cell>
          <cell r="X1093" t="str">
            <v>CRISOSTOMO CASTRO</v>
          </cell>
          <cell r="Y1093" t="str">
            <v>YAN SILVA</v>
          </cell>
          <cell r="Z1093" t="str">
            <v>JUNIO TEIXEIRA /GEOVANI RORIZ</v>
          </cell>
        </row>
        <row r="1094">
          <cell r="V1094" t="str">
            <v>Colheita Tabaco</v>
          </cell>
          <cell r="W1094" t="str">
            <v>Operações Tabaco</v>
          </cell>
          <cell r="X1094" t="str">
            <v>CRISOSTOMO CASTRO</v>
          </cell>
          <cell r="Y1094" t="str">
            <v>JOÃO FILHO</v>
          </cell>
          <cell r="Z1094" t="str">
            <v>ALCENO JUNIOR/JOÃO MARCOS</v>
          </cell>
        </row>
        <row r="1095">
          <cell r="V1095" t="str">
            <v>Manutenção Agrícola Tabaco</v>
          </cell>
          <cell r="W1095" t="str">
            <v>Operações Tabaco</v>
          </cell>
          <cell r="X1095" t="str">
            <v>RAFAEL XAVIER</v>
          </cell>
          <cell r="Y1095" t="str">
            <v>FERNANDO GUILHERME</v>
          </cell>
          <cell r="Z1095" t="str">
            <v>MARCELO DOURADO</v>
          </cell>
        </row>
        <row r="1096">
          <cell r="V1096" t="str">
            <v>Colheita Tabaco</v>
          </cell>
          <cell r="W1096" t="str">
            <v>Operações Tabaco</v>
          </cell>
          <cell r="X1096" t="str">
            <v>CRISOSTOMO CASTRO</v>
          </cell>
          <cell r="Y1096" t="str">
            <v>JOÃO FILHO</v>
          </cell>
          <cell r="Z1096" t="str">
            <v>ALCENO JUNIOR/JOÃO MARCOS</v>
          </cell>
        </row>
        <row r="1097">
          <cell r="V1097" t="str">
            <v>Planejamento Irrigação Grãos</v>
          </cell>
          <cell r="W1097" t="str">
            <v>Operações Karitel</v>
          </cell>
          <cell r="X1097" t="str">
            <v>PAULO BONIFÁCIO</v>
          </cell>
          <cell r="Y1097" t="str">
            <v>PAULO BONIFÁCIO</v>
          </cell>
          <cell r="Z1097" t="str">
            <v xml:space="preserve">LEONARDO SANTOS </v>
          </cell>
        </row>
        <row r="1098">
          <cell r="V1098" t="str">
            <v>Curing/Loading Tabaco</v>
          </cell>
          <cell r="W1098" t="str">
            <v>Operações Tabaco</v>
          </cell>
          <cell r="X1098" t="str">
            <v>CRISOSTOMO CASTRO</v>
          </cell>
          <cell r="Y1098" t="str">
            <v>MATHEUS ALMEIDA</v>
          </cell>
          <cell r="Z1098" t="str">
            <v>ADALTON/JANILSON RORIZ/MARIVALDO</v>
          </cell>
        </row>
        <row r="1099">
          <cell r="V1099" t="str">
            <v>Desponte Tabaco</v>
          </cell>
          <cell r="W1099" t="str">
            <v>Operações Tabaco</v>
          </cell>
          <cell r="X1099" t="str">
            <v>CRISOSTOMO CASTRO</v>
          </cell>
          <cell r="Y1099" t="str">
            <v>YAN SILVA</v>
          </cell>
          <cell r="Z1099" t="str">
            <v>JUNIO TEIXEIRA /GEOVANI RORIZ</v>
          </cell>
        </row>
        <row r="1100">
          <cell r="V1100" t="str">
            <v>Desponte Tabaco</v>
          </cell>
          <cell r="W1100" t="str">
            <v>Operações Tabaco</v>
          </cell>
          <cell r="X1100" t="str">
            <v>CRISOSTOMO CASTRO</v>
          </cell>
          <cell r="Y1100" t="str">
            <v>YAN SILVA</v>
          </cell>
          <cell r="Z1100" t="str">
            <v>JUNIO TEIXEIRA /GEOVANI RORIZ</v>
          </cell>
        </row>
        <row r="1101">
          <cell r="V1101" t="str">
            <v>Pulverização Tabaco</v>
          </cell>
          <cell r="W1101" t="str">
            <v>Operações Tabaco</v>
          </cell>
          <cell r="X1101" t="str">
            <v>CRISOSTOMO CASTRO</v>
          </cell>
          <cell r="Y1101" t="str">
            <v>CRISOSTOMO CASTRO</v>
          </cell>
          <cell r="Z1101" t="str">
            <v>JAILSON RORIZ</v>
          </cell>
        </row>
        <row r="1102">
          <cell r="V1102" t="str">
            <v>Colheita Tabaco</v>
          </cell>
          <cell r="W1102" t="str">
            <v>Operações Tabaco</v>
          </cell>
          <cell r="X1102" t="str">
            <v>CRISOSTOMO CASTRO</v>
          </cell>
          <cell r="Y1102" t="str">
            <v>JOÃO FILHO</v>
          </cell>
          <cell r="Z1102" t="str">
            <v>ALCENO JUNIOR/JOÃO MARCOS</v>
          </cell>
        </row>
        <row r="1103">
          <cell r="V1103" t="str">
            <v>Colheita Tabaco</v>
          </cell>
          <cell r="W1103" t="str">
            <v>Operações Tabaco</v>
          </cell>
          <cell r="X1103" t="str">
            <v>CRISOSTOMO CASTRO</v>
          </cell>
          <cell r="Y1103" t="str">
            <v>JOÃO FILHO</v>
          </cell>
          <cell r="Z1103" t="str">
            <v>ALCENO JUNIOR/JOÃO MARCOS</v>
          </cell>
        </row>
        <row r="1104">
          <cell r="V1104" t="str">
            <v>Melhoria Continua - Tabaco</v>
          </cell>
          <cell r="W1104" t="str">
            <v>Gente e Gestão</v>
          </cell>
          <cell r="X1104" t="str">
            <v xml:space="preserve">GISELE NASCENTE </v>
          </cell>
          <cell r="Y1104" t="str">
            <v xml:space="preserve">GISELE NASCENTE </v>
          </cell>
          <cell r="Z1104" t="str">
            <v>MARCOS OLIVEIRA</v>
          </cell>
        </row>
        <row r="1105">
          <cell r="V1105" t="str">
            <v>Manutenção Agrícola Tabaco</v>
          </cell>
          <cell r="W1105" t="str">
            <v>Operações Tabaco</v>
          </cell>
          <cell r="X1105" t="str">
            <v>RAFAEL XAVIER</v>
          </cell>
          <cell r="Y1105" t="str">
            <v>FERNANDO GUILHERME</v>
          </cell>
          <cell r="Z1105" t="str">
            <v>MARCELO DOURADO</v>
          </cell>
        </row>
        <row r="1106">
          <cell r="V1106" t="str">
            <v>Curing/Loading Tabaco</v>
          </cell>
          <cell r="W1106" t="str">
            <v>Operações Tabaco</v>
          </cell>
          <cell r="X1106" t="str">
            <v>CRISOSTOMO CASTRO</v>
          </cell>
          <cell r="Y1106" t="str">
            <v>MATHEUS ALMEIDA</v>
          </cell>
          <cell r="Z1106" t="str">
            <v>ADALTON/JANILSON RORIZ/MARIVALDO</v>
          </cell>
        </row>
        <row r="1107">
          <cell r="V1107" t="str">
            <v>Melhoria Continua - Tabaco</v>
          </cell>
          <cell r="W1107" t="str">
            <v>Gente e Gestão</v>
          </cell>
          <cell r="X1107" t="str">
            <v xml:space="preserve">GISELE NASCENTE </v>
          </cell>
          <cell r="Y1107" t="str">
            <v xml:space="preserve">GISELE NASCENTE </v>
          </cell>
          <cell r="Z1107" t="str">
            <v>MARCOS OLIVEIRA</v>
          </cell>
        </row>
        <row r="1108">
          <cell r="V1108" t="str">
            <v>Unloading Tabaco</v>
          </cell>
          <cell r="W1108" t="str">
            <v>Operações Tabaco</v>
          </cell>
          <cell r="X1108" t="str">
            <v>CRISOSTOMO CASTRO</v>
          </cell>
          <cell r="Y1108" t="str">
            <v>MATHEUS ALMEIDA</v>
          </cell>
        </row>
        <row r="1109">
          <cell r="V1109" t="str">
            <v>Preparo Solo Tabaco</v>
          </cell>
          <cell r="W1109" t="str">
            <v>Operações Tabaco</v>
          </cell>
          <cell r="X1109" t="str">
            <v>CRISOSTOMO CASTRO</v>
          </cell>
          <cell r="Y1109" t="str">
            <v>JOÃO FILHO</v>
          </cell>
          <cell r="Z1109" t="str">
            <v>ALCENO JUNIOR/JOÃO MARCOS</v>
          </cell>
        </row>
        <row r="1110">
          <cell r="V1110" t="str">
            <v>Manutenção Industrial Tabaco</v>
          </cell>
          <cell r="W1110" t="str">
            <v>Operações Tabaco</v>
          </cell>
          <cell r="X1110" t="str">
            <v>CRISOSTOMO CASTRO</v>
          </cell>
          <cell r="Y1110" t="str">
            <v>MATHEUS ALMEIDA</v>
          </cell>
          <cell r="Z1110" t="str">
            <v>IURY GUEDES</v>
          </cell>
        </row>
        <row r="1111">
          <cell r="V1111" t="str">
            <v>Desponte Tabaco</v>
          </cell>
          <cell r="W1111" t="str">
            <v>Operações Tabaco</v>
          </cell>
          <cell r="X1111" t="str">
            <v>CRISOSTOMO CASTRO</v>
          </cell>
          <cell r="Y1111" t="str">
            <v>YAN SILVA</v>
          </cell>
          <cell r="Z1111" t="str">
            <v>JUNIO TEIXEIRA /GEOVANI RORIZ</v>
          </cell>
        </row>
        <row r="1112">
          <cell r="V1112" t="str">
            <v>Unloading Tabaco</v>
          </cell>
          <cell r="W1112" t="str">
            <v>Operações Tabaco</v>
          </cell>
          <cell r="X1112" t="str">
            <v>CRISOSTOMO CASTRO</v>
          </cell>
          <cell r="Y1112" t="str">
            <v>MATHEUS ALMEIDA</v>
          </cell>
        </row>
        <row r="1113">
          <cell r="V1113" t="str">
            <v>Colheita Tabaco</v>
          </cell>
          <cell r="W1113" t="str">
            <v>Operações Tabaco</v>
          </cell>
          <cell r="X1113" t="str">
            <v>CRISOSTOMO CASTRO</v>
          </cell>
          <cell r="Y1113" t="str">
            <v>JOÃO FILHO</v>
          </cell>
          <cell r="Z1113" t="str">
            <v>ALCENO JUNIOR/JOÃO MARCOS</v>
          </cell>
        </row>
        <row r="1114">
          <cell r="V1114" t="str">
            <v>Biofabrica - Tabaco</v>
          </cell>
          <cell r="W1114" t="str">
            <v>Operações Tabaco</v>
          </cell>
          <cell r="X1114" t="str">
            <v>CRISOSTOMO CASTRO</v>
          </cell>
          <cell r="Y1114" t="str">
            <v>MATHEUS ALMEIDA</v>
          </cell>
        </row>
        <row r="1115">
          <cell r="V1115" t="str">
            <v>Unloading Tabaco</v>
          </cell>
          <cell r="W1115" t="str">
            <v>Operações Tabaco</v>
          </cell>
          <cell r="X1115" t="str">
            <v>CRISOSTOMO CASTRO</v>
          </cell>
          <cell r="Y1115" t="str">
            <v>MATHEUS ALMEIDA</v>
          </cell>
        </row>
        <row r="1116">
          <cell r="V1116" t="str">
            <v>Curing/Loading Tabaco</v>
          </cell>
          <cell r="W1116" t="str">
            <v>Operações Tabaco</v>
          </cell>
          <cell r="X1116" t="str">
            <v>CRISOSTOMO CASTRO</v>
          </cell>
          <cell r="Y1116" t="str">
            <v>MATHEUS ALMEIDA</v>
          </cell>
          <cell r="Z1116" t="str">
            <v>ADALTON/JANILSON RORIZ/MARIVALDO</v>
          </cell>
        </row>
        <row r="1117">
          <cell r="V1117" t="str">
            <v>Desponte Tabaco</v>
          </cell>
          <cell r="W1117" t="str">
            <v>Operações Tabaco</v>
          </cell>
          <cell r="X1117" t="str">
            <v>CRISOSTOMO CASTRO</v>
          </cell>
          <cell r="Y1117" t="str">
            <v>YAN SILVA</v>
          </cell>
          <cell r="Z1117" t="str">
            <v>JUNIO TEIXEIRA /GEOVANI RORIZ</v>
          </cell>
        </row>
        <row r="1118">
          <cell r="V1118" t="str">
            <v>Curing/Loading Tabaco</v>
          </cell>
          <cell r="W1118" t="str">
            <v>Operações Tabaco</v>
          </cell>
          <cell r="X1118" t="str">
            <v>CRISOSTOMO CASTRO</v>
          </cell>
          <cell r="Y1118" t="str">
            <v>MATHEUS ALMEIDA</v>
          </cell>
          <cell r="Z1118" t="str">
            <v>ADALTON/JANILSON RORIZ/MARIVALDO</v>
          </cell>
        </row>
        <row r="1119">
          <cell r="V1119" t="str">
            <v>Almoxarifado - Tabaco</v>
          </cell>
          <cell r="W1119" t="str">
            <v>Finanças</v>
          </cell>
          <cell r="X1119" t="str">
            <v>ANDREZA LARDO</v>
          </cell>
          <cell r="Y1119" t="str">
            <v>ANDREZA LARDO</v>
          </cell>
          <cell r="Z1119" t="str">
            <v>ADENILTON RODRIGUES</v>
          </cell>
        </row>
        <row r="1120">
          <cell r="V1120" t="str">
            <v>Curing/Loading Tabaco</v>
          </cell>
          <cell r="W1120" t="str">
            <v>Operações Tabaco</v>
          </cell>
          <cell r="X1120" t="str">
            <v>CRISOSTOMO CASTRO</v>
          </cell>
          <cell r="Y1120" t="str">
            <v>MATHEUS ALMEIDA</v>
          </cell>
          <cell r="Z1120" t="str">
            <v>ADALTON/JANILSON RORIZ/MARIVALDO</v>
          </cell>
        </row>
        <row r="1121">
          <cell r="V1121" t="str">
            <v>Transplante Tabaco</v>
          </cell>
          <cell r="W1121" t="str">
            <v>Operações Tabaco</v>
          </cell>
          <cell r="X1121" t="str">
            <v>CRISOSTOMO CASTRO</v>
          </cell>
          <cell r="Y1121" t="str">
            <v>YAN SILVA</v>
          </cell>
          <cell r="Z1121" t="str">
            <v>JUNIO TEIXEIRA /GEOVANI RORIZ</v>
          </cell>
        </row>
        <row r="1122">
          <cell r="V1122" t="str">
            <v>Colheita Tabaco</v>
          </cell>
          <cell r="W1122" t="str">
            <v>Operações Tabaco</v>
          </cell>
          <cell r="X1122" t="str">
            <v>CRISOSTOMO CASTRO</v>
          </cell>
          <cell r="Y1122" t="str">
            <v>JOÃO FILHO</v>
          </cell>
          <cell r="Z1122" t="str">
            <v>ALCENO JUNIOR/JOÃO MARCOS</v>
          </cell>
        </row>
        <row r="1123">
          <cell r="V1123" t="str">
            <v>Unloading Tabaco</v>
          </cell>
          <cell r="W1123" t="str">
            <v>Operações Tabaco</v>
          </cell>
          <cell r="X1123" t="str">
            <v>CRISOSTOMO CASTRO</v>
          </cell>
          <cell r="Y1123" t="str">
            <v>MATHEUS ALMEIDA</v>
          </cell>
        </row>
        <row r="1124">
          <cell r="V1124" t="str">
            <v>Planejamento Irrigação Grãos</v>
          </cell>
          <cell r="W1124" t="str">
            <v>Operações Karitel</v>
          </cell>
          <cell r="X1124" t="str">
            <v>PAULO BONIFÁCIO</v>
          </cell>
          <cell r="Y1124" t="str">
            <v>PAULO BONIFÁCIO</v>
          </cell>
          <cell r="Z1124" t="str">
            <v xml:space="preserve">LEONARDO SANTOS </v>
          </cell>
        </row>
        <row r="1125">
          <cell r="V1125" t="str">
            <v>Colheita Tabaco</v>
          </cell>
          <cell r="W1125" t="str">
            <v>Operações Tabaco</v>
          </cell>
          <cell r="X1125" t="str">
            <v>CRISOSTOMO CASTRO</v>
          </cell>
          <cell r="Y1125" t="str">
            <v>JOÃO FILHO</v>
          </cell>
          <cell r="Z1125" t="str">
            <v>ALCENO JUNIOR/JOÃO MARCOS</v>
          </cell>
        </row>
        <row r="1126">
          <cell r="V1126" t="str">
            <v>Green House Tabaco</v>
          </cell>
          <cell r="W1126" t="str">
            <v>Operações Tabaco</v>
          </cell>
          <cell r="X1126" t="str">
            <v>CRISOSTOMO CASTRO</v>
          </cell>
          <cell r="Y1126" t="str">
            <v>MATHEUS ALMEIDA</v>
          </cell>
          <cell r="Z1126" t="str">
            <v>JOSIEL NEVES</v>
          </cell>
        </row>
        <row r="1127">
          <cell r="V1127" t="str">
            <v>Curing/Loading Tabaco</v>
          </cell>
          <cell r="W1127" t="str">
            <v>Operações Tabaco</v>
          </cell>
          <cell r="X1127" t="str">
            <v>CRISOSTOMO CASTRO</v>
          </cell>
          <cell r="Y1127" t="str">
            <v>MATHEUS ALMEIDA</v>
          </cell>
          <cell r="Z1127" t="str">
            <v>ADALTON/JANILSON RORIZ/MARIVALDO</v>
          </cell>
        </row>
        <row r="1128">
          <cell r="V1128" t="str">
            <v>Facilities - Tabaco</v>
          </cell>
          <cell r="W1128" t="str">
            <v>Gente e Gestão</v>
          </cell>
          <cell r="X1128" t="str">
            <v xml:space="preserve">LEIDJANE MARTINS </v>
          </cell>
          <cell r="Y1128" t="str">
            <v xml:space="preserve">LEIDJANE MARTINS </v>
          </cell>
          <cell r="Z1128" t="str">
            <v>DENIS ACASSIO</v>
          </cell>
        </row>
        <row r="1129">
          <cell r="V1129" t="str">
            <v>Unloading Tabaco</v>
          </cell>
          <cell r="W1129" t="str">
            <v>Operações Tabaco</v>
          </cell>
          <cell r="X1129" t="str">
            <v>CRISOSTOMO CASTRO</v>
          </cell>
          <cell r="Y1129" t="str">
            <v>MATHEUS ALMEIDA</v>
          </cell>
        </row>
        <row r="1130">
          <cell r="V1130" t="str">
            <v>Curing/Loading Tabaco</v>
          </cell>
          <cell r="W1130" t="str">
            <v>Operações Tabaco</v>
          </cell>
          <cell r="X1130" t="str">
            <v>CRISOSTOMO CASTRO</v>
          </cell>
          <cell r="Y1130" t="str">
            <v>MATHEUS ALMEIDA</v>
          </cell>
          <cell r="Z1130" t="str">
            <v>ADALTON/JANILSON RORIZ/MARIVALDO</v>
          </cell>
        </row>
        <row r="1131">
          <cell r="V1131" t="str">
            <v>Melhoria Continua - Tabaco</v>
          </cell>
          <cell r="W1131" t="str">
            <v>Gente e Gestão</v>
          </cell>
          <cell r="X1131" t="str">
            <v xml:space="preserve">GISELE NASCENTE </v>
          </cell>
          <cell r="Y1131" t="str">
            <v xml:space="preserve">GISELE NASCENTE </v>
          </cell>
          <cell r="Z1131" t="str">
            <v>MARCOS OLIVEIRA</v>
          </cell>
        </row>
        <row r="1132">
          <cell r="V1132" t="str">
            <v>Transplante Tabaco</v>
          </cell>
          <cell r="W1132" t="str">
            <v>Operações Tabaco</v>
          </cell>
          <cell r="X1132" t="str">
            <v>CRISOSTOMO CASTRO</v>
          </cell>
          <cell r="Y1132" t="str">
            <v>YAN SILVA</v>
          </cell>
          <cell r="Z1132" t="str">
            <v>JUNIO TEIXEIRA /GEOVANI RORIZ</v>
          </cell>
        </row>
        <row r="1133">
          <cell r="V1133" t="str">
            <v>Gestor Campo Tabaco</v>
          </cell>
          <cell r="W1133" t="str">
            <v>Operações Tabaco</v>
          </cell>
          <cell r="X1133" t="str">
            <v>CRISOSTOMO CASTRO</v>
          </cell>
        </row>
        <row r="1134">
          <cell r="V1134" t="str">
            <v>Unloading Tabaco</v>
          </cell>
          <cell r="W1134" t="str">
            <v>Operações Tabaco</v>
          </cell>
          <cell r="X1134" t="str">
            <v>CRISOSTOMO CASTRO</v>
          </cell>
          <cell r="Y1134" t="str">
            <v>MATHEUS ALMEIDA</v>
          </cell>
        </row>
        <row r="1135">
          <cell r="V1135" t="str">
            <v>Preparo Solo Tabaco</v>
          </cell>
          <cell r="W1135" t="str">
            <v>Operações Tabaco</v>
          </cell>
          <cell r="X1135" t="str">
            <v>CRISOSTOMO CASTRO</v>
          </cell>
          <cell r="Y1135" t="str">
            <v>JOÃO FILHO</v>
          </cell>
          <cell r="Z1135" t="str">
            <v>ALCENO JUNIOR/JOÃO MARCOS</v>
          </cell>
        </row>
        <row r="1136">
          <cell r="V1136" t="str">
            <v>Colheita Tabaco</v>
          </cell>
          <cell r="W1136" t="str">
            <v>Operações Tabaco</v>
          </cell>
          <cell r="X1136" t="str">
            <v>CRISOSTOMO CASTRO</v>
          </cell>
          <cell r="Y1136" t="str">
            <v>JOÃO FILHO</v>
          </cell>
          <cell r="Z1136" t="str">
            <v>ALCENO JUNIOR/JOÃO MARCOS</v>
          </cell>
        </row>
        <row r="1137">
          <cell r="V1137" t="str">
            <v>Transplante Tabaco</v>
          </cell>
          <cell r="W1137" t="str">
            <v>Operações Tabaco</v>
          </cell>
          <cell r="X1137" t="str">
            <v>CRISOSTOMO CASTRO</v>
          </cell>
          <cell r="Y1137" t="str">
            <v>YAN SILVA</v>
          </cell>
          <cell r="Z1137" t="str">
            <v>JUNIO TEIXEIRA /GEOVANI RORIZ</v>
          </cell>
        </row>
        <row r="1138">
          <cell r="V1138" t="str">
            <v>Controle Fitosanitário - MIP</v>
          </cell>
          <cell r="W1138" t="str">
            <v>Operações Tabaco</v>
          </cell>
          <cell r="X1138" t="str">
            <v>CRISOSTOMO CASTRO</v>
          </cell>
          <cell r="Y1138" t="str">
            <v>YAN SILVA</v>
          </cell>
          <cell r="Z1138" t="str">
            <v>JUNIO TEIXEIRA /GEOVANI RORIZ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D749-8800-4749-8460-6737E7C45470}">
  <dimension ref="A1:N1174"/>
  <sheetViews>
    <sheetView showGridLines="0" workbookViewId="0">
      <pane ySplit="1" topLeftCell="A2" activePane="bottomLeft" state="frozen"/>
      <selection pane="bottomLeft"/>
    </sheetView>
  </sheetViews>
  <sheetFormatPr defaultColWidth="13.1796875" defaultRowHeight="13" x14ac:dyDescent="0.3"/>
  <cols>
    <col min="1" max="1" width="13.08984375" style="1" bestFit="1" customWidth="1"/>
    <col min="2" max="2" width="39.08984375" style="1" bestFit="1" customWidth="1"/>
    <col min="3" max="3" width="20" style="1" bestFit="1" customWidth="1"/>
    <col min="4" max="4" width="17.26953125" style="2" bestFit="1" customWidth="1"/>
    <col min="5" max="5" width="31.90625" style="2" bestFit="1" customWidth="1"/>
    <col min="6" max="6" width="16.08984375" style="1" bestFit="1" customWidth="1"/>
    <col min="7" max="7" width="37.453125" style="2" bestFit="1" customWidth="1"/>
    <col min="8" max="8" width="38.453125" style="1" bestFit="1" customWidth="1"/>
    <col min="9" max="9" width="20.7265625" style="2" bestFit="1" customWidth="1"/>
    <col min="10" max="10" width="24.6328125" style="2" bestFit="1" customWidth="1"/>
    <col min="11" max="11" width="17.81640625" style="1" hidden="1" customWidth="1"/>
    <col min="12" max="12" width="18.81640625" style="1" hidden="1" customWidth="1"/>
    <col min="13" max="13" width="30.6328125" style="1" hidden="1" customWidth="1"/>
    <col min="14" max="14" width="40.81640625" style="1" bestFit="1" customWidth="1"/>
    <col min="15" max="16384" width="13.1796875" style="1"/>
  </cols>
  <sheetData>
    <row r="1" spans="1:14" s="3" customFormat="1" ht="17.5" customHeight="1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>
        <v>705767</v>
      </c>
      <c r="B2" s="1" t="s">
        <v>1475</v>
      </c>
      <c r="C2" s="5" t="s">
        <v>92</v>
      </c>
      <c r="D2" s="2">
        <v>45993</v>
      </c>
      <c r="E2" s="2" t="s">
        <v>31</v>
      </c>
      <c r="F2" s="1">
        <v>25102</v>
      </c>
      <c r="G2" s="1" t="s">
        <v>1153</v>
      </c>
      <c r="H2" s="1" t="s">
        <v>18</v>
      </c>
      <c r="I2" s="2">
        <v>46037</v>
      </c>
      <c r="J2" s="2" t="s">
        <v>19</v>
      </c>
      <c r="K2" s="1" t="s">
        <v>1368</v>
      </c>
      <c r="L2" s="1" t="s">
        <v>20</v>
      </c>
      <c r="N2" s="1" t="str">
        <f>IF(M2&lt;&gt;"", M2, IF(L2&lt;&gt;"", L2, K2))</f>
        <v>ALEX DIAS</v>
      </c>
    </row>
    <row r="3" spans="1:14" x14ac:dyDescent="0.3">
      <c r="A3" s="1">
        <v>2043</v>
      </c>
      <c r="B3" s="1" t="s">
        <v>14</v>
      </c>
      <c r="C3" s="5" t="s">
        <v>15</v>
      </c>
      <c r="D3" s="2">
        <v>40673</v>
      </c>
      <c r="E3" s="2" t="s">
        <v>16</v>
      </c>
      <c r="F3" s="1">
        <v>52104</v>
      </c>
      <c r="G3" s="1" t="s">
        <v>17</v>
      </c>
      <c r="H3" s="1" t="s">
        <v>18</v>
      </c>
      <c r="J3" s="2" t="s">
        <v>19</v>
      </c>
      <c r="K3" s="1" t="s">
        <v>1368</v>
      </c>
      <c r="L3" s="1" t="s">
        <v>20</v>
      </c>
      <c r="N3" s="1" t="str">
        <f t="shared" ref="N3:N66" si="0">IF(M3&lt;&gt;"", M3, IF(L3&lt;&gt;"", L3, K3))</f>
        <v>ALEX DIAS</v>
      </c>
    </row>
    <row r="4" spans="1:14" x14ac:dyDescent="0.3">
      <c r="A4" s="1">
        <v>702424</v>
      </c>
      <c r="B4" s="1" t="s">
        <v>21</v>
      </c>
      <c r="C4" s="5" t="s">
        <v>15</v>
      </c>
      <c r="D4" s="2">
        <v>44390</v>
      </c>
      <c r="E4" s="2" t="s">
        <v>109</v>
      </c>
      <c r="F4" s="1">
        <v>32101</v>
      </c>
      <c r="G4" s="1" t="s">
        <v>23</v>
      </c>
      <c r="H4" s="1" t="s">
        <v>18</v>
      </c>
      <c r="J4" s="2" t="s">
        <v>24</v>
      </c>
      <c r="K4" s="1" t="s">
        <v>25</v>
      </c>
      <c r="L4" s="1" t="s">
        <v>1369</v>
      </c>
      <c r="M4" s="1" t="s">
        <v>1370</v>
      </c>
      <c r="N4" s="1" t="str">
        <f t="shared" si="0"/>
        <v>JUNIO COSTA</v>
      </c>
    </row>
    <row r="5" spans="1:14" x14ac:dyDescent="0.3">
      <c r="A5" s="1">
        <v>705209</v>
      </c>
      <c r="B5" s="1" t="s">
        <v>1152</v>
      </c>
      <c r="C5" s="5" t="s">
        <v>15</v>
      </c>
      <c r="D5" s="2">
        <v>45720</v>
      </c>
      <c r="E5" s="2" t="s">
        <v>138</v>
      </c>
      <c r="F5" s="1">
        <v>22102</v>
      </c>
      <c r="G5" s="1" t="s">
        <v>68</v>
      </c>
      <c r="H5" s="1" t="s">
        <v>18</v>
      </c>
      <c r="J5" s="2" t="s">
        <v>142</v>
      </c>
      <c r="K5" s="1" t="s">
        <v>1371</v>
      </c>
      <c r="L5" s="1" t="s">
        <v>1509</v>
      </c>
      <c r="M5" s="1" t="s">
        <v>143</v>
      </c>
      <c r="N5" s="1" t="str">
        <f t="shared" si="0"/>
        <v>TALLES BALIZA</v>
      </c>
    </row>
    <row r="6" spans="1:14" x14ac:dyDescent="0.3">
      <c r="A6" s="1">
        <v>703309</v>
      </c>
      <c r="B6" s="1" t="s">
        <v>26</v>
      </c>
      <c r="C6" s="5" t="s">
        <v>15</v>
      </c>
      <c r="D6" s="2">
        <v>44823</v>
      </c>
      <c r="E6" s="2" t="s">
        <v>27</v>
      </c>
      <c r="F6" s="1">
        <v>39501</v>
      </c>
      <c r="G6" s="1" t="s">
        <v>28</v>
      </c>
      <c r="H6" s="1" t="s">
        <v>18</v>
      </c>
      <c r="J6" s="2" t="s">
        <v>29</v>
      </c>
      <c r="K6" s="1" t="s">
        <v>1368</v>
      </c>
      <c r="L6" s="1" t="s">
        <v>1368</v>
      </c>
      <c r="N6" s="1" t="str">
        <f t="shared" si="0"/>
        <v>JOSÉ GOUVEA</v>
      </c>
    </row>
    <row r="7" spans="1:14" x14ac:dyDescent="0.3">
      <c r="A7" s="1">
        <v>705641</v>
      </c>
      <c r="B7" s="1" t="s">
        <v>1393</v>
      </c>
      <c r="C7" s="5" t="s">
        <v>15</v>
      </c>
      <c r="D7" s="2">
        <v>45937</v>
      </c>
      <c r="E7" s="2" t="s">
        <v>31</v>
      </c>
      <c r="F7" s="1">
        <v>25102</v>
      </c>
      <c r="G7" s="1" t="s">
        <v>1153</v>
      </c>
      <c r="H7" s="1" t="s">
        <v>18</v>
      </c>
      <c r="J7" s="2" t="s">
        <v>19</v>
      </c>
      <c r="K7" s="1" t="s">
        <v>1368</v>
      </c>
      <c r="L7" s="1" t="s">
        <v>20</v>
      </c>
      <c r="N7" s="1" t="str">
        <f t="shared" si="0"/>
        <v>ALEX DIAS</v>
      </c>
    </row>
    <row r="8" spans="1:14" x14ac:dyDescent="0.3">
      <c r="A8" s="1">
        <v>704943</v>
      </c>
      <c r="B8" s="1" t="s">
        <v>30</v>
      </c>
      <c r="C8" s="5" t="s">
        <v>15</v>
      </c>
      <c r="D8" s="2">
        <v>45607</v>
      </c>
      <c r="E8" s="2" t="s">
        <v>31</v>
      </c>
      <c r="F8" s="1">
        <v>52202</v>
      </c>
      <c r="G8" s="1" t="s">
        <v>32</v>
      </c>
      <c r="H8" s="1" t="s">
        <v>18</v>
      </c>
      <c r="J8" s="2" t="s">
        <v>33</v>
      </c>
      <c r="K8" s="1" t="s">
        <v>1368</v>
      </c>
      <c r="L8" s="1" t="s">
        <v>20</v>
      </c>
      <c r="N8" s="1" t="str">
        <f t="shared" si="0"/>
        <v>ALEX DIAS</v>
      </c>
    </row>
    <row r="9" spans="1:14" x14ac:dyDescent="0.3">
      <c r="A9" s="1">
        <v>101677</v>
      </c>
      <c r="B9" s="1" t="s">
        <v>34</v>
      </c>
      <c r="C9" s="5" t="s">
        <v>15</v>
      </c>
      <c r="D9" s="2">
        <v>41401</v>
      </c>
      <c r="E9" s="2" t="s">
        <v>31</v>
      </c>
      <c r="F9" s="1">
        <v>38101</v>
      </c>
      <c r="G9" s="1" t="s">
        <v>35</v>
      </c>
      <c r="H9" s="1" t="s">
        <v>18</v>
      </c>
      <c r="J9" s="2" t="s">
        <v>36</v>
      </c>
      <c r="K9" s="1" t="s">
        <v>1372</v>
      </c>
      <c r="L9" s="1" t="s">
        <v>1372</v>
      </c>
      <c r="M9" s="1" t="s">
        <v>1373</v>
      </c>
      <c r="N9" s="1" t="str">
        <f t="shared" si="0"/>
        <v>DENIS ACASSIO</v>
      </c>
    </row>
    <row r="10" spans="1:14" x14ac:dyDescent="0.3">
      <c r="A10" s="1">
        <v>705689</v>
      </c>
      <c r="B10" s="1" t="s">
        <v>1441</v>
      </c>
      <c r="C10" s="5" t="s">
        <v>15</v>
      </c>
      <c r="D10" s="2">
        <v>45971</v>
      </c>
      <c r="E10" s="2" t="s">
        <v>109</v>
      </c>
      <c r="F10" s="1">
        <v>32101</v>
      </c>
      <c r="G10" s="1" t="s">
        <v>23</v>
      </c>
      <c r="H10" s="1" t="s">
        <v>18</v>
      </c>
      <c r="J10" s="2" t="s">
        <v>24</v>
      </c>
      <c r="K10" s="1" t="s">
        <v>25</v>
      </c>
      <c r="L10" s="1" t="s">
        <v>1369</v>
      </c>
      <c r="M10" s="1" t="s">
        <v>1370</v>
      </c>
      <c r="N10" s="1" t="str">
        <f t="shared" si="0"/>
        <v>JUNIO COSTA</v>
      </c>
    </row>
    <row r="11" spans="1:14" x14ac:dyDescent="0.3">
      <c r="A11" s="1">
        <v>702985</v>
      </c>
      <c r="B11" s="1" t="s">
        <v>38</v>
      </c>
      <c r="C11" s="5" t="s">
        <v>15</v>
      </c>
      <c r="D11" s="2">
        <v>44691</v>
      </c>
      <c r="E11" s="2" t="s">
        <v>1345</v>
      </c>
      <c r="F11" s="1">
        <v>32101</v>
      </c>
      <c r="G11" s="1" t="s">
        <v>23</v>
      </c>
      <c r="H11" s="1" t="s">
        <v>18</v>
      </c>
      <c r="J11" s="2" t="s">
        <v>24</v>
      </c>
      <c r="K11" s="1" t="s">
        <v>25</v>
      </c>
      <c r="L11" s="1" t="s">
        <v>1369</v>
      </c>
      <c r="M11" s="1" t="s">
        <v>1370</v>
      </c>
      <c r="N11" s="1" t="str">
        <f t="shared" si="0"/>
        <v>JUNIO COSTA</v>
      </c>
    </row>
    <row r="12" spans="1:14" x14ac:dyDescent="0.3">
      <c r="A12" s="1">
        <v>703167</v>
      </c>
      <c r="B12" s="1" t="s">
        <v>39</v>
      </c>
      <c r="C12" s="5" t="s">
        <v>15</v>
      </c>
      <c r="D12" s="2">
        <v>44732</v>
      </c>
      <c r="E12" s="2" t="s">
        <v>138</v>
      </c>
      <c r="F12" s="1">
        <v>25102</v>
      </c>
      <c r="G12" s="1" t="s">
        <v>1153</v>
      </c>
      <c r="H12" s="1" t="s">
        <v>18</v>
      </c>
      <c r="J12" s="2" t="s">
        <v>19</v>
      </c>
      <c r="K12" s="1" t="s">
        <v>1368</v>
      </c>
      <c r="L12" s="1" t="s">
        <v>20</v>
      </c>
      <c r="N12" s="1" t="str">
        <f t="shared" si="0"/>
        <v>ALEX DIAS</v>
      </c>
    </row>
    <row r="13" spans="1:14" x14ac:dyDescent="0.3">
      <c r="A13" s="1">
        <v>100320</v>
      </c>
      <c r="B13" s="1" t="s">
        <v>41</v>
      </c>
      <c r="C13" s="5" t="s">
        <v>15</v>
      </c>
      <c r="D13" s="2">
        <v>41792</v>
      </c>
      <c r="E13" s="2" t="s">
        <v>42</v>
      </c>
      <c r="F13" s="1">
        <v>34101</v>
      </c>
      <c r="G13" s="1" t="s">
        <v>43</v>
      </c>
      <c r="H13" s="1" t="s">
        <v>18</v>
      </c>
      <c r="J13" s="2" t="s">
        <v>65</v>
      </c>
      <c r="K13" s="1" t="s">
        <v>25</v>
      </c>
      <c r="L13" s="1" t="s">
        <v>1374</v>
      </c>
      <c r="M13" s="1" t="s">
        <v>1375</v>
      </c>
      <c r="N13" s="1" t="str">
        <f t="shared" si="0"/>
        <v>ANDRÉ CUBA</v>
      </c>
    </row>
    <row r="14" spans="1:14" x14ac:dyDescent="0.3">
      <c r="A14" s="1">
        <v>705377</v>
      </c>
      <c r="B14" s="1" t="s">
        <v>1212</v>
      </c>
      <c r="C14" s="5" t="s">
        <v>15</v>
      </c>
      <c r="D14" s="2">
        <v>45784</v>
      </c>
      <c r="E14" s="2" t="s">
        <v>31</v>
      </c>
      <c r="F14" s="1">
        <v>39301</v>
      </c>
      <c r="G14" s="1" t="s">
        <v>73</v>
      </c>
      <c r="H14" s="1" t="s">
        <v>18</v>
      </c>
      <c r="J14" s="2" t="s">
        <v>74</v>
      </c>
      <c r="K14" s="1" t="s">
        <v>1371</v>
      </c>
      <c r="L14" s="1" t="s">
        <v>1376</v>
      </c>
      <c r="M14" s="1" t="s">
        <v>75</v>
      </c>
      <c r="N14" s="1" t="str">
        <f t="shared" si="0"/>
        <v>ISAC NONATO</v>
      </c>
    </row>
    <row r="15" spans="1:14" x14ac:dyDescent="0.3">
      <c r="A15" s="1">
        <v>705797</v>
      </c>
      <c r="B15" s="1" t="s">
        <v>1510</v>
      </c>
      <c r="C15" s="5" t="s">
        <v>15</v>
      </c>
      <c r="D15" s="2">
        <v>46029</v>
      </c>
      <c r="E15" s="2" t="s">
        <v>31</v>
      </c>
      <c r="F15" s="1">
        <v>52202</v>
      </c>
      <c r="G15" s="1" t="s">
        <v>32</v>
      </c>
      <c r="H15" s="1" t="s">
        <v>18</v>
      </c>
      <c r="J15" s="2" t="s">
        <v>33</v>
      </c>
      <c r="K15" s="1" t="s">
        <v>1368</v>
      </c>
      <c r="L15" s="1" t="s">
        <v>20</v>
      </c>
      <c r="N15" s="1" t="str">
        <f t="shared" si="0"/>
        <v>ALEX DIAS</v>
      </c>
    </row>
    <row r="16" spans="1:14" x14ac:dyDescent="0.3">
      <c r="A16" s="1">
        <v>705428</v>
      </c>
      <c r="B16" s="1" t="s">
        <v>1236</v>
      </c>
      <c r="C16" s="5" t="s">
        <v>15</v>
      </c>
      <c r="D16" s="2">
        <v>45797</v>
      </c>
      <c r="E16" s="2" t="s">
        <v>31</v>
      </c>
      <c r="F16" s="1">
        <v>22102</v>
      </c>
      <c r="G16" s="1" t="s">
        <v>68</v>
      </c>
      <c r="H16" s="1" t="s">
        <v>18</v>
      </c>
      <c r="J16" s="2" t="s">
        <v>81</v>
      </c>
      <c r="K16" s="1" t="s">
        <v>1371</v>
      </c>
      <c r="L16" s="1" t="s">
        <v>1509</v>
      </c>
      <c r="M16" s="1" t="s">
        <v>1379</v>
      </c>
      <c r="N16" s="1" t="str">
        <f t="shared" si="0"/>
        <v xml:space="preserve">EDSON/MARCELO LIMA </v>
      </c>
    </row>
    <row r="17" spans="1:14" x14ac:dyDescent="0.3">
      <c r="A17" s="1">
        <v>702023</v>
      </c>
      <c r="B17" s="1" t="s">
        <v>51</v>
      </c>
      <c r="C17" s="5" t="s">
        <v>15</v>
      </c>
      <c r="D17" s="2">
        <v>44249</v>
      </c>
      <c r="E17" s="2" t="s">
        <v>326</v>
      </c>
      <c r="F17" s="1">
        <v>32101</v>
      </c>
      <c r="G17" s="1" t="s">
        <v>23</v>
      </c>
      <c r="H17" s="1" t="s">
        <v>18</v>
      </c>
      <c r="J17" s="2" t="s">
        <v>24</v>
      </c>
      <c r="K17" s="1" t="s">
        <v>25</v>
      </c>
      <c r="L17" s="1" t="s">
        <v>1369</v>
      </c>
      <c r="M17" s="1" t="s">
        <v>1370</v>
      </c>
      <c r="N17" s="1" t="str">
        <f t="shared" si="0"/>
        <v>JUNIO COSTA</v>
      </c>
    </row>
    <row r="18" spans="1:14" x14ac:dyDescent="0.3">
      <c r="A18" s="1">
        <v>704650</v>
      </c>
      <c r="B18" s="1" t="s">
        <v>53</v>
      </c>
      <c r="C18" s="5" t="s">
        <v>15</v>
      </c>
      <c r="D18" s="2">
        <v>45476</v>
      </c>
      <c r="E18" s="2" t="s">
        <v>40</v>
      </c>
      <c r="F18" s="1">
        <v>52104</v>
      </c>
      <c r="G18" s="1" t="s">
        <v>17</v>
      </c>
      <c r="H18" s="1" t="s">
        <v>18</v>
      </c>
      <c r="J18" s="2" t="s">
        <v>19</v>
      </c>
      <c r="K18" s="1" t="s">
        <v>1368</v>
      </c>
      <c r="L18" s="1" t="s">
        <v>20</v>
      </c>
      <c r="N18" s="1" t="str">
        <f t="shared" si="0"/>
        <v>ALEX DIAS</v>
      </c>
    </row>
    <row r="19" spans="1:14" x14ac:dyDescent="0.3">
      <c r="A19" s="1">
        <v>637</v>
      </c>
      <c r="B19" s="1" t="s">
        <v>54</v>
      </c>
      <c r="C19" s="5" t="s">
        <v>15</v>
      </c>
      <c r="D19" s="2">
        <v>39966</v>
      </c>
      <c r="E19" s="2" t="s">
        <v>55</v>
      </c>
      <c r="F19" s="1">
        <v>39304</v>
      </c>
      <c r="G19" s="1" t="s">
        <v>56</v>
      </c>
      <c r="H19" s="1" t="s">
        <v>18</v>
      </c>
      <c r="J19" s="2" t="s">
        <v>57</v>
      </c>
      <c r="K19" s="1" t="s">
        <v>1371</v>
      </c>
      <c r="L19" s="1" t="s">
        <v>1376</v>
      </c>
      <c r="M19" s="1" t="s">
        <v>1377</v>
      </c>
      <c r="N19" s="1" t="str">
        <f t="shared" si="0"/>
        <v>WARLEY RIBEIRO</v>
      </c>
    </row>
    <row r="20" spans="1:14" x14ac:dyDescent="0.3">
      <c r="A20" s="1">
        <v>704972</v>
      </c>
      <c r="B20" s="1" t="s">
        <v>58</v>
      </c>
      <c r="C20" s="5" t="s">
        <v>15</v>
      </c>
      <c r="D20" s="2">
        <v>45629</v>
      </c>
      <c r="E20" s="2" t="s">
        <v>31</v>
      </c>
      <c r="F20" s="1">
        <v>52104</v>
      </c>
      <c r="G20" s="1" t="s">
        <v>17</v>
      </c>
      <c r="H20" s="1" t="s">
        <v>18</v>
      </c>
      <c r="J20" s="2" t="s">
        <v>19</v>
      </c>
      <c r="K20" s="1" t="s">
        <v>1368</v>
      </c>
      <c r="L20" s="1" t="s">
        <v>20</v>
      </c>
      <c r="N20" s="1" t="str">
        <f t="shared" si="0"/>
        <v>ALEX DIAS</v>
      </c>
    </row>
    <row r="21" spans="1:14" x14ac:dyDescent="0.3">
      <c r="A21" s="1">
        <v>105221</v>
      </c>
      <c r="B21" s="1" t="s">
        <v>59</v>
      </c>
      <c r="C21" s="5" t="s">
        <v>15</v>
      </c>
      <c r="D21" s="2">
        <v>42632</v>
      </c>
      <c r="E21" s="2" t="s">
        <v>166</v>
      </c>
      <c r="F21" s="1">
        <v>51219</v>
      </c>
      <c r="G21" s="1" t="s">
        <v>61</v>
      </c>
      <c r="H21" s="1" t="s">
        <v>18</v>
      </c>
      <c r="J21" s="2" t="s">
        <v>37</v>
      </c>
      <c r="K21" s="1" t="s">
        <v>1368</v>
      </c>
      <c r="L21" s="1" t="s">
        <v>20</v>
      </c>
      <c r="N21" s="1" t="str">
        <f t="shared" si="0"/>
        <v>ALEX DIAS</v>
      </c>
    </row>
    <row r="22" spans="1:14" x14ac:dyDescent="0.3">
      <c r="A22" s="1">
        <v>704155</v>
      </c>
      <c r="B22" s="1" t="s">
        <v>62</v>
      </c>
      <c r="C22" s="5" t="s">
        <v>15</v>
      </c>
      <c r="D22" s="2">
        <v>45264</v>
      </c>
      <c r="E22" s="2" t="s">
        <v>31</v>
      </c>
      <c r="F22" s="1">
        <v>52104</v>
      </c>
      <c r="G22" s="1" t="s">
        <v>17</v>
      </c>
      <c r="H22" s="1" t="s">
        <v>18</v>
      </c>
      <c r="J22" s="2" t="s">
        <v>19</v>
      </c>
      <c r="K22" s="1" t="s">
        <v>1368</v>
      </c>
      <c r="L22" s="1" t="s">
        <v>20</v>
      </c>
      <c r="N22" s="1" t="str">
        <f t="shared" si="0"/>
        <v>ALEX DIAS</v>
      </c>
    </row>
    <row r="23" spans="1:14" x14ac:dyDescent="0.3">
      <c r="A23" s="1">
        <v>700244</v>
      </c>
      <c r="B23" s="1" t="s">
        <v>63</v>
      </c>
      <c r="C23" s="5" t="s">
        <v>15</v>
      </c>
      <c r="D23" s="2">
        <v>43262</v>
      </c>
      <c r="E23" s="2" t="s">
        <v>52</v>
      </c>
      <c r="F23" s="1">
        <v>33301</v>
      </c>
      <c r="G23" s="1" t="s">
        <v>64</v>
      </c>
      <c r="H23" s="1" t="s">
        <v>18</v>
      </c>
      <c r="J23" s="2" t="s">
        <v>65</v>
      </c>
      <c r="K23" s="1" t="s">
        <v>25</v>
      </c>
      <c r="L23" s="1" t="s">
        <v>1374</v>
      </c>
      <c r="M23" s="1" t="s">
        <v>1375</v>
      </c>
      <c r="N23" s="1" t="str">
        <f t="shared" si="0"/>
        <v>ANDRÉ CUBA</v>
      </c>
    </row>
    <row r="24" spans="1:14" x14ac:dyDescent="0.3">
      <c r="A24" s="1">
        <v>703533</v>
      </c>
      <c r="B24" s="1" t="s">
        <v>66</v>
      </c>
      <c r="C24" s="5" t="s">
        <v>15</v>
      </c>
      <c r="D24" s="2">
        <v>44907</v>
      </c>
      <c r="E24" s="2" t="s">
        <v>67</v>
      </c>
      <c r="F24" s="1">
        <v>22102</v>
      </c>
      <c r="G24" s="1" t="s">
        <v>68</v>
      </c>
      <c r="H24" s="1" t="s">
        <v>18</v>
      </c>
      <c r="J24" s="2" t="s">
        <v>69</v>
      </c>
      <c r="K24" s="1" t="s">
        <v>1371</v>
      </c>
      <c r="L24" s="1" t="s">
        <v>1378</v>
      </c>
      <c r="N24" s="1" t="str">
        <f t="shared" si="0"/>
        <v xml:space="preserve">JOÃO KOMURA </v>
      </c>
    </row>
    <row r="25" spans="1:14" x14ac:dyDescent="0.3">
      <c r="A25" s="1">
        <v>101789</v>
      </c>
      <c r="B25" s="1" t="s">
        <v>70</v>
      </c>
      <c r="C25" s="5" t="s">
        <v>15</v>
      </c>
      <c r="D25" s="2">
        <v>43080</v>
      </c>
      <c r="E25" s="2" t="s">
        <v>71</v>
      </c>
      <c r="F25" s="1">
        <v>25201</v>
      </c>
      <c r="G25" s="1" t="s">
        <v>89</v>
      </c>
      <c r="H25" s="1" t="s">
        <v>18</v>
      </c>
      <c r="J25" s="2" t="s">
        <v>19</v>
      </c>
      <c r="K25" s="1" t="s">
        <v>1368</v>
      </c>
      <c r="L25" s="1" t="s">
        <v>20</v>
      </c>
      <c r="N25" s="1" t="str">
        <f t="shared" si="0"/>
        <v>ALEX DIAS</v>
      </c>
    </row>
    <row r="26" spans="1:14" x14ac:dyDescent="0.3">
      <c r="A26" s="1">
        <v>704884</v>
      </c>
      <c r="B26" s="1" t="s">
        <v>76</v>
      </c>
      <c r="C26" s="5" t="s">
        <v>15</v>
      </c>
      <c r="D26" s="2">
        <v>45586</v>
      </c>
      <c r="E26" s="2" t="s">
        <v>77</v>
      </c>
      <c r="F26" s="1">
        <v>38107</v>
      </c>
      <c r="G26" s="1" t="s">
        <v>1503</v>
      </c>
      <c r="H26" s="1" t="s">
        <v>18</v>
      </c>
      <c r="J26" s="2" t="s">
        <v>78</v>
      </c>
      <c r="K26" s="1" t="s">
        <v>1372</v>
      </c>
      <c r="L26" s="1" t="s">
        <v>1372</v>
      </c>
      <c r="N26" s="1" t="str">
        <f t="shared" si="0"/>
        <v xml:space="preserve">LEIDJANE MARTINS </v>
      </c>
    </row>
    <row r="27" spans="1:14" x14ac:dyDescent="0.3">
      <c r="A27" s="1">
        <v>705422</v>
      </c>
      <c r="B27" s="1" t="s">
        <v>1237</v>
      </c>
      <c r="C27" s="5" t="s">
        <v>15</v>
      </c>
      <c r="D27" s="2">
        <v>45791</v>
      </c>
      <c r="E27" s="2" t="s">
        <v>31</v>
      </c>
      <c r="F27" s="1">
        <v>22102</v>
      </c>
      <c r="G27" s="1" t="s">
        <v>68</v>
      </c>
      <c r="H27" s="1" t="s">
        <v>18</v>
      </c>
      <c r="J27" s="2" t="s">
        <v>81</v>
      </c>
      <c r="K27" s="1" t="s">
        <v>1371</v>
      </c>
      <c r="L27" s="1" t="s">
        <v>1509</v>
      </c>
      <c r="M27" s="1" t="s">
        <v>1379</v>
      </c>
      <c r="N27" s="1" t="str">
        <f t="shared" si="0"/>
        <v xml:space="preserve">EDSON/MARCELO LIMA </v>
      </c>
    </row>
    <row r="28" spans="1:14" x14ac:dyDescent="0.3">
      <c r="A28" s="1">
        <v>704497</v>
      </c>
      <c r="B28" s="1" t="s">
        <v>79</v>
      </c>
      <c r="C28" s="5" t="s">
        <v>15</v>
      </c>
      <c r="D28" s="2">
        <v>45419</v>
      </c>
      <c r="E28" s="2" t="s">
        <v>80</v>
      </c>
      <c r="F28" s="1">
        <v>22102</v>
      </c>
      <c r="G28" s="1" t="s">
        <v>68</v>
      </c>
      <c r="H28" s="1" t="s">
        <v>18</v>
      </c>
      <c r="J28" s="2" t="s">
        <v>81</v>
      </c>
      <c r="K28" s="1" t="s">
        <v>1371</v>
      </c>
      <c r="L28" s="1" t="s">
        <v>1509</v>
      </c>
      <c r="M28" s="1" t="s">
        <v>1379</v>
      </c>
      <c r="N28" s="1" t="str">
        <f t="shared" si="0"/>
        <v xml:space="preserve">EDSON/MARCELO LIMA </v>
      </c>
    </row>
    <row r="29" spans="1:14" x14ac:dyDescent="0.3">
      <c r="A29" s="1">
        <v>100914</v>
      </c>
      <c r="B29" s="1" t="s">
        <v>82</v>
      </c>
      <c r="C29" s="5" t="s">
        <v>15</v>
      </c>
      <c r="D29" s="2">
        <v>42499</v>
      </c>
      <c r="E29" s="2" t="s">
        <v>83</v>
      </c>
      <c r="F29" s="1">
        <v>34201</v>
      </c>
      <c r="G29" s="1" t="s">
        <v>84</v>
      </c>
      <c r="H29" s="1" t="s">
        <v>18</v>
      </c>
      <c r="J29" s="2" t="s">
        <v>85</v>
      </c>
      <c r="K29" s="1" t="s">
        <v>1371</v>
      </c>
      <c r="L29" s="1" t="s">
        <v>1371</v>
      </c>
      <c r="M29" s="1" t="s">
        <v>1380</v>
      </c>
      <c r="N29" s="1" t="str">
        <f t="shared" si="0"/>
        <v xml:space="preserve">LEONARDO SANTOS </v>
      </c>
    </row>
    <row r="30" spans="1:14" x14ac:dyDescent="0.3">
      <c r="A30" s="1">
        <v>704374</v>
      </c>
      <c r="B30" s="1" t="s">
        <v>86</v>
      </c>
      <c r="C30" s="5" t="s">
        <v>15</v>
      </c>
      <c r="D30" s="2">
        <v>45391</v>
      </c>
      <c r="E30" s="2" t="s">
        <v>27</v>
      </c>
      <c r="F30" s="1">
        <v>39501</v>
      </c>
      <c r="G30" s="1" t="s">
        <v>28</v>
      </c>
      <c r="H30" s="1" t="s">
        <v>18</v>
      </c>
      <c r="J30" s="2" t="s">
        <v>29</v>
      </c>
      <c r="K30" s="1" t="s">
        <v>1368</v>
      </c>
      <c r="L30" s="1" t="s">
        <v>1368</v>
      </c>
      <c r="N30" s="1" t="str">
        <f t="shared" si="0"/>
        <v>JOSÉ GOUVEA</v>
      </c>
    </row>
    <row r="31" spans="1:14" x14ac:dyDescent="0.3">
      <c r="A31" s="1">
        <v>705107</v>
      </c>
      <c r="B31" s="1" t="s">
        <v>88</v>
      </c>
      <c r="C31" s="5" t="s">
        <v>15</v>
      </c>
      <c r="D31" s="2">
        <v>45678</v>
      </c>
      <c r="E31" s="2" t="s">
        <v>31</v>
      </c>
      <c r="F31" s="1">
        <v>51219</v>
      </c>
      <c r="G31" s="1" t="s">
        <v>61</v>
      </c>
      <c r="H31" s="1" t="s">
        <v>18</v>
      </c>
      <c r="J31" s="2" t="s">
        <v>37</v>
      </c>
      <c r="K31" s="1" t="s">
        <v>1368</v>
      </c>
      <c r="L31" s="1" t="s">
        <v>20</v>
      </c>
      <c r="N31" s="1" t="str">
        <f t="shared" si="0"/>
        <v>ALEX DIAS</v>
      </c>
    </row>
    <row r="32" spans="1:14" x14ac:dyDescent="0.3">
      <c r="A32" s="1">
        <v>704639</v>
      </c>
      <c r="B32" s="1" t="s">
        <v>90</v>
      </c>
      <c r="C32" s="5" t="s">
        <v>15</v>
      </c>
      <c r="D32" s="2">
        <v>45476</v>
      </c>
      <c r="E32" s="2" t="s">
        <v>91</v>
      </c>
      <c r="F32" s="1">
        <v>34201</v>
      </c>
      <c r="G32" s="1" t="s">
        <v>84</v>
      </c>
      <c r="H32" s="1" t="s">
        <v>18</v>
      </c>
      <c r="J32" s="2" t="s">
        <v>85</v>
      </c>
      <c r="K32" s="1" t="s">
        <v>1371</v>
      </c>
      <c r="L32" s="1" t="s">
        <v>1371</v>
      </c>
      <c r="M32" s="1" t="s">
        <v>1380</v>
      </c>
      <c r="N32" s="1" t="str">
        <f t="shared" si="0"/>
        <v xml:space="preserve">LEONARDO SANTOS </v>
      </c>
    </row>
    <row r="33" spans="1:14" x14ac:dyDescent="0.3">
      <c r="A33" s="1">
        <v>703274</v>
      </c>
      <c r="B33" s="1" t="s">
        <v>96</v>
      </c>
      <c r="C33" s="5" t="s">
        <v>15</v>
      </c>
      <c r="D33" s="2">
        <v>44781</v>
      </c>
      <c r="E33" s="2" t="s">
        <v>97</v>
      </c>
      <c r="F33" s="1">
        <v>32101</v>
      </c>
      <c r="G33" s="1" t="s">
        <v>23</v>
      </c>
      <c r="H33" s="1" t="s">
        <v>18</v>
      </c>
      <c r="J33" s="2" t="s">
        <v>24</v>
      </c>
      <c r="K33" s="1" t="s">
        <v>25</v>
      </c>
      <c r="L33" s="1" t="s">
        <v>1369</v>
      </c>
      <c r="M33" s="1" t="s">
        <v>1370</v>
      </c>
      <c r="N33" s="1" t="str">
        <f t="shared" si="0"/>
        <v>JUNIO COSTA</v>
      </c>
    </row>
    <row r="34" spans="1:14" x14ac:dyDescent="0.3">
      <c r="A34" s="1">
        <v>700150</v>
      </c>
      <c r="B34" s="1" t="s">
        <v>98</v>
      </c>
      <c r="C34" s="5" t="s">
        <v>15</v>
      </c>
      <c r="D34" s="2">
        <v>43227</v>
      </c>
      <c r="E34" s="2" t="s">
        <v>99</v>
      </c>
      <c r="F34" s="1">
        <v>34201</v>
      </c>
      <c r="G34" s="1" t="s">
        <v>84</v>
      </c>
      <c r="H34" s="1" t="s">
        <v>18</v>
      </c>
      <c r="J34" s="2" t="s">
        <v>85</v>
      </c>
      <c r="K34" s="1" t="s">
        <v>1371</v>
      </c>
      <c r="L34" s="1" t="s">
        <v>1371</v>
      </c>
      <c r="M34" s="1" t="s">
        <v>1380</v>
      </c>
      <c r="N34" s="1" t="str">
        <f t="shared" si="0"/>
        <v xml:space="preserve">LEONARDO SANTOS </v>
      </c>
    </row>
    <row r="35" spans="1:14" x14ac:dyDescent="0.3">
      <c r="A35" s="1">
        <v>100974</v>
      </c>
      <c r="B35" s="1" t="s">
        <v>100</v>
      </c>
      <c r="C35" s="5" t="s">
        <v>15</v>
      </c>
      <c r="D35" s="2">
        <v>42548</v>
      </c>
      <c r="E35" s="2" t="s">
        <v>195</v>
      </c>
      <c r="F35" s="1">
        <v>39302</v>
      </c>
      <c r="G35" s="1" t="s">
        <v>102</v>
      </c>
      <c r="H35" s="1" t="s">
        <v>18</v>
      </c>
      <c r="J35" s="2" t="s">
        <v>103</v>
      </c>
      <c r="K35" s="1" t="s">
        <v>1371</v>
      </c>
      <c r="N35" s="1" t="str">
        <f t="shared" si="0"/>
        <v>PAULO BONIFÁCIO</v>
      </c>
    </row>
    <row r="36" spans="1:14" x14ac:dyDescent="0.3">
      <c r="A36" s="1">
        <v>101733</v>
      </c>
      <c r="B36" s="1" t="s">
        <v>104</v>
      </c>
      <c r="C36" s="5" t="s">
        <v>15</v>
      </c>
      <c r="D36" s="2">
        <v>42121</v>
      </c>
      <c r="E36" s="2" t="s">
        <v>105</v>
      </c>
      <c r="F36" s="1">
        <v>22102</v>
      </c>
      <c r="G36" s="1" t="s">
        <v>68</v>
      </c>
      <c r="H36" s="1" t="s">
        <v>18</v>
      </c>
      <c r="J36" s="2" t="s">
        <v>81</v>
      </c>
      <c r="K36" s="1" t="s">
        <v>1371</v>
      </c>
      <c r="L36" s="1" t="s">
        <v>1509</v>
      </c>
      <c r="M36" s="1" t="s">
        <v>1379</v>
      </c>
      <c r="N36" s="1" t="str">
        <f t="shared" si="0"/>
        <v xml:space="preserve">EDSON/MARCELO LIMA </v>
      </c>
    </row>
    <row r="37" spans="1:14" x14ac:dyDescent="0.3">
      <c r="A37" s="1">
        <v>704081</v>
      </c>
      <c r="B37" s="1" t="s">
        <v>106</v>
      </c>
      <c r="C37" s="5" t="s">
        <v>15</v>
      </c>
      <c r="D37" s="2">
        <v>45188</v>
      </c>
      <c r="E37" s="2" t="s">
        <v>71</v>
      </c>
      <c r="F37" s="1">
        <v>25201</v>
      </c>
      <c r="G37" s="1" t="s">
        <v>89</v>
      </c>
      <c r="H37" s="1" t="s">
        <v>18</v>
      </c>
      <c r="J37" s="2" t="s">
        <v>19</v>
      </c>
      <c r="K37" s="1" t="s">
        <v>1368</v>
      </c>
      <c r="L37" s="1" t="s">
        <v>20</v>
      </c>
      <c r="N37" s="1" t="str">
        <f t="shared" si="0"/>
        <v>ALEX DIAS</v>
      </c>
    </row>
    <row r="38" spans="1:14" x14ac:dyDescent="0.3">
      <c r="A38" s="1">
        <v>702828</v>
      </c>
      <c r="B38" s="1" t="s">
        <v>107</v>
      </c>
      <c r="C38" s="5" t="s">
        <v>15</v>
      </c>
      <c r="D38" s="2">
        <v>44614</v>
      </c>
      <c r="E38" s="2" t="s">
        <v>31</v>
      </c>
      <c r="F38" s="1">
        <v>52104</v>
      </c>
      <c r="G38" s="1" t="s">
        <v>17</v>
      </c>
      <c r="H38" s="1" t="s">
        <v>18</v>
      </c>
      <c r="J38" s="2" t="s">
        <v>37</v>
      </c>
      <c r="K38" s="1" t="s">
        <v>1368</v>
      </c>
      <c r="L38" s="1" t="s">
        <v>20</v>
      </c>
      <c r="N38" s="1" t="str">
        <f t="shared" si="0"/>
        <v>ALEX DIAS</v>
      </c>
    </row>
    <row r="39" spans="1:14" x14ac:dyDescent="0.3">
      <c r="A39" s="1">
        <v>705624</v>
      </c>
      <c r="B39" s="1" t="s">
        <v>1394</v>
      </c>
      <c r="C39" s="5" t="s">
        <v>15</v>
      </c>
      <c r="D39" s="2">
        <v>45937</v>
      </c>
      <c r="E39" s="2" t="s">
        <v>152</v>
      </c>
      <c r="F39" s="1">
        <v>39201</v>
      </c>
      <c r="G39" s="1" t="s">
        <v>153</v>
      </c>
      <c r="H39" s="1" t="s">
        <v>18</v>
      </c>
      <c r="J39" s="2" t="s">
        <v>154</v>
      </c>
      <c r="K39" s="1" t="s">
        <v>50</v>
      </c>
      <c r="L39" s="1" t="s">
        <v>50</v>
      </c>
      <c r="M39" s="1" t="s">
        <v>1382</v>
      </c>
      <c r="N39" s="1" t="str">
        <f t="shared" si="0"/>
        <v>ADENILTON RODRIGUES</v>
      </c>
    </row>
    <row r="40" spans="1:14" x14ac:dyDescent="0.3">
      <c r="A40" s="1">
        <v>704227</v>
      </c>
      <c r="B40" s="1" t="s">
        <v>108</v>
      </c>
      <c r="C40" s="5" t="s">
        <v>15</v>
      </c>
      <c r="D40" s="2">
        <v>45328</v>
      </c>
      <c r="E40" s="2" t="s">
        <v>219</v>
      </c>
      <c r="F40" s="1">
        <v>32101</v>
      </c>
      <c r="G40" s="1" t="s">
        <v>23</v>
      </c>
      <c r="H40" s="1" t="s">
        <v>18</v>
      </c>
      <c r="J40" s="2" t="s">
        <v>24</v>
      </c>
      <c r="K40" s="1" t="s">
        <v>25</v>
      </c>
      <c r="L40" s="1" t="s">
        <v>1369</v>
      </c>
      <c r="M40" s="1" t="s">
        <v>1370</v>
      </c>
      <c r="N40" s="1" t="str">
        <f t="shared" si="0"/>
        <v>JUNIO COSTA</v>
      </c>
    </row>
    <row r="41" spans="1:14" x14ac:dyDescent="0.3">
      <c r="A41" s="1">
        <v>101307</v>
      </c>
      <c r="B41" s="1" t="s">
        <v>110</v>
      </c>
      <c r="C41" s="5" t="s">
        <v>15</v>
      </c>
      <c r="D41" s="2">
        <v>42850</v>
      </c>
      <c r="E41" s="2" t="s">
        <v>111</v>
      </c>
      <c r="F41" s="1">
        <v>52104</v>
      </c>
      <c r="G41" s="1" t="s">
        <v>17</v>
      </c>
      <c r="H41" s="1" t="s">
        <v>18</v>
      </c>
      <c r="J41" s="2" t="s">
        <v>112</v>
      </c>
      <c r="K41" s="1" t="s">
        <v>1368</v>
      </c>
      <c r="N41" s="1" t="str">
        <f t="shared" si="0"/>
        <v>JOSÉ GOUVEA</v>
      </c>
    </row>
    <row r="42" spans="1:14" x14ac:dyDescent="0.3">
      <c r="A42" s="1">
        <v>702711</v>
      </c>
      <c r="B42" s="1" t="s">
        <v>113</v>
      </c>
      <c r="C42" s="5" t="s">
        <v>15</v>
      </c>
      <c r="D42" s="2">
        <v>44586</v>
      </c>
      <c r="E42" s="2" t="s">
        <v>114</v>
      </c>
      <c r="F42" s="1">
        <v>38101</v>
      </c>
      <c r="G42" s="1" t="s">
        <v>35</v>
      </c>
      <c r="H42" s="1" t="s">
        <v>18</v>
      </c>
      <c r="J42" s="2" t="s">
        <v>36</v>
      </c>
      <c r="K42" s="1" t="s">
        <v>1372</v>
      </c>
      <c r="L42" s="1" t="s">
        <v>1372</v>
      </c>
      <c r="M42" s="1" t="s">
        <v>1373</v>
      </c>
      <c r="N42" s="1" t="str">
        <f t="shared" si="0"/>
        <v>DENIS ACASSIO</v>
      </c>
    </row>
    <row r="43" spans="1:14" x14ac:dyDescent="0.3">
      <c r="A43" s="1">
        <v>705753</v>
      </c>
      <c r="B43" s="1" t="s">
        <v>1476</v>
      </c>
      <c r="C43" s="5" t="s">
        <v>15</v>
      </c>
      <c r="D43" s="2">
        <v>45993</v>
      </c>
      <c r="E43" s="2" t="s">
        <v>31</v>
      </c>
      <c r="F43" s="1">
        <v>25102</v>
      </c>
      <c r="G43" s="1" t="s">
        <v>1153</v>
      </c>
      <c r="H43" s="1" t="s">
        <v>18</v>
      </c>
      <c r="J43" s="2" t="s">
        <v>19</v>
      </c>
      <c r="K43" s="1" t="s">
        <v>1368</v>
      </c>
      <c r="L43" s="1" t="s">
        <v>20</v>
      </c>
      <c r="N43" s="1" t="str">
        <f t="shared" si="0"/>
        <v>ALEX DIAS</v>
      </c>
    </row>
    <row r="44" spans="1:14" x14ac:dyDescent="0.3">
      <c r="A44" s="1">
        <v>700325</v>
      </c>
      <c r="B44" s="1" t="s">
        <v>115</v>
      </c>
      <c r="C44" s="5" t="s">
        <v>15</v>
      </c>
      <c r="D44" s="2">
        <v>43292</v>
      </c>
      <c r="E44" s="2" t="s">
        <v>116</v>
      </c>
      <c r="F44" s="1">
        <v>34201</v>
      </c>
      <c r="G44" s="1" t="s">
        <v>84</v>
      </c>
      <c r="H44" s="1" t="s">
        <v>18</v>
      </c>
      <c r="J44" s="2" t="s">
        <v>85</v>
      </c>
      <c r="K44" s="1" t="s">
        <v>1371</v>
      </c>
      <c r="L44" s="1" t="s">
        <v>1371</v>
      </c>
      <c r="M44" s="1" t="s">
        <v>1380</v>
      </c>
      <c r="N44" s="1" t="str">
        <f t="shared" si="0"/>
        <v xml:space="preserve">LEONARDO SANTOS </v>
      </c>
    </row>
    <row r="45" spans="1:14" x14ac:dyDescent="0.3">
      <c r="A45" s="1">
        <v>701609</v>
      </c>
      <c r="B45" s="1" t="s">
        <v>117</v>
      </c>
      <c r="C45" s="5" t="s">
        <v>15</v>
      </c>
      <c r="D45" s="2">
        <v>43999</v>
      </c>
      <c r="E45" s="2" t="s">
        <v>138</v>
      </c>
      <c r="F45" s="1">
        <v>25102</v>
      </c>
      <c r="G45" s="1" t="s">
        <v>1153</v>
      </c>
      <c r="H45" s="1" t="s">
        <v>18</v>
      </c>
      <c r="J45" s="2" t="s">
        <v>37</v>
      </c>
      <c r="K45" s="1" t="s">
        <v>1368</v>
      </c>
      <c r="L45" s="1" t="s">
        <v>20</v>
      </c>
      <c r="N45" s="1" t="str">
        <f t="shared" si="0"/>
        <v>ALEX DIAS</v>
      </c>
    </row>
    <row r="46" spans="1:14" x14ac:dyDescent="0.3">
      <c r="A46" s="1">
        <v>705583</v>
      </c>
      <c r="B46" s="1" t="s">
        <v>1310</v>
      </c>
      <c r="C46" s="5" t="s">
        <v>15</v>
      </c>
      <c r="D46" s="2">
        <v>45881</v>
      </c>
      <c r="E46" s="2" t="s">
        <v>31</v>
      </c>
      <c r="F46" s="1">
        <v>25201</v>
      </c>
      <c r="G46" s="1" t="s">
        <v>89</v>
      </c>
      <c r="H46" s="1" t="s">
        <v>18</v>
      </c>
      <c r="J46" s="2" t="s">
        <v>19</v>
      </c>
      <c r="K46" s="1" t="s">
        <v>1368</v>
      </c>
      <c r="L46" s="1" t="s">
        <v>20</v>
      </c>
      <c r="N46" s="1" t="str">
        <f t="shared" si="0"/>
        <v>ALEX DIAS</v>
      </c>
    </row>
    <row r="47" spans="1:14" x14ac:dyDescent="0.3">
      <c r="A47" s="1">
        <v>700171</v>
      </c>
      <c r="B47" s="1" t="s">
        <v>118</v>
      </c>
      <c r="C47" s="5" t="s">
        <v>15</v>
      </c>
      <c r="D47" s="2">
        <v>43234</v>
      </c>
      <c r="E47" s="2" t="s">
        <v>116</v>
      </c>
      <c r="F47" s="1">
        <v>34201</v>
      </c>
      <c r="G47" s="1" t="s">
        <v>84</v>
      </c>
      <c r="H47" s="1" t="s">
        <v>18</v>
      </c>
      <c r="J47" s="2" t="s">
        <v>85</v>
      </c>
      <c r="K47" s="1" t="s">
        <v>1371</v>
      </c>
      <c r="L47" s="1" t="s">
        <v>1371</v>
      </c>
      <c r="M47" s="1" t="s">
        <v>1380</v>
      </c>
      <c r="N47" s="1" t="str">
        <f t="shared" si="0"/>
        <v xml:space="preserve">LEONARDO SANTOS </v>
      </c>
    </row>
    <row r="48" spans="1:14" x14ac:dyDescent="0.3">
      <c r="A48" s="1">
        <v>704215</v>
      </c>
      <c r="B48" s="1" t="s">
        <v>119</v>
      </c>
      <c r="C48" s="5" t="s">
        <v>15</v>
      </c>
      <c r="D48" s="2">
        <v>45300</v>
      </c>
      <c r="E48" s="2" t="s">
        <v>67</v>
      </c>
      <c r="F48" s="1">
        <v>22102</v>
      </c>
      <c r="G48" s="1" t="s">
        <v>68</v>
      </c>
      <c r="H48" s="1" t="s">
        <v>18</v>
      </c>
      <c r="J48" s="2" t="s">
        <v>69</v>
      </c>
      <c r="K48" s="1" t="s">
        <v>1371</v>
      </c>
      <c r="L48" s="1" t="s">
        <v>1378</v>
      </c>
      <c r="N48" s="1" t="str">
        <f t="shared" si="0"/>
        <v xml:space="preserve">JOÃO KOMURA </v>
      </c>
    </row>
    <row r="49" spans="1:14" x14ac:dyDescent="0.3">
      <c r="A49" s="1">
        <v>704331</v>
      </c>
      <c r="B49" s="1" t="s">
        <v>120</v>
      </c>
      <c r="C49" s="5" t="s">
        <v>15</v>
      </c>
      <c r="D49" s="2">
        <v>45363</v>
      </c>
      <c r="E49" s="2" t="s">
        <v>121</v>
      </c>
      <c r="F49" s="1">
        <v>22101</v>
      </c>
      <c r="G49" s="1" t="s">
        <v>122</v>
      </c>
      <c r="H49" s="1" t="s">
        <v>18</v>
      </c>
      <c r="J49" s="2" t="s">
        <v>123</v>
      </c>
      <c r="K49" s="1" t="s">
        <v>124</v>
      </c>
      <c r="L49" s="1" t="s">
        <v>124</v>
      </c>
      <c r="N49" s="1" t="str">
        <f t="shared" si="0"/>
        <v>MATHEUS FERNANDES</v>
      </c>
    </row>
    <row r="50" spans="1:14" x14ac:dyDescent="0.3">
      <c r="A50" s="1">
        <v>100765</v>
      </c>
      <c r="B50" s="1" t="s">
        <v>126</v>
      </c>
      <c r="C50" s="5" t="s">
        <v>15</v>
      </c>
      <c r="D50" s="2">
        <v>42205</v>
      </c>
      <c r="E50" s="2" t="s">
        <v>127</v>
      </c>
      <c r="F50" s="1">
        <v>22102</v>
      </c>
      <c r="G50" s="1" t="s">
        <v>68</v>
      </c>
      <c r="H50" s="1" t="s">
        <v>18</v>
      </c>
      <c r="J50" s="2" t="s">
        <v>81</v>
      </c>
      <c r="K50" s="1" t="s">
        <v>1371</v>
      </c>
      <c r="L50" s="1" t="s">
        <v>1509</v>
      </c>
      <c r="M50" s="1" t="s">
        <v>1379</v>
      </c>
      <c r="N50" s="1" t="str">
        <f t="shared" si="0"/>
        <v xml:space="preserve">EDSON/MARCELO LIMA </v>
      </c>
    </row>
    <row r="51" spans="1:14" x14ac:dyDescent="0.3">
      <c r="A51" s="1">
        <v>705817</v>
      </c>
      <c r="B51" s="1" t="s">
        <v>1511</v>
      </c>
      <c r="C51" s="5" t="s">
        <v>15</v>
      </c>
      <c r="D51" s="2">
        <v>46035</v>
      </c>
      <c r="E51" s="2" t="s">
        <v>31</v>
      </c>
      <c r="F51" s="1">
        <v>25102</v>
      </c>
      <c r="G51" s="1" t="s">
        <v>1153</v>
      </c>
      <c r="H51" s="1" t="s">
        <v>18</v>
      </c>
      <c r="J51" s="2" t="s">
        <v>19</v>
      </c>
      <c r="K51" s="1" t="s">
        <v>1368</v>
      </c>
      <c r="L51" s="1" t="s">
        <v>20</v>
      </c>
      <c r="N51" s="1" t="str">
        <f t="shared" si="0"/>
        <v>ALEX DIAS</v>
      </c>
    </row>
    <row r="52" spans="1:14" x14ac:dyDescent="0.3">
      <c r="A52" s="1">
        <v>704952</v>
      </c>
      <c r="B52" s="1" t="s">
        <v>128</v>
      </c>
      <c r="C52" s="5" t="s">
        <v>15</v>
      </c>
      <c r="D52" s="2">
        <v>45607</v>
      </c>
      <c r="E52" s="2" t="s">
        <v>129</v>
      </c>
      <c r="F52" s="1">
        <v>22102</v>
      </c>
      <c r="G52" s="1" t="s">
        <v>68</v>
      </c>
      <c r="H52" s="1" t="s">
        <v>18</v>
      </c>
      <c r="J52" s="2" t="s">
        <v>142</v>
      </c>
      <c r="K52" s="1" t="s">
        <v>1371</v>
      </c>
      <c r="L52" s="1" t="s">
        <v>1509</v>
      </c>
      <c r="M52" s="1" t="s">
        <v>143</v>
      </c>
      <c r="N52" s="1" t="str">
        <f t="shared" si="0"/>
        <v>TALLES BALIZA</v>
      </c>
    </row>
    <row r="53" spans="1:14" x14ac:dyDescent="0.3">
      <c r="A53" s="1">
        <v>705786</v>
      </c>
      <c r="B53" s="1" t="s">
        <v>1512</v>
      </c>
      <c r="C53" s="5" t="s">
        <v>15</v>
      </c>
      <c r="D53" s="2">
        <v>46029</v>
      </c>
      <c r="E53" s="2" t="s">
        <v>31</v>
      </c>
      <c r="F53" s="1">
        <v>52202</v>
      </c>
      <c r="G53" s="1" t="s">
        <v>32</v>
      </c>
      <c r="H53" s="1" t="s">
        <v>18</v>
      </c>
      <c r="J53" s="2" t="s">
        <v>33</v>
      </c>
      <c r="K53" s="1" t="s">
        <v>1368</v>
      </c>
      <c r="L53" s="1" t="s">
        <v>20</v>
      </c>
      <c r="N53" s="1" t="str">
        <f t="shared" si="0"/>
        <v>ALEX DIAS</v>
      </c>
    </row>
    <row r="54" spans="1:14" x14ac:dyDescent="0.3">
      <c r="A54" s="1">
        <v>704882</v>
      </c>
      <c r="B54" s="1" t="s">
        <v>133</v>
      </c>
      <c r="C54" s="5" t="s">
        <v>15</v>
      </c>
      <c r="D54" s="2">
        <v>45586</v>
      </c>
      <c r="E54" s="2" t="s">
        <v>77</v>
      </c>
      <c r="F54" s="1">
        <v>38107</v>
      </c>
      <c r="G54" s="1" t="s">
        <v>1503</v>
      </c>
      <c r="H54" s="1" t="s">
        <v>18</v>
      </c>
      <c r="J54" s="2" t="s">
        <v>78</v>
      </c>
      <c r="K54" s="1" t="s">
        <v>1372</v>
      </c>
      <c r="L54" s="1" t="s">
        <v>1372</v>
      </c>
      <c r="N54" s="1" t="str">
        <f t="shared" si="0"/>
        <v xml:space="preserve">LEIDJANE MARTINS </v>
      </c>
    </row>
    <row r="55" spans="1:14" x14ac:dyDescent="0.3">
      <c r="A55" s="1">
        <v>705544</v>
      </c>
      <c r="B55" s="1" t="s">
        <v>1311</v>
      </c>
      <c r="C55" s="5" t="s">
        <v>15</v>
      </c>
      <c r="D55" s="2">
        <v>45874</v>
      </c>
      <c r="E55" s="2" t="s">
        <v>508</v>
      </c>
      <c r="F55" s="1">
        <v>33301</v>
      </c>
      <c r="G55" s="1" t="s">
        <v>64</v>
      </c>
      <c r="H55" s="1" t="s">
        <v>18</v>
      </c>
      <c r="J55" s="2" t="s">
        <v>65</v>
      </c>
      <c r="K55" s="1" t="s">
        <v>25</v>
      </c>
      <c r="L55" s="1" t="s">
        <v>1374</v>
      </c>
      <c r="M55" s="1" t="s">
        <v>1375</v>
      </c>
      <c r="N55" s="1" t="str">
        <f t="shared" si="0"/>
        <v>ANDRÉ CUBA</v>
      </c>
    </row>
    <row r="56" spans="1:14" x14ac:dyDescent="0.3">
      <c r="A56" s="1">
        <v>101125</v>
      </c>
      <c r="B56" s="1" t="s">
        <v>134</v>
      </c>
      <c r="C56" s="5" t="s">
        <v>15</v>
      </c>
      <c r="D56" s="2">
        <v>42692</v>
      </c>
      <c r="E56" s="2" t="s">
        <v>1122</v>
      </c>
      <c r="F56" s="1">
        <v>39201</v>
      </c>
      <c r="G56" s="1" t="s">
        <v>153</v>
      </c>
      <c r="H56" s="1" t="s">
        <v>18</v>
      </c>
      <c r="J56" s="2" t="s">
        <v>154</v>
      </c>
      <c r="K56" s="1" t="s">
        <v>50</v>
      </c>
      <c r="L56" s="1" t="s">
        <v>50</v>
      </c>
      <c r="M56" s="1" t="s">
        <v>1382</v>
      </c>
      <c r="N56" s="1" t="str">
        <f t="shared" si="0"/>
        <v>ADENILTON RODRIGUES</v>
      </c>
    </row>
    <row r="57" spans="1:14" x14ac:dyDescent="0.3">
      <c r="A57" s="1">
        <v>705639</v>
      </c>
      <c r="B57" s="1" t="s">
        <v>1395</v>
      </c>
      <c r="C57" s="5" t="s">
        <v>15</v>
      </c>
      <c r="D57" s="2">
        <v>45937</v>
      </c>
      <c r="E57" s="2" t="s">
        <v>282</v>
      </c>
      <c r="F57" s="1">
        <v>32101</v>
      </c>
      <c r="G57" s="1" t="s">
        <v>23</v>
      </c>
      <c r="H57" s="1" t="s">
        <v>18</v>
      </c>
      <c r="J57" s="2" t="s">
        <v>24</v>
      </c>
      <c r="K57" s="1" t="s">
        <v>25</v>
      </c>
      <c r="L57" s="1" t="s">
        <v>1369</v>
      </c>
      <c r="M57" s="1" t="s">
        <v>1370</v>
      </c>
      <c r="N57" s="1" t="str">
        <f t="shared" si="0"/>
        <v>JUNIO COSTA</v>
      </c>
    </row>
    <row r="58" spans="1:14" x14ac:dyDescent="0.3">
      <c r="A58" s="1">
        <v>101790</v>
      </c>
      <c r="B58" s="1" t="s">
        <v>137</v>
      </c>
      <c r="C58" s="5" t="s">
        <v>15</v>
      </c>
      <c r="D58" s="2">
        <v>43080</v>
      </c>
      <c r="E58" s="2" t="s">
        <v>60</v>
      </c>
      <c r="F58" s="1">
        <v>25102</v>
      </c>
      <c r="G58" s="1" t="s">
        <v>1153</v>
      </c>
      <c r="H58" s="1" t="s">
        <v>18</v>
      </c>
      <c r="J58" s="2" t="s">
        <v>19</v>
      </c>
      <c r="K58" s="1" t="s">
        <v>1368</v>
      </c>
      <c r="L58" s="1" t="s">
        <v>20</v>
      </c>
      <c r="N58" s="1" t="str">
        <f t="shared" si="0"/>
        <v>ALEX DIAS</v>
      </c>
    </row>
    <row r="59" spans="1:14" x14ac:dyDescent="0.3">
      <c r="A59" s="1">
        <v>704157</v>
      </c>
      <c r="B59" s="1" t="s">
        <v>139</v>
      </c>
      <c r="C59" s="5" t="s">
        <v>15</v>
      </c>
      <c r="D59" s="2">
        <v>45264</v>
      </c>
      <c r="E59" s="2" t="s">
        <v>40</v>
      </c>
      <c r="F59" s="1">
        <v>51219</v>
      </c>
      <c r="G59" s="1" t="s">
        <v>61</v>
      </c>
      <c r="H59" s="1" t="s">
        <v>18</v>
      </c>
      <c r="J59" s="2" t="s">
        <v>19</v>
      </c>
      <c r="K59" s="1" t="s">
        <v>1368</v>
      </c>
      <c r="L59" s="1" t="s">
        <v>20</v>
      </c>
      <c r="N59" s="1" t="str">
        <f t="shared" si="0"/>
        <v>ALEX DIAS</v>
      </c>
    </row>
    <row r="60" spans="1:14" x14ac:dyDescent="0.3">
      <c r="A60" s="1">
        <v>705683</v>
      </c>
      <c r="B60" s="1" t="s">
        <v>1396</v>
      </c>
      <c r="C60" s="5" t="s">
        <v>92</v>
      </c>
      <c r="D60" s="2">
        <v>45944</v>
      </c>
      <c r="E60" s="2" t="s">
        <v>31</v>
      </c>
      <c r="F60" s="1">
        <v>25102</v>
      </c>
      <c r="G60" s="1" t="s">
        <v>1153</v>
      </c>
      <c r="H60" s="1" t="s">
        <v>18</v>
      </c>
      <c r="I60" s="2">
        <v>46033</v>
      </c>
      <c r="J60" s="2" t="s">
        <v>19</v>
      </c>
      <c r="K60" s="1" t="s">
        <v>1368</v>
      </c>
      <c r="L60" s="1" t="s">
        <v>20</v>
      </c>
      <c r="N60" s="1" t="str">
        <f t="shared" si="0"/>
        <v>ALEX DIAS</v>
      </c>
    </row>
    <row r="61" spans="1:14" x14ac:dyDescent="0.3">
      <c r="A61" s="1">
        <v>702156</v>
      </c>
      <c r="B61" s="1" t="s">
        <v>140</v>
      </c>
      <c r="C61" s="5" t="s">
        <v>15</v>
      </c>
      <c r="D61" s="2">
        <v>44299</v>
      </c>
      <c r="E61" s="2" t="s">
        <v>141</v>
      </c>
      <c r="F61" s="1">
        <v>22102</v>
      </c>
      <c r="G61" s="1" t="s">
        <v>68</v>
      </c>
      <c r="H61" s="1" t="s">
        <v>18</v>
      </c>
      <c r="J61" s="2" t="s">
        <v>142</v>
      </c>
      <c r="K61" s="1" t="s">
        <v>1371</v>
      </c>
      <c r="L61" s="1" t="s">
        <v>1509</v>
      </c>
      <c r="M61" s="1" t="s">
        <v>143</v>
      </c>
      <c r="N61" s="1" t="str">
        <f t="shared" si="0"/>
        <v>TALLES BALIZA</v>
      </c>
    </row>
    <row r="62" spans="1:14" x14ac:dyDescent="0.3">
      <c r="A62" s="1">
        <v>705809</v>
      </c>
      <c r="B62" s="1" t="s">
        <v>1513</v>
      </c>
      <c r="C62" s="5" t="s">
        <v>15</v>
      </c>
      <c r="D62" s="2">
        <v>46035</v>
      </c>
      <c r="E62" s="2" t="s">
        <v>31</v>
      </c>
      <c r="F62" s="1">
        <v>22102</v>
      </c>
      <c r="G62" s="1" t="s">
        <v>68</v>
      </c>
      <c r="H62" s="1" t="s">
        <v>18</v>
      </c>
      <c r="J62" s="2" t="s">
        <v>19</v>
      </c>
      <c r="K62" s="1" t="s">
        <v>1368</v>
      </c>
      <c r="L62" s="1" t="s">
        <v>20</v>
      </c>
      <c r="N62" s="1" t="str">
        <f t="shared" si="0"/>
        <v>ALEX DIAS</v>
      </c>
    </row>
    <row r="63" spans="1:14" x14ac:dyDescent="0.3">
      <c r="A63" s="1">
        <v>705643</v>
      </c>
      <c r="B63" s="1" t="s">
        <v>144</v>
      </c>
      <c r="C63" s="5" t="s">
        <v>15</v>
      </c>
      <c r="D63" s="2">
        <v>45944</v>
      </c>
      <c r="E63" s="2" t="s">
        <v>31</v>
      </c>
      <c r="F63" s="1">
        <v>25102</v>
      </c>
      <c r="G63" s="1" t="s">
        <v>1153</v>
      </c>
      <c r="H63" s="1" t="s">
        <v>18</v>
      </c>
      <c r="J63" s="2" t="s">
        <v>19</v>
      </c>
      <c r="K63" s="1" t="s">
        <v>1368</v>
      </c>
      <c r="L63" s="1" t="s">
        <v>20</v>
      </c>
      <c r="N63" s="1" t="str">
        <f t="shared" si="0"/>
        <v>ALEX DIAS</v>
      </c>
    </row>
    <row r="64" spans="1:14" x14ac:dyDescent="0.3">
      <c r="A64" s="1">
        <v>703625</v>
      </c>
      <c r="B64" s="1" t="s">
        <v>145</v>
      </c>
      <c r="C64" s="5" t="s">
        <v>15</v>
      </c>
      <c r="D64" s="2">
        <v>44991</v>
      </c>
      <c r="E64" s="2" t="s">
        <v>255</v>
      </c>
      <c r="F64" s="1">
        <v>52104</v>
      </c>
      <c r="G64" s="1" t="s">
        <v>17</v>
      </c>
      <c r="H64" s="1" t="s">
        <v>18</v>
      </c>
      <c r="J64" s="2" t="s">
        <v>19</v>
      </c>
      <c r="K64" s="1" t="s">
        <v>1368</v>
      </c>
      <c r="L64" s="1" t="s">
        <v>20</v>
      </c>
      <c r="N64" s="1" t="str">
        <f t="shared" si="0"/>
        <v>ALEX DIAS</v>
      </c>
    </row>
    <row r="65" spans="1:14" x14ac:dyDescent="0.3">
      <c r="A65" s="1">
        <v>704967</v>
      </c>
      <c r="B65" s="1" t="s">
        <v>147</v>
      </c>
      <c r="C65" s="5" t="s">
        <v>15</v>
      </c>
      <c r="D65" s="2">
        <v>45629</v>
      </c>
      <c r="E65" s="2" t="s">
        <v>91</v>
      </c>
      <c r="F65" s="1">
        <v>34201</v>
      </c>
      <c r="G65" s="1" t="s">
        <v>84</v>
      </c>
      <c r="H65" s="1" t="s">
        <v>18</v>
      </c>
      <c r="J65" s="2" t="s">
        <v>85</v>
      </c>
      <c r="K65" s="1" t="s">
        <v>1371</v>
      </c>
      <c r="L65" s="1" t="s">
        <v>1371</v>
      </c>
      <c r="M65" s="1" t="s">
        <v>1380</v>
      </c>
      <c r="N65" s="1" t="str">
        <f t="shared" si="0"/>
        <v xml:space="preserve">LEONARDO SANTOS </v>
      </c>
    </row>
    <row r="66" spans="1:14" x14ac:dyDescent="0.3">
      <c r="A66" s="1">
        <v>2006</v>
      </c>
      <c r="B66" s="1" t="s">
        <v>148</v>
      </c>
      <c r="C66" s="5" t="s">
        <v>15</v>
      </c>
      <c r="D66" s="2">
        <v>40665</v>
      </c>
      <c r="E66" s="2" t="s">
        <v>149</v>
      </c>
      <c r="F66" s="1">
        <v>39302</v>
      </c>
      <c r="G66" s="1" t="s">
        <v>102</v>
      </c>
      <c r="H66" s="1" t="s">
        <v>18</v>
      </c>
      <c r="J66" s="2" t="s">
        <v>57</v>
      </c>
      <c r="K66" s="1" t="s">
        <v>1371</v>
      </c>
      <c r="L66" s="1" t="s">
        <v>1376</v>
      </c>
      <c r="M66" s="1" t="s">
        <v>1377</v>
      </c>
      <c r="N66" s="1" t="str">
        <f t="shared" si="0"/>
        <v>WARLEY RIBEIRO</v>
      </c>
    </row>
    <row r="67" spans="1:14" x14ac:dyDescent="0.3">
      <c r="A67" s="1">
        <v>705158</v>
      </c>
      <c r="B67" s="1" t="s">
        <v>1154</v>
      </c>
      <c r="C67" s="5" t="s">
        <v>15</v>
      </c>
      <c r="D67" s="2">
        <v>45720</v>
      </c>
      <c r="E67" s="2" t="s">
        <v>282</v>
      </c>
      <c r="F67" s="1">
        <v>32101</v>
      </c>
      <c r="G67" s="1" t="s">
        <v>23</v>
      </c>
      <c r="H67" s="1" t="s">
        <v>18</v>
      </c>
      <c r="J67" s="2" t="s">
        <v>24</v>
      </c>
      <c r="K67" s="1" t="s">
        <v>25</v>
      </c>
      <c r="L67" s="1" t="s">
        <v>1369</v>
      </c>
      <c r="M67" s="1" t="s">
        <v>1370</v>
      </c>
      <c r="N67" s="1" t="str">
        <f t="shared" ref="N67:N130" si="1">IF(M67&lt;&gt;"", M67, IF(L67&lt;&gt;"", L67, K67))</f>
        <v>JUNIO COSTA</v>
      </c>
    </row>
    <row r="68" spans="1:14" x14ac:dyDescent="0.3">
      <c r="A68" s="1">
        <v>701822</v>
      </c>
      <c r="B68" s="1" t="s">
        <v>150</v>
      </c>
      <c r="C68" s="5" t="s">
        <v>15</v>
      </c>
      <c r="D68" s="2">
        <v>44088</v>
      </c>
      <c r="E68" s="2" t="s">
        <v>127</v>
      </c>
      <c r="F68" s="1">
        <v>22102</v>
      </c>
      <c r="G68" s="1" t="s">
        <v>68</v>
      </c>
      <c r="H68" s="1" t="s">
        <v>18</v>
      </c>
      <c r="J68" s="2" t="s">
        <v>94</v>
      </c>
      <c r="K68" s="1" t="s">
        <v>1371</v>
      </c>
      <c r="L68" s="1" t="s">
        <v>1378</v>
      </c>
      <c r="M68" s="1" t="s">
        <v>95</v>
      </c>
      <c r="N68" s="1" t="str">
        <f t="shared" si="1"/>
        <v>LUAN ABADIA</v>
      </c>
    </row>
    <row r="69" spans="1:14" x14ac:dyDescent="0.3">
      <c r="A69" s="1">
        <v>704879</v>
      </c>
      <c r="B69" s="1" t="s">
        <v>151</v>
      </c>
      <c r="C69" s="5" t="s">
        <v>15</v>
      </c>
      <c r="D69" s="2">
        <v>45586</v>
      </c>
      <c r="E69" s="2" t="s">
        <v>77</v>
      </c>
      <c r="F69" s="1">
        <v>38107</v>
      </c>
      <c r="G69" s="1" t="s">
        <v>1503</v>
      </c>
      <c r="H69" s="1" t="s">
        <v>18</v>
      </c>
      <c r="J69" s="2" t="s">
        <v>78</v>
      </c>
      <c r="K69" s="1" t="s">
        <v>1372</v>
      </c>
      <c r="L69" s="1" t="s">
        <v>1372</v>
      </c>
      <c r="N69" s="1" t="str">
        <f t="shared" si="1"/>
        <v xml:space="preserve">LEIDJANE MARTINS </v>
      </c>
    </row>
    <row r="70" spans="1:14" x14ac:dyDescent="0.3">
      <c r="A70" s="1">
        <v>704115</v>
      </c>
      <c r="B70" s="1" t="s">
        <v>155</v>
      </c>
      <c r="C70" s="5" t="s">
        <v>15</v>
      </c>
      <c r="D70" s="2">
        <v>45224</v>
      </c>
      <c r="E70" s="2" t="s">
        <v>156</v>
      </c>
      <c r="F70" s="1">
        <v>38101</v>
      </c>
      <c r="G70" s="1" t="s">
        <v>35</v>
      </c>
      <c r="H70" s="1" t="s">
        <v>18</v>
      </c>
      <c r="J70" s="2" t="s">
        <v>36</v>
      </c>
      <c r="K70" s="1" t="s">
        <v>1372</v>
      </c>
      <c r="L70" s="1" t="s">
        <v>1372</v>
      </c>
      <c r="M70" s="1" t="s">
        <v>1373</v>
      </c>
      <c r="N70" s="1" t="str">
        <f t="shared" si="1"/>
        <v>DENIS ACASSIO</v>
      </c>
    </row>
    <row r="71" spans="1:14" x14ac:dyDescent="0.3">
      <c r="A71" s="1">
        <v>700068</v>
      </c>
      <c r="B71" s="1" t="s">
        <v>157</v>
      </c>
      <c r="C71" s="5" t="s">
        <v>15</v>
      </c>
      <c r="D71" s="2">
        <v>40637</v>
      </c>
      <c r="E71" s="2" t="s">
        <v>158</v>
      </c>
      <c r="F71" s="1">
        <v>15101</v>
      </c>
      <c r="G71" s="1" t="s">
        <v>447</v>
      </c>
      <c r="H71" s="1" t="s">
        <v>18</v>
      </c>
      <c r="J71" s="2" t="s">
        <v>448</v>
      </c>
      <c r="K71" s="1" t="s">
        <v>449</v>
      </c>
      <c r="L71" s="1" t="s">
        <v>449</v>
      </c>
      <c r="N71" s="1" t="str">
        <f t="shared" si="1"/>
        <v xml:space="preserve">RAFAEL VIRGENS </v>
      </c>
    </row>
    <row r="72" spans="1:14" x14ac:dyDescent="0.3">
      <c r="A72" s="1">
        <v>101079</v>
      </c>
      <c r="B72" s="1" t="s">
        <v>159</v>
      </c>
      <c r="C72" s="5" t="s">
        <v>15</v>
      </c>
      <c r="D72" s="2">
        <v>42667</v>
      </c>
      <c r="E72" s="2" t="s">
        <v>160</v>
      </c>
      <c r="F72" s="1">
        <v>32101</v>
      </c>
      <c r="G72" s="1" t="s">
        <v>23</v>
      </c>
      <c r="H72" s="1" t="s">
        <v>18</v>
      </c>
      <c r="J72" s="2" t="s">
        <v>24</v>
      </c>
      <c r="K72" s="1" t="s">
        <v>25</v>
      </c>
      <c r="L72" s="1" t="s">
        <v>1369</v>
      </c>
      <c r="M72" s="1" t="s">
        <v>1370</v>
      </c>
      <c r="N72" s="1" t="str">
        <f t="shared" si="1"/>
        <v>JUNIO COSTA</v>
      </c>
    </row>
    <row r="73" spans="1:14" x14ac:dyDescent="0.3">
      <c r="A73" s="1">
        <v>702683</v>
      </c>
      <c r="B73" s="1" t="s">
        <v>161</v>
      </c>
      <c r="C73" s="5" t="s">
        <v>15</v>
      </c>
      <c r="D73" s="2">
        <v>44517</v>
      </c>
      <c r="E73" s="2" t="s">
        <v>162</v>
      </c>
      <c r="F73" s="1">
        <v>32101</v>
      </c>
      <c r="G73" s="1" t="s">
        <v>23</v>
      </c>
      <c r="H73" s="1" t="s">
        <v>18</v>
      </c>
      <c r="J73" s="2" t="s">
        <v>24</v>
      </c>
      <c r="K73" s="1" t="s">
        <v>25</v>
      </c>
      <c r="L73" s="1" t="s">
        <v>1369</v>
      </c>
      <c r="M73" s="1" t="s">
        <v>1370</v>
      </c>
      <c r="N73" s="1" t="str">
        <f t="shared" si="1"/>
        <v>JUNIO COSTA</v>
      </c>
    </row>
    <row r="74" spans="1:14" x14ac:dyDescent="0.3">
      <c r="A74" s="1">
        <v>705754</v>
      </c>
      <c r="B74" s="1" t="s">
        <v>1477</v>
      </c>
      <c r="C74" s="5" t="s">
        <v>15</v>
      </c>
      <c r="D74" s="2">
        <v>45993</v>
      </c>
      <c r="E74" s="2" t="s">
        <v>31</v>
      </c>
      <c r="F74" s="1">
        <v>25102</v>
      </c>
      <c r="G74" s="1" t="s">
        <v>1153</v>
      </c>
      <c r="H74" s="1" t="s">
        <v>18</v>
      </c>
      <c r="J74" s="2" t="s">
        <v>19</v>
      </c>
      <c r="K74" s="1" t="s">
        <v>1368</v>
      </c>
      <c r="L74" s="1" t="s">
        <v>20</v>
      </c>
      <c r="N74" s="1" t="str">
        <f t="shared" si="1"/>
        <v>ALEX DIAS</v>
      </c>
    </row>
    <row r="75" spans="1:14" x14ac:dyDescent="0.3">
      <c r="A75" s="1">
        <v>703848</v>
      </c>
      <c r="B75" s="1" t="s">
        <v>163</v>
      </c>
      <c r="C75" s="5" t="s">
        <v>15</v>
      </c>
      <c r="D75" s="2">
        <v>45054</v>
      </c>
      <c r="E75" s="2" t="s">
        <v>164</v>
      </c>
      <c r="F75" s="1">
        <v>39301</v>
      </c>
      <c r="G75" s="1" t="s">
        <v>73</v>
      </c>
      <c r="H75" s="1" t="s">
        <v>18</v>
      </c>
      <c r="J75" s="2" t="s">
        <v>57</v>
      </c>
      <c r="K75" s="1" t="s">
        <v>1371</v>
      </c>
      <c r="L75" s="1" t="s">
        <v>1376</v>
      </c>
      <c r="M75" s="1" t="s">
        <v>1377</v>
      </c>
      <c r="N75" s="1" t="str">
        <f t="shared" si="1"/>
        <v>WARLEY RIBEIRO</v>
      </c>
    </row>
    <row r="76" spans="1:14" x14ac:dyDescent="0.3">
      <c r="A76" s="1">
        <v>702913</v>
      </c>
      <c r="B76" s="1" t="s">
        <v>165</v>
      </c>
      <c r="C76" s="5" t="s">
        <v>15</v>
      </c>
      <c r="D76" s="2">
        <v>44656</v>
      </c>
      <c r="E76" s="2" t="s">
        <v>166</v>
      </c>
      <c r="F76" s="1">
        <v>22102</v>
      </c>
      <c r="G76" s="1" t="s">
        <v>68</v>
      </c>
      <c r="H76" s="1" t="s">
        <v>18</v>
      </c>
      <c r="J76" s="2" t="s">
        <v>167</v>
      </c>
      <c r="K76" s="1" t="s">
        <v>1371</v>
      </c>
      <c r="L76" s="1" t="s">
        <v>1509</v>
      </c>
      <c r="M76" s="1" t="s">
        <v>1383</v>
      </c>
      <c r="N76" s="1" t="str">
        <f t="shared" si="1"/>
        <v>WANDRES/FABIANO</v>
      </c>
    </row>
    <row r="77" spans="1:14" x14ac:dyDescent="0.3">
      <c r="A77" s="1">
        <v>705701</v>
      </c>
      <c r="B77" s="1" t="s">
        <v>1443</v>
      </c>
      <c r="C77" s="5" t="s">
        <v>15</v>
      </c>
      <c r="D77" s="2">
        <v>45971</v>
      </c>
      <c r="E77" s="2" t="s">
        <v>31</v>
      </c>
      <c r="F77" s="1">
        <v>25102</v>
      </c>
      <c r="G77" s="1" t="s">
        <v>1153</v>
      </c>
      <c r="H77" s="1" t="s">
        <v>18</v>
      </c>
      <c r="J77" s="2" t="s">
        <v>19</v>
      </c>
      <c r="K77" s="1" t="s">
        <v>1368</v>
      </c>
      <c r="L77" s="1" t="s">
        <v>20</v>
      </c>
      <c r="N77" s="1" t="str">
        <f t="shared" si="1"/>
        <v>ALEX DIAS</v>
      </c>
    </row>
    <row r="78" spans="1:14" x14ac:dyDescent="0.3">
      <c r="A78" s="1">
        <v>705088</v>
      </c>
      <c r="B78" s="1" t="s">
        <v>168</v>
      </c>
      <c r="C78" s="5" t="s">
        <v>15</v>
      </c>
      <c r="D78" s="2">
        <v>45670</v>
      </c>
      <c r="E78" s="2" t="s">
        <v>31</v>
      </c>
      <c r="F78" s="1">
        <v>52104</v>
      </c>
      <c r="G78" s="1" t="s">
        <v>17</v>
      </c>
      <c r="H78" s="1" t="s">
        <v>18</v>
      </c>
      <c r="J78" s="2" t="s">
        <v>19</v>
      </c>
      <c r="K78" s="1" t="s">
        <v>1368</v>
      </c>
      <c r="L78" s="1" t="s">
        <v>20</v>
      </c>
      <c r="N78" s="1" t="str">
        <f t="shared" si="1"/>
        <v>ALEX DIAS</v>
      </c>
    </row>
    <row r="79" spans="1:14" x14ac:dyDescent="0.3">
      <c r="A79" s="1">
        <v>702920</v>
      </c>
      <c r="B79" s="1" t="s">
        <v>169</v>
      </c>
      <c r="C79" s="5" t="s">
        <v>15</v>
      </c>
      <c r="D79" s="2">
        <v>44656</v>
      </c>
      <c r="E79" s="2" t="s">
        <v>121</v>
      </c>
      <c r="F79" s="1">
        <v>22102</v>
      </c>
      <c r="G79" s="1" t="s">
        <v>68</v>
      </c>
      <c r="H79" s="1" t="s">
        <v>18</v>
      </c>
      <c r="J79" s="2" t="s">
        <v>94</v>
      </c>
      <c r="K79" s="1" t="s">
        <v>1371</v>
      </c>
      <c r="L79" s="1" t="s">
        <v>1378</v>
      </c>
      <c r="M79" s="1" t="s">
        <v>95</v>
      </c>
      <c r="N79" s="1" t="str">
        <f t="shared" si="1"/>
        <v>LUAN ABADIA</v>
      </c>
    </row>
    <row r="80" spans="1:14" x14ac:dyDescent="0.3">
      <c r="A80" s="1">
        <v>705482</v>
      </c>
      <c r="B80" s="1" t="s">
        <v>1273</v>
      </c>
      <c r="C80" s="5" t="s">
        <v>15</v>
      </c>
      <c r="D80" s="2">
        <v>45824</v>
      </c>
      <c r="E80" s="2" t="s">
        <v>22</v>
      </c>
      <c r="F80" s="1">
        <v>34101</v>
      </c>
      <c r="G80" s="1" t="s">
        <v>43</v>
      </c>
      <c r="H80" s="1" t="s">
        <v>18</v>
      </c>
      <c r="J80" s="2" t="s">
        <v>237</v>
      </c>
      <c r="K80" s="1" t="s">
        <v>25</v>
      </c>
      <c r="L80" s="1" t="s">
        <v>1374</v>
      </c>
      <c r="M80" s="1" t="s">
        <v>1384</v>
      </c>
      <c r="N80" s="1" t="str">
        <f t="shared" si="1"/>
        <v xml:space="preserve">MARCOS VINICIUS </v>
      </c>
    </row>
    <row r="81" spans="1:14" x14ac:dyDescent="0.3">
      <c r="A81" s="1">
        <v>705125</v>
      </c>
      <c r="B81" s="1" t="s">
        <v>1140</v>
      </c>
      <c r="C81" s="5" t="s">
        <v>15</v>
      </c>
      <c r="D81" s="2">
        <v>45698</v>
      </c>
      <c r="E81" s="2" t="s">
        <v>268</v>
      </c>
      <c r="F81" s="1">
        <v>33101</v>
      </c>
      <c r="G81" s="1" t="s">
        <v>186</v>
      </c>
      <c r="H81" s="1" t="s">
        <v>18</v>
      </c>
      <c r="J81" s="2" t="s">
        <v>44</v>
      </c>
      <c r="K81" s="1" t="s">
        <v>25</v>
      </c>
      <c r="L81" s="1" t="s">
        <v>1374</v>
      </c>
      <c r="M81" s="1" t="s">
        <v>1385</v>
      </c>
      <c r="N81" s="1" t="str">
        <f t="shared" si="1"/>
        <v>TALLES RYAN</v>
      </c>
    </row>
    <row r="82" spans="1:14" x14ac:dyDescent="0.3">
      <c r="A82" s="1">
        <v>701112</v>
      </c>
      <c r="B82" s="1" t="s">
        <v>170</v>
      </c>
      <c r="C82" s="5" t="s">
        <v>15</v>
      </c>
      <c r="D82" s="2">
        <v>43641</v>
      </c>
      <c r="E82" s="2" t="s">
        <v>80</v>
      </c>
      <c r="F82" s="1">
        <v>22102</v>
      </c>
      <c r="G82" s="1" t="s">
        <v>68</v>
      </c>
      <c r="H82" s="1" t="s">
        <v>18</v>
      </c>
      <c r="J82" s="2" t="s">
        <v>167</v>
      </c>
      <c r="K82" s="1" t="s">
        <v>1371</v>
      </c>
      <c r="L82" s="1" t="s">
        <v>1509</v>
      </c>
      <c r="M82" s="1" t="s">
        <v>1383</v>
      </c>
      <c r="N82" s="1" t="str">
        <f t="shared" si="1"/>
        <v>WANDRES/FABIANO</v>
      </c>
    </row>
    <row r="83" spans="1:14" x14ac:dyDescent="0.3">
      <c r="A83" s="1">
        <v>703544</v>
      </c>
      <c r="B83" s="1" t="s">
        <v>171</v>
      </c>
      <c r="C83" s="5" t="s">
        <v>15</v>
      </c>
      <c r="D83" s="2">
        <v>44935</v>
      </c>
      <c r="E83" s="2" t="s">
        <v>1312</v>
      </c>
      <c r="F83" s="1">
        <v>22101</v>
      </c>
      <c r="G83" s="1" t="s">
        <v>122</v>
      </c>
      <c r="H83" s="1" t="s">
        <v>18</v>
      </c>
      <c r="J83" s="2" t="s">
        <v>123</v>
      </c>
      <c r="K83" s="1" t="s">
        <v>124</v>
      </c>
      <c r="L83" s="1" t="s">
        <v>124</v>
      </c>
      <c r="N83" s="1" t="str">
        <f t="shared" si="1"/>
        <v>MATHEUS FERNANDES</v>
      </c>
    </row>
    <row r="84" spans="1:14" x14ac:dyDescent="0.3">
      <c r="A84" s="1">
        <v>704415</v>
      </c>
      <c r="B84" s="1" t="s">
        <v>172</v>
      </c>
      <c r="C84" s="5" t="s">
        <v>15</v>
      </c>
      <c r="D84" s="2">
        <v>45391</v>
      </c>
      <c r="E84" s="2" t="s">
        <v>173</v>
      </c>
      <c r="F84" s="1">
        <v>32101</v>
      </c>
      <c r="G84" s="1" t="s">
        <v>23</v>
      </c>
      <c r="H84" s="1" t="s">
        <v>18</v>
      </c>
      <c r="J84" s="2" t="s">
        <v>24</v>
      </c>
      <c r="K84" s="1" t="s">
        <v>25</v>
      </c>
      <c r="L84" s="1" t="s">
        <v>1369</v>
      </c>
      <c r="M84" s="1" t="s">
        <v>1370</v>
      </c>
      <c r="N84" s="1" t="str">
        <f t="shared" si="1"/>
        <v>JUNIO COSTA</v>
      </c>
    </row>
    <row r="85" spans="1:14" x14ac:dyDescent="0.3">
      <c r="A85" s="1">
        <v>704774</v>
      </c>
      <c r="B85" s="1" t="s">
        <v>174</v>
      </c>
      <c r="C85" s="5" t="s">
        <v>15</v>
      </c>
      <c r="D85" s="2">
        <v>45552</v>
      </c>
      <c r="E85" s="2" t="s">
        <v>1346</v>
      </c>
      <c r="F85" s="1">
        <v>39201</v>
      </c>
      <c r="G85" s="1" t="s">
        <v>153</v>
      </c>
      <c r="H85" s="1" t="s">
        <v>18</v>
      </c>
      <c r="J85" s="2" t="s">
        <v>154</v>
      </c>
      <c r="K85" s="1" t="s">
        <v>50</v>
      </c>
      <c r="L85" s="1" t="s">
        <v>50</v>
      </c>
      <c r="M85" s="1" t="s">
        <v>1382</v>
      </c>
      <c r="N85" s="1" t="str">
        <f t="shared" si="1"/>
        <v>ADENILTON RODRIGUES</v>
      </c>
    </row>
    <row r="86" spans="1:14" x14ac:dyDescent="0.3">
      <c r="A86" s="1">
        <v>702543</v>
      </c>
      <c r="B86" s="1" t="s">
        <v>176</v>
      </c>
      <c r="C86" s="5" t="s">
        <v>15</v>
      </c>
      <c r="D86" s="2">
        <v>44452</v>
      </c>
      <c r="E86" s="2" t="s">
        <v>111</v>
      </c>
      <c r="F86" s="1">
        <v>31104</v>
      </c>
      <c r="G86" s="1" t="s">
        <v>130</v>
      </c>
      <c r="H86" s="1" t="s">
        <v>18</v>
      </c>
      <c r="J86" s="2" t="s">
        <v>131</v>
      </c>
      <c r="K86" s="1" t="s">
        <v>132</v>
      </c>
      <c r="L86" s="1" t="s">
        <v>132</v>
      </c>
      <c r="M86" s="1" t="s">
        <v>1381</v>
      </c>
      <c r="N86" s="1" t="str">
        <f t="shared" si="1"/>
        <v>MARCOS OLIVEIRA</v>
      </c>
    </row>
    <row r="87" spans="1:14" x14ac:dyDescent="0.3">
      <c r="A87" s="1">
        <v>705513</v>
      </c>
      <c r="B87" s="1" t="s">
        <v>1289</v>
      </c>
      <c r="C87" s="5" t="s">
        <v>15</v>
      </c>
      <c r="D87" s="2">
        <v>45847</v>
      </c>
      <c r="E87" s="2" t="s">
        <v>91</v>
      </c>
      <c r="F87" s="1">
        <v>34201</v>
      </c>
      <c r="G87" s="1" t="s">
        <v>84</v>
      </c>
      <c r="H87" s="1" t="s">
        <v>18</v>
      </c>
      <c r="J87" s="2" t="s">
        <v>85</v>
      </c>
      <c r="K87" s="1" t="s">
        <v>1371</v>
      </c>
      <c r="L87" s="1" t="s">
        <v>1371</v>
      </c>
      <c r="M87" s="1" t="s">
        <v>1380</v>
      </c>
      <c r="N87" s="1" t="str">
        <f t="shared" si="1"/>
        <v xml:space="preserve">LEONARDO SANTOS </v>
      </c>
    </row>
    <row r="88" spans="1:14" x14ac:dyDescent="0.3">
      <c r="A88" s="1">
        <v>705337</v>
      </c>
      <c r="B88" s="1" t="s">
        <v>1241</v>
      </c>
      <c r="C88" s="5" t="s">
        <v>92</v>
      </c>
      <c r="D88" s="2">
        <v>45784</v>
      </c>
      <c r="E88" s="2" t="s">
        <v>31</v>
      </c>
      <c r="F88" s="1">
        <v>22102</v>
      </c>
      <c r="G88" s="1" t="s">
        <v>68</v>
      </c>
      <c r="H88" s="1" t="s">
        <v>18</v>
      </c>
      <c r="I88" s="2">
        <v>46042</v>
      </c>
      <c r="J88" s="2" t="s">
        <v>81</v>
      </c>
      <c r="K88" s="1" t="s">
        <v>1371</v>
      </c>
      <c r="L88" s="1" t="s">
        <v>1509</v>
      </c>
      <c r="M88" s="1" t="s">
        <v>1379</v>
      </c>
      <c r="N88" s="1" t="str">
        <f t="shared" si="1"/>
        <v xml:space="preserve">EDSON/MARCELO LIMA </v>
      </c>
    </row>
    <row r="89" spans="1:14" x14ac:dyDescent="0.3">
      <c r="A89" s="1">
        <v>705695</v>
      </c>
      <c r="B89" s="1" t="s">
        <v>1444</v>
      </c>
      <c r="C89" s="5" t="s">
        <v>15</v>
      </c>
      <c r="D89" s="2">
        <v>45971</v>
      </c>
      <c r="E89" s="2" t="s">
        <v>1345</v>
      </c>
      <c r="F89" s="1">
        <v>32101</v>
      </c>
      <c r="G89" s="1" t="s">
        <v>23</v>
      </c>
      <c r="H89" s="1" t="s">
        <v>18</v>
      </c>
      <c r="J89" s="2" t="s">
        <v>24</v>
      </c>
      <c r="K89" s="1" t="s">
        <v>25</v>
      </c>
      <c r="L89" s="1" t="s">
        <v>1369</v>
      </c>
      <c r="M89" s="1" t="s">
        <v>1370</v>
      </c>
      <c r="N89" s="1" t="str">
        <f t="shared" si="1"/>
        <v>JUNIO COSTA</v>
      </c>
    </row>
    <row r="90" spans="1:14" x14ac:dyDescent="0.3">
      <c r="A90" s="1">
        <v>705044</v>
      </c>
      <c r="B90" s="1" t="s">
        <v>177</v>
      </c>
      <c r="C90" s="5" t="s">
        <v>15</v>
      </c>
      <c r="D90" s="2">
        <v>45636</v>
      </c>
      <c r="E90" s="2" t="s">
        <v>1347</v>
      </c>
      <c r="F90" s="1">
        <v>32101</v>
      </c>
      <c r="G90" s="1" t="s">
        <v>23</v>
      </c>
      <c r="H90" s="1" t="s">
        <v>18</v>
      </c>
      <c r="J90" s="2" t="s">
        <v>24</v>
      </c>
      <c r="K90" s="1" t="s">
        <v>25</v>
      </c>
      <c r="L90" s="1" t="s">
        <v>1369</v>
      </c>
      <c r="M90" s="1" t="s">
        <v>1370</v>
      </c>
      <c r="N90" s="1" t="str">
        <f t="shared" si="1"/>
        <v>JUNIO COSTA</v>
      </c>
    </row>
    <row r="91" spans="1:14" x14ac:dyDescent="0.3">
      <c r="A91" s="1">
        <v>703054</v>
      </c>
      <c r="B91" s="1" t="s">
        <v>178</v>
      </c>
      <c r="C91" s="5" t="s">
        <v>15</v>
      </c>
      <c r="D91" s="2">
        <v>44699</v>
      </c>
      <c r="E91" s="2" t="s">
        <v>179</v>
      </c>
      <c r="F91" s="1">
        <v>32101</v>
      </c>
      <c r="G91" s="1" t="s">
        <v>23</v>
      </c>
      <c r="H91" s="1" t="s">
        <v>18</v>
      </c>
      <c r="J91" s="2" t="s">
        <v>24</v>
      </c>
      <c r="K91" s="1" t="s">
        <v>25</v>
      </c>
      <c r="L91" s="1" t="s">
        <v>1369</v>
      </c>
      <c r="M91" s="1" t="s">
        <v>1370</v>
      </c>
      <c r="N91" s="1" t="str">
        <f t="shared" si="1"/>
        <v>JUNIO COSTA</v>
      </c>
    </row>
    <row r="92" spans="1:14" x14ac:dyDescent="0.3">
      <c r="A92" s="1">
        <v>702900</v>
      </c>
      <c r="B92" s="1" t="s">
        <v>180</v>
      </c>
      <c r="C92" s="5" t="s">
        <v>15</v>
      </c>
      <c r="D92" s="2">
        <v>44642</v>
      </c>
      <c r="E92" s="2" t="s">
        <v>83</v>
      </c>
      <c r="F92" s="1">
        <v>34201</v>
      </c>
      <c r="G92" s="1" t="s">
        <v>84</v>
      </c>
      <c r="H92" s="1" t="s">
        <v>18</v>
      </c>
      <c r="J92" s="2" t="s">
        <v>85</v>
      </c>
      <c r="K92" s="1" t="s">
        <v>1371</v>
      </c>
      <c r="L92" s="1" t="s">
        <v>1371</v>
      </c>
      <c r="M92" s="1" t="s">
        <v>1380</v>
      </c>
      <c r="N92" s="1" t="str">
        <f t="shared" si="1"/>
        <v xml:space="preserve">LEONARDO SANTOS </v>
      </c>
    </row>
    <row r="93" spans="1:14" x14ac:dyDescent="0.3">
      <c r="A93" s="1">
        <v>703926</v>
      </c>
      <c r="B93" s="1" t="s">
        <v>181</v>
      </c>
      <c r="C93" s="5" t="s">
        <v>15</v>
      </c>
      <c r="D93" s="2">
        <v>45083</v>
      </c>
      <c r="E93" s="2" t="s">
        <v>16</v>
      </c>
      <c r="F93" s="1">
        <v>22102</v>
      </c>
      <c r="G93" s="1" t="s">
        <v>68</v>
      </c>
      <c r="H93" s="1" t="s">
        <v>18</v>
      </c>
      <c r="J93" s="2" t="s">
        <v>94</v>
      </c>
      <c r="K93" s="1" t="s">
        <v>1371</v>
      </c>
      <c r="L93" s="1" t="s">
        <v>1378</v>
      </c>
      <c r="M93" s="1" t="s">
        <v>95</v>
      </c>
      <c r="N93" s="1" t="str">
        <f t="shared" si="1"/>
        <v>LUAN ABADIA</v>
      </c>
    </row>
    <row r="94" spans="1:14" x14ac:dyDescent="0.3">
      <c r="A94" s="1">
        <v>705484</v>
      </c>
      <c r="B94" s="1" t="s">
        <v>1304</v>
      </c>
      <c r="C94" s="5" t="s">
        <v>15</v>
      </c>
      <c r="D94" s="2">
        <v>45839</v>
      </c>
      <c r="E94" s="2" t="s">
        <v>31</v>
      </c>
      <c r="F94" s="1">
        <v>22102</v>
      </c>
      <c r="G94" s="1" t="s">
        <v>68</v>
      </c>
      <c r="H94" s="1" t="s">
        <v>18</v>
      </c>
      <c r="J94" s="2" t="s">
        <v>81</v>
      </c>
      <c r="K94" s="1" t="s">
        <v>1371</v>
      </c>
      <c r="L94" s="1" t="s">
        <v>1509</v>
      </c>
      <c r="M94" s="1" t="s">
        <v>1379</v>
      </c>
      <c r="N94" s="1" t="str">
        <f t="shared" si="1"/>
        <v xml:space="preserve">EDSON/MARCELO LIMA </v>
      </c>
    </row>
    <row r="95" spans="1:14" x14ac:dyDescent="0.3">
      <c r="A95" s="1">
        <v>705121</v>
      </c>
      <c r="B95" s="1" t="s">
        <v>747</v>
      </c>
      <c r="C95" s="5" t="s">
        <v>15</v>
      </c>
      <c r="D95" s="2">
        <v>45678</v>
      </c>
      <c r="E95" s="2" t="s">
        <v>1086</v>
      </c>
      <c r="F95" s="1">
        <v>31104</v>
      </c>
      <c r="G95" s="1" t="s">
        <v>130</v>
      </c>
      <c r="H95" s="1" t="s">
        <v>18</v>
      </c>
      <c r="J95" s="2" t="s">
        <v>131</v>
      </c>
      <c r="K95" s="1" t="s">
        <v>132</v>
      </c>
      <c r="L95" s="1" t="s">
        <v>132</v>
      </c>
      <c r="M95" s="1" t="s">
        <v>1381</v>
      </c>
      <c r="N95" s="1" t="str">
        <f t="shared" si="1"/>
        <v>MARCOS OLIVEIRA</v>
      </c>
    </row>
    <row r="96" spans="1:14" x14ac:dyDescent="0.3">
      <c r="A96" s="1">
        <v>704701</v>
      </c>
      <c r="B96" s="1" t="s">
        <v>182</v>
      </c>
      <c r="C96" s="5" t="s">
        <v>15</v>
      </c>
      <c r="D96" s="2">
        <v>45509</v>
      </c>
      <c r="E96" s="2" t="s">
        <v>22</v>
      </c>
      <c r="F96" s="1">
        <v>34101</v>
      </c>
      <c r="G96" s="1" t="s">
        <v>43</v>
      </c>
      <c r="H96" s="1" t="s">
        <v>18</v>
      </c>
      <c r="J96" s="2" t="s">
        <v>65</v>
      </c>
      <c r="K96" s="1" t="s">
        <v>25</v>
      </c>
      <c r="L96" s="1" t="s">
        <v>1374</v>
      </c>
      <c r="M96" s="1" t="s">
        <v>1375</v>
      </c>
      <c r="N96" s="1" t="str">
        <f t="shared" si="1"/>
        <v>ANDRÉ CUBA</v>
      </c>
    </row>
    <row r="97" spans="1:14" x14ac:dyDescent="0.3">
      <c r="A97" s="1">
        <v>701723</v>
      </c>
      <c r="B97" s="1" t="s">
        <v>183</v>
      </c>
      <c r="C97" s="5" t="s">
        <v>15</v>
      </c>
      <c r="D97" s="2">
        <v>44025</v>
      </c>
      <c r="E97" s="2" t="s">
        <v>127</v>
      </c>
      <c r="F97" s="1">
        <v>22102</v>
      </c>
      <c r="G97" s="1" t="s">
        <v>68</v>
      </c>
      <c r="H97" s="1" t="s">
        <v>18</v>
      </c>
      <c r="J97" s="2" t="s">
        <v>94</v>
      </c>
      <c r="K97" s="1" t="s">
        <v>1371</v>
      </c>
      <c r="L97" s="1" t="s">
        <v>1378</v>
      </c>
      <c r="M97" s="1" t="s">
        <v>95</v>
      </c>
      <c r="N97" s="1" t="str">
        <f t="shared" si="1"/>
        <v>LUAN ABADIA</v>
      </c>
    </row>
    <row r="98" spans="1:14" x14ac:dyDescent="0.3">
      <c r="A98" s="1">
        <v>704917</v>
      </c>
      <c r="B98" s="1" t="s">
        <v>750</v>
      </c>
      <c r="C98" s="5" t="s">
        <v>15</v>
      </c>
      <c r="D98" s="2">
        <v>45601</v>
      </c>
      <c r="E98" s="2" t="s">
        <v>93</v>
      </c>
      <c r="F98" s="1">
        <v>22102</v>
      </c>
      <c r="G98" s="1" t="s">
        <v>68</v>
      </c>
      <c r="H98" s="1" t="s">
        <v>18</v>
      </c>
      <c r="J98" s="2" t="s">
        <v>94</v>
      </c>
      <c r="K98" s="1" t="s">
        <v>1371</v>
      </c>
      <c r="L98" s="1" t="s">
        <v>1378</v>
      </c>
      <c r="M98" s="1" t="s">
        <v>95</v>
      </c>
      <c r="N98" s="1" t="str">
        <f t="shared" si="1"/>
        <v>LUAN ABADIA</v>
      </c>
    </row>
    <row r="99" spans="1:14" x14ac:dyDescent="0.3">
      <c r="A99" s="1">
        <v>705756</v>
      </c>
      <c r="B99" s="1" t="s">
        <v>1478</v>
      </c>
      <c r="C99" s="5" t="s">
        <v>15</v>
      </c>
      <c r="D99" s="2">
        <v>45993</v>
      </c>
      <c r="E99" s="2" t="s">
        <v>31</v>
      </c>
      <c r="F99" s="1">
        <v>25102</v>
      </c>
      <c r="G99" s="1" t="s">
        <v>1153</v>
      </c>
      <c r="H99" s="1" t="s">
        <v>18</v>
      </c>
      <c r="J99" s="2" t="s">
        <v>19</v>
      </c>
      <c r="K99" s="1" t="s">
        <v>1368</v>
      </c>
      <c r="L99" s="1" t="s">
        <v>20</v>
      </c>
      <c r="N99" s="1" t="str">
        <f t="shared" si="1"/>
        <v>ALEX DIAS</v>
      </c>
    </row>
    <row r="100" spans="1:14" x14ac:dyDescent="0.3">
      <c r="A100" s="1">
        <v>700218</v>
      </c>
      <c r="B100" s="1" t="s">
        <v>184</v>
      </c>
      <c r="C100" s="5" t="s">
        <v>15</v>
      </c>
      <c r="D100" s="2">
        <v>43255</v>
      </c>
      <c r="E100" s="2" t="s">
        <v>185</v>
      </c>
      <c r="F100" s="1">
        <v>33101</v>
      </c>
      <c r="G100" s="1" t="s">
        <v>186</v>
      </c>
      <c r="H100" s="1" t="s">
        <v>18</v>
      </c>
      <c r="J100" s="2" t="s">
        <v>44</v>
      </c>
      <c r="K100" s="1" t="s">
        <v>25</v>
      </c>
      <c r="L100" s="1" t="s">
        <v>1374</v>
      </c>
      <c r="M100" s="1" t="s">
        <v>1385</v>
      </c>
      <c r="N100" s="1" t="str">
        <f t="shared" si="1"/>
        <v>TALLES RYAN</v>
      </c>
    </row>
    <row r="101" spans="1:14" x14ac:dyDescent="0.3">
      <c r="A101" s="1">
        <v>705330</v>
      </c>
      <c r="B101" s="1" t="s">
        <v>1242</v>
      </c>
      <c r="C101" s="5" t="s">
        <v>233</v>
      </c>
      <c r="D101" s="2">
        <v>45784</v>
      </c>
      <c r="E101" s="2" t="s">
        <v>93</v>
      </c>
      <c r="F101" s="1">
        <v>34201</v>
      </c>
      <c r="G101" s="1" t="s">
        <v>84</v>
      </c>
      <c r="H101" s="1" t="s">
        <v>18</v>
      </c>
      <c r="J101" s="2" t="s">
        <v>94</v>
      </c>
      <c r="K101" s="1" t="s">
        <v>1371</v>
      </c>
      <c r="L101" s="1" t="s">
        <v>1378</v>
      </c>
      <c r="M101" s="1" t="s">
        <v>95</v>
      </c>
      <c r="N101" s="1" t="str">
        <f t="shared" si="1"/>
        <v>LUAN ABADIA</v>
      </c>
    </row>
    <row r="102" spans="1:14" x14ac:dyDescent="0.3">
      <c r="A102" s="1">
        <v>703535</v>
      </c>
      <c r="B102" s="1" t="s">
        <v>187</v>
      </c>
      <c r="C102" s="5" t="s">
        <v>15</v>
      </c>
      <c r="D102" s="2">
        <v>44907</v>
      </c>
      <c r="E102" s="2" t="s">
        <v>188</v>
      </c>
      <c r="F102" s="1">
        <v>22102</v>
      </c>
      <c r="G102" s="1" t="s">
        <v>68</v>
      </c>
      <c r="H102" s="1" t="s">
        <v>18</v>
      </c>
      <c r="J102" s="2" t="s">
        <v>94</v>
      </c>
      <c r="K102" s="1" t="s">
        <v>1371</v>
      </c>
      <c r="L102" s="1" t="s">
        <v>1378</v>
      </c>
      <c r="M102" s="1" t="s">
        <v>95</v>
      </c>
      <c r="N102" s="1" t="str">
        <f t="shared" si="1"/>
        <v>LUAN ABADIA</v>
      </c>
    </row>
    <row r="103" spans="1:14" x14ac:dyDescent="0.3">
      <c r="A103" s="1">
        <v>703492</v>
      </c>
      <c r="B103" s="1" t="s">
        <v>189</v>
      </c>
      <c r="C103" s="5" t="s">
        <v>15</v>
      </c>
      <c r="D103" s="2">
        <v>44887</v>
      </c>
      <c r="E103" s="2" t="s">
        <v>138</v>
      </c>
      <c r="F103" s="1">
        <v>22102</v>
      </c>
      <c r="G103" s="1" t="s">
        <v>68</v>
      </c>
      <c r="H103" s="1" t="s">
        <v>18</v>
      </c>
      <c r="J103" s="2" t="s">
        <v>94</v>
      </c>
      <c r="K103" s="1" t="s">
        <v>1371</v>
      </c>
      <c r="L103" s="1" t="s">
        <v>1378</v>
      </c>
      <c r="M103" s="1" t="s">
        <v>95</v>
      </c>
      <c r="N103" s="1" t="str">
        <f t="shared" si="1"/>
        <v>LUAN ABADIA</v>
      </c>
    </row>
    <row r="104" spans="1:14" x14ac:dyDescent="0.3">
      <c r="A104" s="1">
        <v>701012</v>
      </c>
      <c r="B104" s="1" t="s">
        <v>190</v>
      </c>
      <c r="C104" s="5" t="s">
        <v>15</v>
      </c>
      <c r="D104" s="2">
        <v>43598</v>
      </c>
      <c r="E104" s="2" t="s">
        <v>83</v>
      </c>
      <c r="F104" s="1">
        <v>34201</v>
      </c>
      <c r="G104" s="1" t="s">
        <v>84</v>
      </c>
      <c r="H104" s="1" t="s">
        <v>18</v>
      </c>
      <c r="J104" s="2" t="s">
        <v>85</v>
      </c>
      <c r="K104" s="1" t="s">
        <v>1371</v>
      </c>
      <c r="L104" s="1" t="s">
        <v>1371</v>
      </c>
      <c r="M104" s="1" t="s">
        <v>1380</v>
      </c>
      <c r="N104" s="1" t="str">
        <f t="shared" si="1"/>
        <v xml:space="preserve">LEONARDO SANTOS </v>
      </c>
    </row>
    <row r="105" spans="1:14" x14ac:dyDescent="0.3">
      <c r="A105" s="1">
        <v>703294</v>
      </c>
      <c r="B105" s="1" t="s">
        <v>191</v>
      </c>
      <c r="C105" s="5" t="s">
        <v>15</v>
      </c>
      <c r="D105" s="2">
        <v>44810</v>
      </c>
      <c r="E105" s="2" t="s">
        <v>80</v>
      </c>
      <c r="F105" s="1">
        <v>22102</v>
      </c>
      <c r="G105" s="1" t="s">
        <v>68</v>
      </c>
      <c r="H105" s="1" t="s">
        <v>18</v>
      </c>
      <c r="J105" s="2" t="s">
        <v>81</v>
      </c>
      <c r="K105" s="1" t="s">
        <v>1371</v>
      </c>
      <c r="L105" s="1" t="s">
        <v>1509</v>
      </c>
      <c r="M105" s="1" t="s">
        <v>1379</v>
      </c>
      <c r="N105" s="1" t="str">
        <f t="shared" si="1"/>
        <v xml:space="preserve">EDSON/MARCELO LIMA </v>
      </c>
    </row>
    <row r="106" spans="1:14" x14ac:dyDescent="0.3">
      <c r="A106" s="1">
        <v>705042</v>
      </c>
      <c r="B106" s="1" t="s">
        <v>192</v>
      </c>
      <c r="C106" s="5" t="s">
        <v>15</v>
      </c>
      <c r="D106" s="2">
        <v>45635</v>
      </c>
      <c r="E106" s="2" t="s">
        <v>31</v>
      </c>
      <c r="F106" s="1">
        <v>52104</v>
      </c>
      <c r="G106" s="1" t="s">
        <v>17</v>
      </c>
      <c r="H106" s="1" t="s">
        <v>18</v>
      </c>
      <c r="J106" s="2" t="s">
        <v>19</v>
      </c>
      <c r="K106" s="1" t="s">
        <v>1368</v>
      </c>
      <c r="L106" s="1" t="s">
        <v>20</v>
      </c>
      <c r="N106" s="1" t="str">
        <f t="shared" si="1"/>
        <v>ALEX DIAS</v>
      </c>
    </row>
    <row r="107" spans="1:14" x14ac:dyDescent="0.3">
      <c r="A107" s="1">
        <v>702160</v>
      </c>
      <c r="B107" s="1" t="s">
        <v>193</v>
      </c>
      <c r="C107" s="5" t="s">
        <v>15</v>
      </c>
      <c r="D107" s="2">
        <v>44299</v>
      </c>
      <c r="E107" s="2" t="s">
        <v>83</v>
      </c>
      <c r="F107" s="1">
        <v>34201</v>
      </c>
      <c r="G107" s="1" t="s">
        <v>84</v>
      </c>
      <c r="H107" s="1" t="s">
        <v>18</v>
      </c>
      <c r="J107" s="2" t="s">
        <v>85</v>
      </c>
      <c r="K107" s="1" t="s">
        <v>1371</v>
      </c>
      <c r="L107" s="1" t="s">
        <v>1371</v>
      </c>
      <c r="M107" s="1" t="s">
        <v>1380</v>
      </c>
      <c r="N107" s="1" t="str">
        <f t="shared" si="1"/>
        <v xml:space="preserve">LEONARDO SANTOS </v>
      </c>
    </row>
    <row r="108" spans="1:14" x14ac:dyDescent="0.3">
      <c r="A108" s="1">
        <v>704200</v>
      </c>
      <c r="B108" s="1" t="s">
        <v>194</v>
      </c>
      <c r="C108" s="5" t="s">
        <v>15</v>
      </c>
      <c r="D108" s="2">
        <v>45300</v>
      </c>
      <c r="E108" s="2" t="s">
        <v>138</v>
      </c>
      <c r="F108" s="1">
        <v>22102</v>
      </c>
      <c r="G108" s="1" t="s">
        <v>68</v>
      </c>
      <c r="H108" s="1" t="s">
        <v>18</v>
      </c>
      <c r="J108" s="2" t="s">
        <v>81</v>
      </c>
      <c r="K108" s="1" t="s">
        <v>1371</v>
      </c>
      <c r="L108" s="1" t="s">
        <v>1509</v>
      </c>
      <c r="M108" s="1" t="s">
        <v>1379</v>
      </c>
      <c r="N108" s="1" t="str">
        <f t="shared" si="1"/>
        <v xml:space="preserve">EDSON/MARCELO LIMA </v>
      </c>
    </row>
    <row r="109" spans="1:14" x14ac:dyDescent="0.3">
      <c r="A109" s="1">
        <v>703636</v>
      </c>
      <c r="B109" s="1" t="s">
        <v>757</v>
      </c>
      <c r="C109" s="5" t="s">
        <v>15</v>
      </c>
      <c r="D109" s="2">
        <v>44998</v>
      </c>
      <c r="E109" s="2" t="s">
        <v>152</v>
      </c>
      <c r="F109" s="1">
        <v>39201</v>
      </c>
      <c r="G109" s="1" t="s">
        <v>153</v>
      </c>
      <c r="H109" s="1" t="s">
        <v>18</v>
      </c>
      <c r="J109" s="2" t="s">
        <v>154</v>
      </c>
      <c r="K109" s="1" t="s">
        <v>50</v>
      </c>
      <c r="L109" s="1" t="s">
        <v>50</v>
      </c>
      <c r="M109" s="1" t="s">
        <v>1382</v>
      </c>
      <c r="N109" s="1" t="str">
        <f t="shared" si="1"/>
        <v>ADENILTON RODRIGUES</v>
      </c>
    </row>
    <row r="110" spans="1:14" x14ac:dyDescent="0.3">
      <c r="A110" s="1">
        <v>705463</v>
      </c>
      <c r="B110" s="1" t="s">
        <v>1274</v>
      </c>
      <c r="C110" s="5" t="s">
        <v>15</v>
      </c>
      <c r="D110" s="2">
        <v>45812</v>
      </c>
      <c r="E110" s="2" t="s">
        <v>31</v>
      </c>
      <c r="F110" s="1">
        <v>25102</v>
      </c>
      <c r="G110" s="1" t="s">
        <v>1153</v>
      </c>
      <c r="H110" s="1" t="s">
        <v>18</v>
      </c>
      <c r="J110" s="2" t="s">
        <v>19</v>
      </c>
      <c r="K110" s="1" t="s">
        <v>1368</v>
      </c>
      <c r="L110" s="1" t="s">
        <v>20</v>
      </c>
      <c r="N110" s="1" t="str">
        <f t="shared" si="1"/>
        <v>ALEX DIAS</v>
      </c>
    </row>
    <row r="111" spans="1:14" x14ac:dyDescent="0.3">
      <c r="A111" s="1">
        <v>701946</v>
      </c>
      <c r="B111" s="1" t="s">
        <v>198</v>
      </c>
      <c r="C111" s="5" t="s">
        <v>15</v>
      </c>
      <c r="D111" s="2">
        <v>44151</v>
      </c>
      <c r="E111" s="2" t="s">
        <v>457</v>
      </c>
      <c r="F111" s="1">
        <v>22102</v>
      </c>
      <c r="G111" s="1" t="s">
        <v>68</v>
      </c>
      <c r="H111" s="1" t="s">
        <v>18</v>
      </c>
      <c r="J111" s="2" t="s">
        <v>142</v>
      </c>
      <c r="K111" s="1" t="s">
        <v>1371</v>
      </c>
      <c r="L111" s="1" t="s">
        <v>1509</v>
      </c>
      <c r="M111" s="1" t="s">
        <v>143</v>
      </c>
      <c r="N111" s="1" t="str">
        <f t="shared" si="1"/>
        <v>TALLES BALIZA</v>
      </c>
    </row>
    <row r="112" spans="1:14" x14ac:dyDescent="0.3">
      <c r="A112" s="1">
        <v>704794</v>
      </c>
      <c r="B112" s="1" t="s">
        <v>200</v>
      </c>
      <c r="C112" s="5" t="s">
        <v>15</v>
      </c>
      <c r="D112" s="2">
        <v>45566</v>
      </c>
      <c r="E112" s="2" t="s">
        <v>336</v>
      </c>
      <c r="F112" s="1">
        <v>52104</v>
      </c>
      <c r="G112" s="1" t="s">
        <v>17</v>
      </c>
      <c r="H112" s="1" t="s">
        <v>18</v>
      </c>
      <c r="J112" s="2" t="s">
        <v>19</v>
      </c>
      <c r="K112" s="1" t="s">
        <v>1368</v>
      </c>
      <c r="L112" s="1" t="s">
        <v>20</v>
      </c>
      <c r="N112" s="1" t="str">
        <f t="shared" si="1"/>
        <v>ALEX DIAS</v>
      </c>
    </row>
    <row r="113" spans="1:14" x14ac:dyDescent="0.3">
      <c r="A113" s="1">
        <v>703935</v>
      </c>
      <c r="B113" s="1" t="s">
        <v>201</v>
      </c>
      <c r="C113" s="5" t="s">
        <v>15</v>
      </c>
      <c r="D113" s="2">
        <v>45089</v>
      </c>
      <c r="E113" s="2" t="s">
        <v>31</v>
      </c>
      <c r="F113" s="1">
        <v>51219</v>
      </c>
      <c r="G113" s="1" t="s">
        <v>61</v>
      </c>
      <c r="H113" s="1" t="s">
        <v>18</v>
      </c>
      <c r="J113" s="2" t="s">
        <v>19</v>
      </c>
      <c r="K113" s="1" t="s">
        <v>1368</v>
      </c>
      <c r="L113" s="1" t="s">
        <v>20</v>
      </c>
      <c r="N113" s="1" t="str">
        <f t="shared" si="1"/>
        <v>ALEX DIAS</v>
      </c>
    </row>
    <row r="114" spans="1:14" x14ac:dyDescent="0.3">
      <c r="A114" s="1">
        <v>705745</v>
      </c>
      <c r="B114" s="1" t="s">
        <v>202</v>
      </c>
      <c r="C114" s="5" t="s">
        <v>15</v>
      </c>
      <c r="D114" s="2">
        <v>45993</v>
      </c>
      <c r="E114" s="2" t="s">
        <v>31</v>
      </c>
      <c r="F114" s="1">
        <v>22102</v>
      </c>
      <c r="G114" s="1" t="s">
        <v>68</v>
      </c>
      <c r="H114" s="1" t="s">
        <v>18</v>
      </c>
      <c r="J114" s="2" t="s">
        <v>81</v>
      </c>
      <c r="K114" s="1" t="s">
        <v>1371</v>
      </c>
      <c r="L114" s="1" t="s">
        <v>1509</v>
      </c>
      <c r="M114" s="1" t="s">
        <v>1379</v>
      </c>
      <c r="N114" s="1" t="str">
        <f t="shared" si="1"/>
        <v xml:space="preserve">EDSON/MARCELO LIMA </v>
      </c>
    </row>
    <row r="115" spans="1:14" x14ac:dyDescent="0.3">
      <c r="A115" s="1">
        <v>705332</v>
      </c>
      <c r="B115" s="1" t="s">
        <v>1243</v>
      </c>
      <c r="C115" s="5" t="s">
        <v>15</v>
      </c>
      <c r="D115" s="2">
        <v>45784</v>
      </c>
      <c r="E115" s="2" t="s">
        <v>31</v>
      </c>
      <c r="F115" s="1">
        <v>22102</v>
      </c>
      <c r="G115" s="1" t="s">
        <v>68</v>
      </c>
      <c r="H115" s="1" t="s">
        <v>18</v>
      </c>
      <c r="J115" s="2" t="s">
        <v>81</v>
      </c>
      <c r="K115" s="1" t="s">
        <v>1371</v>
      </c>
      <c r="L115" s="1" t="s">
        <v>1509</v>
      </c>
      <c r="M115" s="1" t="s">
        <v>1379</v>
      </c>
      <c r="N115" s="1" t="str">
        <f t="shared" si="1"/>
        <v xml:space="preserve">EDSON/MARCELO LIMA </v>
      </c>
    </row>
    <row r="116" spans="1:14" x14ac:dyDescent="0.3">
      <c r="A116" s="1">
        <v>704263</v>
      </c>
      <c r="B116" s="1" t="s">
        <v>203</v>
      </c>
      <c r="C116" s="5" t="s">
        <v>15</v>
      </c>
      <c r="D116" s="2">
        <v>45342</v>
      </c>
      <c r="E116" s="2" t="s">
        <v>138</v>
      </c>
      <c r="F116" s="1">
        <v>22102</v>
      </c>
      <c r="G116" s="1" t="s">
        <v>68</v>
      </c>
      <c r="H116" s="1" t="s">
        <v>18</v>
      </c>
      <c r="J116" s="2" t="s">
        <v>81</v>
      </c>
      <c r="K116" s="1" t="s">
        <v>1371</v>
      </c>
      <c r="L116" s="1" t="s">
        <v>1509</v>
      </c>
      <c r="M116" s="1" t="s">
        <v>1379</v>
      </c>
      <c r="N116" s="1" t="str">
        <f t="shared" si="1"/>
        <v xml:space="preserve">EDSON/MARCELO LIMA </v>
      </c>
    </row>
    <row r="117" spans="1:14" x14ac:dyDescent="0.3">
      <c r="A117" s="1">
        <v>705516</v>
      </c>
      <c r="B117" s="1" t="s">
        <v>1290</v>
      </c>
      <c r="C117" s="5" t="s">
        <v>15</v>
      </c>
      <c r="D117" s="2">
        <v>45847</v>
      </c>
      <c r="E117" s="2" t="s">
        <v>31</v>
      </c>
      <c r="F117" s="1">
        <v>22102</v>
      </c>
      <c r="G117" s="1" t="s">
        <v>68</v>
      </c>
      <c r="H117" s="1" t="s">
        <v>18</v>
      </c>
      <c r="J117" s="2" t="s">
        <v>142</v>
      </c>
      <c r="K117" s="1" t="s">
        <v>1371</v>
      </c>
      <c r="L117" s="1" t="s">
        <v>1509</v>
      </c>
      <c r="M117" s="1" t="s">
        <v>143</v>
      </c>
      <c r="N117" s="1" t="str">
        <f t="shared" si="1"/>
        <v>TALLES BALIZA</v>
      </c>
    </row>
    <row r="118" spans="1:14" x14ac:dyDescent="0.3">
      <c r="A118" s="1">
        <v>705685</v>
      </c>
      <c r="B118" s="1" t="s">
        <v>1397</v>
      </c>
      <c r="C118" s="5" t="s">
        <v>92</v>
      </c>
      <c r="D118" s="2">
        <v>45945</v>
      </c>
      <c r="E118" s="2" t="s">
        <v>138</v>
      </c>
      <c r="F118" s="1">
        <v>25102</v>
      </c>
      <c r="G118" s="1" t="s">
        <v>1153</v>
      </c>
      <c r="H118" s="1" t="s">
        <v>18</v>
      </c>
      <c r="I118" s="2">
        <v>46034</v>
      </c>
      <c r="J118" s="2" t="s">
        <v>19</v>
      </c>
      <c r="K118" s="1" t="s">
        <v>1368</v>
      </c>
      <c r="L118" s="1" t="s">
        <v>20</v>
      </c>
      <c r="N118" s="1" t="str">
        <f t="shared" si="1"/>
        <v>ALEX DIAS</v>
      </c>
    </row>
    <row r="119" spans="1:14" x14ac:dyDescent="0.3">
      <c r="A119" s="1">
        <v>705636</v>
      </c>
      <c r="B119" s="1" t="s">
        <v>1398</v>
      </c>
      <c r="C119" s="5" t="s">
        <v>15</v>
      </c>
      <c r="D119" s="2">
        <v>45937</v>
      </c>
      <c r="E119" s="2" t="s">
        <v>31</v>
      </c>
      <c r="F119" s="1">
        <v>25102</v>
      </c>
      <c r="G119" s="1" t="s">
        <v>1153</v>
      </c>
      <c r="H119" s="1" t="s">
        <v>18</v>
      </c>
      <c r="J119" s="2" t="s">
        <v>19</v>
      </c>
      <c r="K119" s="1" t="s">
        <v>1368</v>
      </c>
      <c r="L119" s="1" t="s">
        <v>20</v>
      </c>
      <c r="N119" s="1" t="str">
        <f t="shared" si="1"/>
        <v>ALEX DIAS</v>
      </c>
    </row>
    <row r="120" spans="1:14" x14ac:dyDescent="0.3">
      <c r="A120" s="1">
        <v>702814</v>
      </c>
      <c r="B120" s="1" t="s">
        <v>204</v>
      </c>
      <c r="C120" s="5" t="s">
        <v>15</v>
      </c>
      <c r="D120" s="2">
        <v>44613</v>
      </c>
      <c r="E120" s="2" t="s">
        <v>138</v>
      </c>
      <c r="F120" s="1">
        <v>25102</v>
      </c>
      <c r="G120" s="1" t="s">
        <v>1153</v>
      </c>
      <c r="H120" s="1" t="s">
        <v>18</v>
      </c>
      <c r="J120" s="2" t="s">
        <v>19</v>
      </c>
      <c r="K120" s="1" t="s">
        <v>1368</v>
      </c>
      <c r="L120" s="1" t="s">
        <v>20</v>
      </c>
      <c r="N120" s="1" t="str">
        <f t="shared" si="1"/>
        <v>ALEX DIAS</v>
      </c>
    </row>
    <row r="121" spans="1:14" x14ac:dyDescent="0.3">
      <c r="A121" s="1">
        <v>704371</v>
      </c>
      <c r="B121" s="1" t="s">
        <v>768</v>
      </c>
      <c r="C121" s="5" t="s">
        <v>15</v>
      </c>
      <c r="D121" s="2">
        <v>45384</v>
      </c>
      <c r="E121" s="2" t="s">
        <v>16</v>
      </c>
      <c r="F121" s="1">
        <v>38101</v>
      </c>
      <c r="G121" s="1" t="s">
        <v>35</v>
      </c>
      <c r="H121" s="1" t="s">
        <v>18</v>
      </c>
      <c r="J121" s="2" t="s">
        <v>36</v>
      </c>
      <c r="K121" s="1" t="s">
        <v>1372</v>
      </c>
      <c r="L121" s="1" t="s">
        <v>1372</v>
      </c>
      <c r="M121" s="1" t="s">
        <v>1373</v>
      </c>
      <c r="N121" s="1" t="str">
        <f t="shared" si="1"/>
        <v>DENIS ACASSIO</v>
      </c>
    </row>
    <row r="122" spans="1:14" x14ac:dyDescent="0.3">
      <c r="A122" s="1">
        <v>705503</v>
      </c>
      <c r="B122" s="1" t="s">
        <v>1291</v>
      </c>
      <c r="C122" s="5" t="s">
        <v>15</v>
      </c>
      <c r="D122" s="2">
        <v>45847</v>
      </c>
      <c r="E122" s="2" t="s">
        <v>31</v>
      </c>
      <c r="F122" s="1">
        <v>38101</v>
      </c>
      <c r="G122" s="1" t="s">
        <v>35</v>
      </c>
      <c r="H122" s="1" t="s">
        <v>18</v>
      </c>
      <c r="J122" s="2" t="s">
        <v>36</v>
      </c>
      <c r="K122" s="1" t="s">
        <v>1372</v>
      </c>
      <c r="L122" s="1" t="s">
        <v>1372</v>
      </c>
      <c r="M122" s="1" t="s">
        <v>1373</v>
      </c>
      <c r="N122" s="1" t="str">
        <f t="shared" si="1"/>
        <v>DENIS ACASSIO</v>
      </c>
    </row>
    <row r="123" spans="1:14" x14ac:dyDescent="0.3">
      <c r="A123" s="1">
        <v>705380</v>
      </c>
      <c r="B123" s="1" t="s">
        <v>1213</v>
      </c>
      <c r="C123" s="5" t="s">
        <v>15</v>
      </c>
      <c r="D123" s="2">
        <v>45784</v>
      </c>
      <c r="E123" s="2" t="s">
        <v>286</v>
      </c>
      <c r="F123" s="1">
        <v>32101</v>
      </c>
      <c r="G123" s="1" t="s">
        <v>23</v>
      </c>
      <c r="H123" s="1" t="s">
        <v>18</v>
      </c>
      <c r="J123" s="2" t="s">
        <v>24</v>
      </c>
      <c r="K123" s="1" t="s">
        <v>25</v>
      </c>
      <c r="L123" s="1" t="s">
        <v>1369</v>
      </c>
      <c r="M123" s="1" t="s">
        <v>1370</v>
      </c>
      <c r="N123" s="1" t="str">
        <f t="shared" si="1"/>
        <v>JUNIO COSTA</v>
      </c>
    </row>
    <row r="124" spans="1:14" x14ac:dyDescent="0.3">
      <c r="A124" s="1">
        <v>705816</v>
      </c>
      <c r="B124" s="1" t="s">
        <v>1514</v>
      </c>
      <c r="C124" s="5" t="s">
        <v>15</v>
      </c>
      <c r="D124" s="2">
        <v>46035</v>
      </c>
      <c r="E124" s="2" t="s">
        <v>138</v>
      </c>
      <c r="F124" s="1">
        <v>25102</v>
      </c>
      <c r="G124" s="1" t="s">
        <v>1153</v>
      </c>
      <c r="H124" s="1" t="s">
        <v>18</v>
      </c>
      <c r="J124" s="2" t="s">
        <v>19</v>
      </c>
      <c r="K124" s="1" t="s">
        <v>1368</v>
      </c>
      <c r="L124" s="1" t="s">
        <v>20</v>
      </c>
      <c r="N124" s="1" t="str">
        <f t="shared" si="1"/>
        <v>ALEX DIAS</v>
      </c>
    </row>
    <row r="125" spans="1:14" x14ac:dyDescent="0.3">
      <c r="A125" s="1">
        <v>705497</v>
      </c>
      <c r="B125" s="1" t="s">
        <v>1292</v>
      </c>
      <c r="C125" s="5" t="s">
        <v>15</v>
      </c>
      <c r="D125" s="2">
        <v>45839</v>
      </c>
      <c r="E125" s="2" t="s">
        <v>31</v>
      </c>
      <c r="F125" s="1">
        <v>25201</v>
      </c>
      <c r="G125" s="1" t="s">
        <v>89</v>
      </c>
      <c r="H125" s="1" t="s">
        <v>18</v>
      </c>
      <c r="J125" s="2" t="s">
        <v>19</v>
      </c>
      <c r="K125" s="1" t="s">
        <v>1368</v>
      </c>
      <c r="L125" s="1" t="s">
        <v>20</v>
      </c>
      <c r="N125" s="1" t="str">
        <f t="shared" si="1"/>
        <v>ALEX DIAS</v>
      </c>
    </row>
    <row r="126" spans="1:14" x14ac:dyDescent="0.3">
      <c r="A126" s="1">
        <v>100791</v>
      </c>
      <c r="B126" s="1" t="s">
        <v>205</v>
      </c>
      <c r="C126" s="5" t="s">
        <v>15</v>
      </c>
      <c r="D126" s="2">
        <v>42261</v>
      </c>
      <c r="E126" s="2" t="s">
        <v>206</v>
      </c>
      <c r="F126" s="1">
        <v>38101</v>
      </c>
      <c r="G126" s="1" t="s">
        <v>35</v>
      </c>
      <c r="H126" s="1" t="s">
        <v>18</v>
      </c>
      <c r="J126" s="2" t="s">
        <v>36</v>
      </c>
      <c r="K126" s="1" t="s">
        <v>1372</v>
      </c>
      <c r="L126" s="1" t="s">
        <v>1372</v>
      </c>
      <c r="M126" s="1" t="s">
        <v>1373</v>
      </c>
      <c r="N126" s="1" t="str">
        <f t="shared" si="1"/>
        <v>DENIS ACASSIO</v>
      </c>
    </row>
    <row r="127" spans="1:14" x14ac:dyDescent="0.3">
      <c r="A127" s="1">
        <v>705799</v>
      </c>
      <c r="B127" s="1" t="s">
        <v>1515</v>
      </c>
      <c r="C127" s="5" t="s">
        <v>15</v>
      </c>
      <c r="D127" s="2">
        <v>46029</v>
      </c>
      <c r="E127" s="2" t="s">
        <v>31</v>
      </c>
      <c r="F127" s="1">
        <v>52202</v>
      </c>
      <c r="G127" s="1" t="s">
        <v>32</v>
      </c>
      <c r="H127" s="1" t="s">
        <v>18</v>
      </c>
      <c r="J127" s="2" t="s">
        <v>33</v>
      </c>
      <c r="K127" s="1" t="s">
        <v>1368</v>
      </c>
      <c r="L127" s="1" t="s">
        <v>20</v>
      </c>
      <c r="N127" s="1" t="str">
        <f t="shared" si="1"/>
        <v>ALEX DIAS</v>
      </c>
    </row>
    <row r="128" spans="1:14" x14ac:dyDescent="0.3">
      <c r="A128" s="1">
        <v>702668</v>
      </c>
      <c r="B128" s="1" t="s">
        <v>207</v>
      </c>
      <c r="C128" s="5" t="s">
        <v>15</v>
      </c>
      <c r="D128" s="2">
        <v>44510</v>
      </c>
      <c r="E128" s="2" t="s">
        <v>208</v>
      </c>
      <c r="F128" s="1">
        <v>38101</v>
      </c>
      <c r="G128" s="1" t="s">
        <v>35</v>
      </c>
      <c r="H128" s="1" t="s">
        <v>18</v>
      </c>
      <c r="J128" s="2" t="s">
        <v>36</v>
      </c>
      <c r="K128" s="1" t="s">
        <v>1372</v>
      </c>
      <c r="L128" s="1" t="s">
        <v>1372</v>
      </c>
      <c r="M128" s="1" t="s">
        <v>1373</v>
      </c>
      <c r="N128" s="1" t="str">
        <f t="shared" si="1"/>
        <v>DENIS ACASSIO</v>
      </c>
    </row>
    <row r="129" spans="1:14" x14ac:dyDescent="0.3">
      <c r="A129" s="1">
        <v>705684</v>
      </c>
      <c r="B129" s="1" t="s">
        <v>1399</v>
      </c>
      <c r="C129" s="5" t="s">
        <v>15</v>
      </c>
      <c r="D129" s="2">
        <v>45944</v>
      </c>
      <c r="E129" s="2" t="s">
        <v>31</v>
      </c>
      <c r="F129" s="1">
        <v>25102</v>
      </c>
      <c r="G129" s="1" t="s">
        <v>1153</v>
      </c>
      <c r="H129" s="1" t="s">
        <v>18</v>
      </c>
      <c r="J129" s="2" t="s">
        <v>29</v>
      </c>
      <c r="K129" s="1" t="s">
        <v>1368</v>
      </c>
      <c r="L129" s="1" t="s">
        <v>1368</v>
      </c>
      <c r="N129" s="1" t="str">
        <f t="shared" si="1"/>
        <v>JOSÉ GOUVEA</v>
      </c>
    </row>
    <row r="130" spans="1:14" x14ac:dyDescent="0.3">
      <c r="A130" s="1">
        <v>702120</v>
      </c>
      <c r="B130" s="1" t="s">
        <v>209</v>
      </c>
      <c r="C130" s="5" t="s">
        <v>15</v>
      </c>
      <c r="D130" s="2">
        <v>44298</v>
      </c>
      <c r="E130" s="2" t="s">
        <v>138</v>
      </c>
      <c r="F130" s="1">
        <v>51219</v>
      </c>
      <c r="G130" s="1" t="s">
        <v>61</v>
      </c>
      <c r="H130" s="1" t="s">
        <v>18</v>
      </c>
      <c r="J130" s="2" t="s">
        <v>37</v>
      </c>
      <c r="K130" s="1" t="s">
        <v>1368</v>
      </c>
      <c r="L130" s="1" t="s">
        <v>20</v>
      </c>
      <c r="N130" s="1" t="str">
        <f t="shared" si="1"/>
        <v>ALEX DIAS</v>
      </c>
    </row>
    <row r="131" spans="1:14" x14ac:dyDescent="0.3">
      <c r="A131" s="1">
        <v>704665</v>
      </c>
      <c r="B131" s="1" t="s">
        <v>210</v>
      </c>
      <c r="C131" s="5" t="s">
        <v>15</v>
      </c>
      <c r="D131" s="2">
        <v>45482</v>
      </c>
      <c r="E131" s="2" t="s">
        <v>31</v>
      </c>
      <c r="F131" s="1">
        <v>39501</v>
      </c>
      <c r="G131" s="1" t="s">
        <v>28</v>
      </c>
      <c r="H131" s="1" t="s">
        <v>18</v>
      </c>
      <c r="J131" s="2" t="s">
        <v>29</v>
      </c>
      <c r="K131" s="1" t="s">
        <v>1368</v>
      </c>
      <c r="L131" s="1" t="s">
        <v>1368</v>
      </c>
      <c r="N131" s="1" t="str">
        <f t="shared" ref="N131:N194" si="2">IF(M131&lt;&gt;"", M131, IF(L131&lt;&gt;"", L131, K131))</f>
        <v>JOSÉ GOUVEA</v>
      </c>
    </row>
    <row r="132" spans="1:14" x14ac:dyDescent="0.3">
      <c r="A132" s="1">
        <v>702390</v>
      </c>
      <c r="B132" s="1" t="s">
        <v>211</v>
      </c>
      <c r="C132" s="5" t="s">
        <v>15</v>
      </c>
      <c r="D132" s="2">
        <v>44369</v>
      </c>
      <c r="E132" s="2" t="s">
        <v>166</v>
      </c>
      <c r="F132" s="1">
        <v>22102</v>
      </c>
      <c r="G132" s="1" t="s">
        <v>68</v>
      </c>
      <c r="H132" s="1" t="s">
        <v>18</v>
      </c>
      <c r="J132" s="2" t="s">
        <v>167</v>
      </c>
      <c r="K132" s="1" t="s">
        <v>1371</v>
      </c>
      <c r="L132" s="1" t="s">
        <v>1509</v>
      </c>
      <c r="M132" s="1" t="s">
        <v>1383</v>
      </c>
      <c r="N132" s="1" t="str">
        <f t="shared" si="2"/>
        <v>WANDRES/FABIANO</v>
      </c>
    </row>
    <row r="133" spans="1:14" x14ac:dyDescent="0.3">
      <c r="A133" s="1">
        <v>705061</v>
      </c>
      <c r="B133" s="1" t="s">
        <v>212</v>
      </c>
      <c r="C133" s="5" t="s">
        <v>15</v>
      </c>
      <c r="D133" s="2">
        <v>45664</v>
      </c>
      <c r="E133" s="2" t="s">
        <v>213</v>
      </c>
      <c r="F133" s="1">
        <v>41504</v>
      </c>
      <c r="G133" s="1" t="s">
        <v>1275</v>
      </c>
      <c r="H133" s="1" t="s">
        <v>18</v>
      </c>
      <c r="J133" s="2" t="s">
        <v>112</v>
      </c>
      <c r="K133" s="1" t="s">
        <v>1368</v>
      </c>
      <c r="N133" s="1" t="str">
        <f t="shared" si="2"/>
        <v>JOSÉ GOUVEA</v>
      </c>
    </row>
    <row r="134" spans="1:14" x14ac:dyDescent="0.3">
      <c r="A134" s="1">
        <v>705737</v>
      </c>
      <c r="B134" s="1" t="s">
        <v>1445</v>
      </c>
      <c r="C134" s="5" t="s">
        <v>15</v>
      </c>
      <c r="D134" s="2">
        <v>45972</v>
      </c>
      <c r="E134" s="2" t="s">
        <v>31</v>
      </c>
      <c r="F134" s="1">
        <v>25102</v>
      </c>
      <c r="G134" s="1" t="s">
        <v>1153</v>
      </c>
      <c r="H134" s="1" t="s">
        <v>18</v>
      </c>
      <c r="J134" s="2" t="s">
        <v>19</v>
      </c>
      <c r="K134" s="1" t="s">
        <v>1368</v>
      </c>
      <c r="L134" s="1" t="s">
        <v>20</v>
      </c>
      <c r="N134" s="1" t="str">
        <f t="shared" si="2"/>
        <v>ALEX DIAS</v>
      </c>
    </row>
    <row r="135" spans="1:14" x14ac:dyDescent="0.3">
      <c r="A135" s="1">
        <v>101249</v>
      </c>
      <c r="B135" s="1" t="s">
        <v>218</v>
      </c>
      <c r="C135" s="5" t="s">
        <v>15</v>
      </c>
      <c r="D135" s="2">
        <v>42786</v>
      </c>
      <c r="E135" s="2" t="s">
        <v>219</v>
      </c>
      <c r="F135" s="1">
        <v>32101</v>
      </c>
      <c r="G135" s="1" t="s">
        <v>23</v>
      </c>
      <c r="H135" s="1" t="s">
        <v>18</v>
      </c>
      <c r="J135" s="2" t="s">
        <v>24</v>
      </c>
      <c r="K135" s="1" t="s">
        <v>25</v>
      </c>
      <c r="L135" s="1" t="s">
        <v>1369</v>
      </c>
      <c r="M135" s="1" t="s">
        <v>1370</v>
      </c>
      <c r="N135" s="1" t="str">
        <f t="shared" si="2"/>
        <v>JUNIO COSTA</v>
      </c>
    </row>
    <row r="136" spans="1:14" x14ac:dyDescent="0.3">
      <c r="A136" s="1">
        <v>704754</v>
      </c>
      <c r="B136" s="1" t="s">
        <v>220</v>
      </c>
      <c r="C136" s="5" t="s">
        <v>15</v>
      </c>
      <c r="D136" s="2">
        <v>45545</v>
      </c>
      <c r="E136" s="2" t="s">
        <v>27</v>
      </c>
      <c r="F136" s="1">
        <v>39304</v>
      </c>
      <c r="G136" s="1" t="s">
        <v>56</v>
      </c>
      <c r="H136" s="1" t="s">
        <v>18</v>
      </c>
      <c r="J136" s="2" t="s">
        <v>57</v>
      </c>
      <c r="K136" s="1" t="s">
        <v>1371</v>
      </c>
      <c r="L136" s="1" t="s">
        <v>1376</v>
      </c>
      <c r="M136" s="1" t="s">
        <v>1377</v>
      </c>
      <c r="N136" s="1" t="str">
        <f t="shared" si="2"/>
        <v>WARLEY RIBEIRO</v>
      </c>
    </row>
    <row r="137" spans="1:14" x14ac:dyDescent="0.3">
      <c r="A137" s="1">
        <v>100883</v>
      </c>
      <c r="B137" s="1" t="s">
        <v>221</v>
      </c>
      <c r="C137" s="5" t="s">
        <v>15</v>
      </c>
      <c r="D137" s="2">
        <v>42445</v>
      </c>
      <c r="E137" s="2" t="s">
        <v>16</v>
      </c>
      <c r="F137" s="1">
        <v>18101</v>
      </c>
      <c r="G137" s="1" t="s">
        <v>222</v>
      </c>
      <c r="H137" s="1" t="s">
        <v>18</v>
      </c>
      <c r="J137" s="2" t="s">
        <v>36</v>
      </c>
      <c r="K137" s="1" t="s">
        <v>1372</v>
      </c>
      <c r="L137" s="1" t="s">
        <v>1372</v>
      </c>
      <c r="M137" s="1" t="s">
        <v>1373</v>
      </c>
      <c r="N137" s="1" t="str">
        <f t="shared" si="2"/>
        <v>DENIS ACASSIO</v>
      </c>
    </row>
    <row r="138" spans="1:14" x14ac:dyDescent="0.3">
      <c r="A138" s="1">
        <v>702312</v>
      </c>
      <c r="B138" s="1" t="s">
        <v>223</v>
      </c>
      <c r="C138" s="5" t="s">
        <v>15</v>
      </c>
      <c r="D138" s="2">
        <v>44334</v>
      </c>
      <c r="E138" s="2" t="s">
        <v>185</v>
      </c>
      <c r="F138" s="1">
        <v>33101</v>
      </c>
      <c r="G138" s="1" t="s">
        <v>186</v>
      </c>
      <c r="H138" s="1" t="s">
        <v>18</v>
      </c>
      <c r="J138" s="2" t="s">
        <v>44</v>
      </c>
      <c r="K138" s="1" t="s">
        <v>25</v>
      </c>
      <c r="L138" s="1" t="s">
        <v>1374</v>
      </c>
      <c r="M138" s="1" t="s">
        <v>1385</v>
      </c>
      <c r="N138" s="1" t="str">
        <f t="shared" si="2"/>
        <v>TALLES RYAN</v>
      </c>
    </row>
    <row r="139" spans="1:14" x14ac:dyDescent="0.3">
      <c r="A139" s="1">
        <v>705535</v>
      </c>
      <c r="B139" s="1" t="s">
        <v>1293</v>
      </c>
      <c r="C139" s="5" t="s">
        <v>15</v>
      </c>
      <c r="D139" s="2">
        <v>45847</v>
      </c>
      <c r="E139" s="2" t="s">
        <v>91</v>
      </c>
      <c r="F139" s="1">
        <v>34201</v>
      </c>
      <c r="G139" s="1" t="s">
        <v>84</v>
      </c>
      <c r="H139" s="1" t="s">
        <v>18</v>
      </c>
      <c r="J139" s="2" t="s">
        <v>85</v>
      </c>
      <c r="K139" s="1" t="s">
        <v>1371</v>
      </c>
      <c r="L139" s="1" t="s">
        <v>1371</v>
      </c>
      <c r="M139" s="1" t="s">
        <v>1380</v>
      </c>
      <c r="N139" s="1" t="str">
        <f t="shared" si="2"/>
        <v xml:space="preserve">LEONARDO SANTOS </v>
      </c>
    </row>
    <row r="140" spans="1:14" x14ac:dyDescent="0.3">
      <c r="A140" s="1">
        <v>101208</v>
      </c>
      <c r="B140" s="1" t="s">
        <v>224</v>
      </c>
      <c r="C140" s="5" t="s">
        <v>15</v>
      </c>
      <c r="D140" s="2">
        <v>42772</v>
      </c>
      <c r="E140" s="2" t="s">
        <v>105</v>
      </c>
      <c r="F140" s="1">
        <v>22102</v>
      </c>
      <c r="G140" s="1" t="s">
        <v>68</v>
      </c>
      <c r="H140" s="1" t="s">
        <v>18</v>
      </c>
      <c r="J140" s="2" t="s">
        <v>142</v>
      </c>
      <c r="K140" s="1" t="s">
        <v>1371</v>
      </c>
      <c r="L140" s="1" t="s">
        <v>1509</v>
      </c>
      <c r="M140" s="1" t="s">
        <v>143</v>
      </c>
      <c r="N140" s="1" t="str">
        <f t="shared" si="2"/>
        <v>TALLES BALIZA</v>
      </c>
    </row>
    <row r="141" spans="1:14" x14ac:dyDescent="0.3">
      <c r="A141" s="1">
        <v>705623</v>
      </c>
      <c r="B141" s="1" t="s">
        <v>1400</v>
      </c>
      <c r="C141" s="5" t="s">
        <v>15</v>
      </c>
      <c r="D141" s="2">
        <v>45937</v>
      </c>
      <c r="E141" s="2" t="s">
        <v>152</v>
      </c>
      <c r="F141" s="1">
        <v>39201</v>
      </c>
      <c r="G141" s="1" t="s">
        <v>153</v>
      </c>
      <c r="H141" s="1" t="s">
        <v>18</v>
      </c>
      <c r="J141" s="2" t="s">
        <v>154</v>
      </c>
      <c r="K141" s="1" t="s">
        <v>50</v>
      </c>
      <c r="L141" s="1" t="s">
        <v>50</v>
      </c>
      <c r="M141" s="1" t="s">
        <v>1382</v>
      </c>
      <c r="N141" s="1" t="str">
        <f t="shared" si="2"/>
        <v>ADENILTON RODRIGUES</v>
      </c>
    </row>
    <row r="142" spans="1:14" x14ac:dyDescent="0.3">
      <c r="A142" s="1">
        <v>705091</v>
      </c>
      <c r="B142" s="1" t="s">
        <v>225</v>
      </c>
      <c r="C142" s="5" t="s">
        <v>15</v>
      </c>
      <c r="D142" s="2">
        <v>45670</v>
      </c>
      <c r="E142" s="2" t="s">
        <v>175</v>
      </c>
      <c r="F142" s="1">
        <v>31102</v>
      </c>
      <c r="G142" s="1" t="s">
        <v>135</v>
      </c>
      <c r="H142" s="1" t="s">
        <v>18</v>
      </c>
      <c r="J142" s="2" t="s">
        <v>136</v>
      </c>
      <c r="K142" s="1" t="s">
        <v>50</v>
      </c>
      <c r="L142" s="1" t="s">
        <v>50</v>
      </c>
      <c r="M142" s="1" t="s">
        <v>1382</v>
      </c>
      <c r="N142" s="1" t="str">
        <f t="shared" si="2"/>
        <v>ADENILTON RODRIGUES</v>
      </c>
    </row>
    <row r="143" spans="1:14" x14ac:dyDescent="0.3">
      <c r="A143" s="1">
        <v>702358</v>
      </c>
      <c r="B143" s="1" t="s">
        <v>226</v>
      </c>
      <c r="C143" s="5" t="s">
        <v>15</v>
      </c>
      <c r="D143" s="2">
        <v>44362</v>
      </c>
      <c r="E143" s="2" t="s">
        <v>105</v>
      </c>
      <c r="F143" s="1">
        <v>22102</v>
      </c>
      <c r="G143" s="1" t="s">
        <v>68</v>
      </c>
      <c r="H143" s="1" t="s">
        <v>18</v>
      </c>
      <c r="J143" s="2" t="s">
        <v>142</v>
      </c>
      <c r="K143" s="1" t="s">
        <v>1371</v>
      </c>
      <c r="L143" s="1" t="s">
        <v>1509</v>
      </c>
      <c r="M143" s="1" t="s">
        <v>143</v>
      </c>
      <c r="N143" s="1" t="str">
        <f t="shared" si="2"/>
        <v>TALLES BALIZA</v>
      </c>
    </row>
    <row r="144" spans="1:14" x14ac:dyDescent="0.3">
      <c r="A144" s="1">
        <v>702689</v>
      </c>
      <c r="B144" s="1" t="s">
        <v>227</v>
      </c>
      <c r="C144" s="5" t="s">
        <v>15</v>
      </c>
      <c r="D144" s="2">
        <v>44522</v>
      </c>
      <c r="E144" s="2" t="s">
        <v>31</v>
      </c>
      <c r="F144" s="1">
        <v>39304</v>
      </c>
      <c r="G144" s="1" t="s">
        <v>56</v>
      </c>
      <c r="H144" s="1" t="s">
        <v>18</v>
      </c>
      <c r="J144" s="2" t="s">
        <v>57</v>
      </c>
      <c r="K144" s="1" t="s">
        <v>1371</v>
      </c>
      <c r="L144" s="1" t="s">
        <v>1376</v>
      </c>
      <c r="M144" s="1" t="s">
        <v>1377</v>
      </c>
      <c r="N144" s="1" t="str">
        <f t="shared" si="2"/>
        <v>WARLEY RIBEIRO</v>
      </c>
    </row>
    <row r="145" spans="1:14" x14ac:dyDescent="0.3">
      <c r="A145" s="1">
        <v>703312</v>
      </c>
      <c r="B145" s="1" t="s">
        <v>228</v>
      </c>
      <c r="C145" s="5" t="s">
        <v>15</v>
      </c>
      <c r="D145" s="2">
        <v>44823</v>
      </c>
      <c r="E145" s="2" t="s">
        <v>83</v>
      </c>
      <c r="F145" s="1">
        <v>34201</v>
      </c>
      <c r="G145" s="1" t="s">
        <v>84</v>
      </c>
      <c r="H145" s="1" t="s">
        <v>18</v>
      </c>
      <c r="J145" s="2" t="s">
        <v>85</v>
      </c>
      <c r="K145" s="1" t="s">
        <v>1371</v>
      </c>
      <c r="L145" s="1" t="s">
        <v>1371</v>
      </c>
      <c r="M145" s="1" t="s">
        <v>1380</v>
      </c>
      <c r="N145" s="1" t="str">
        <f t="shared" si="2"/>
        <v xml:space="preserve">LEONARDO SANTOS </v>
      </c>
    </row>
    <row r="146" spans="1:14" x14ac:dyDescent="0.3">
      <c r="A146" s="1">
        <v>705759</v>
      </c>
      <c r="B146" s="1" t="s">
        <v>1479</v>
      </c>
      <c r="C146" s="5" t="s">
        <v>15</v>
      </c>
      <c r="D146" s="2">
        <v>45993</v>
      </c>
      <c r="E146" s="2" t="s">
        <v>31</v>
      </c>
      <c r="F146" s="1">
        <v>25102</v>
      </c>
      <c r="G146" s="1" t="s">
        <v>1153</v>
      </c>
      <c r="H146" s="1" t="s">
        <v>18</v>
      </c>
      <c r="J146" s="2" t="s">
        <v>19</v>
      </c>
      <c r="K146" s="1" t="s">
        <v>1368</v>
      </c>
      <c r="L146" s="1" t="s">
        <v>20</v>
      </c>
      <c r="N146" s="1" t="str">
        <f t="shared" si="2"/>
        <v>ALEX DIAS</v>
      </c>
    </row>
    <row r="147" spans="1:14" x14ac:dyDescent="0.3">
      <c r="A147" s="1">
        <v>704445</v>
      </c>
      <c r="B147" s="1" t="s">
        <v>229</v>
      </c>
      <c r="C147" s="5" t="s">
        <v>15</v>
      </c>
      <c r="D147" s="2">
        <v>45419</v>
      </c>
      <c r="E147" s="2" t="s">
        <v>230</v>
      </c>
      <c r="F147" s="1">
        <v>38101</v>
      </c>
      <c r="G147" s="1" t="s">
        <v>35</v>
      </c>
      <c r="H147" s="1" t="s">
        <v>18</v>
      </c>
      <c r="J147" s="2" t="s">
        <v>36</v>
      </c>
      <c r="K147" s="1" t="s">
        <v>1372</v>
      </c>
      <c r="L147" s="1" t="s">
        <v>1372</v>
      </c>
      <c r="M147" s="1" t="s">
        <v>1373</v>
      </c>
      <c r="N147" s="1" t="str">
        <f t="shared" si="2"/>
        <v>DENIS ACASSIO</v>
      </c>
    </row>
    <row r="148" spans="1:14" x14ac:dyDescent="0.3">
      <c r="A148" s="1">
        <v>701776</v>
      </c>
      <c r="B148" s="1" t="s">
        <v>231</v>
      </c>
      <c r="C148" s="5" t="s">
        <v>15</v>
      </c>
      <c r="D148" s="2">
        <v>44060</v>
      </c>
      <c r="E148" s="2" t="s">
        <v>457</v>
      </c>
      <c r="F148" s="1">
        <v>22102</v>
      </c>
      <c r="G148" s="1" t="s">
        <v>68</v>
      </c>
      <c r="H148" s="1" t="s">
        <v>18</v>
      </c>
      <c r="J148" s="2" t="s">
        <v>142</v>
      </c>
      <c r="K148" s="1" t="s">
        <v>1371</v>
      </c>
      <c r="L148" s="1" t="s">
        <v>1509</v>
      </c>
      <c r="M148" s="1" t="s">
        <v>143</v>
      </c>
      <c r="N148" s="1" t="str">
        <f t="shared" si="2"/>
        <v>TALLES BALIZA</v>
      </c>
    </row>
    <row r="149" spans="1:14" x14ac:dyDescent="0.3">
      <c r="A149" s="1">
        <v>701492</v>
      </c>
      <c r="B149" s="1" t="s">
        <v>232</v>
      </c>
      <c r="C149" s="5" t="s">
        <v>15</v>
      </c>
      <c r="D149" s="2">
        <v>43878</v>
      </c>
      <c r="E149" s="2" t="s">
        <v>138</v>
      </c>
      <c r="F149" s="1">
        <v>25102</v>
      </c>
      <c r="G149" s="1" t="s">
        <v>1153</v>
      </c>
      <c r="H149" s="1" t="s">
        <v>18</v>
      </c>
      <c r="J149" s="2" t="s">
        <v>37</v>
      </c>
      <c r="K149" s="1" t="s">
        <v>1368</v>
      </c>
      <c r="L149" s="1" t="s">
        <v>20</v>
      </c>
      <c r="N149" s="1" t="str">
        <f t="shared" si="2"/>
        <v>ALEX DIAS</v>
      </c>
    </row>
    <row r="150" spans="1:14" x14ac:dyDescent="0.3">
      <c r="A150" s="1">
        <v>704693</v>
      </c>
      <c r="B150" s="1" t="s">
        <v>234</v>
      </c>
      <c r="C150" s="5" t="s">
        <v>15</v>
      </c>
      <c r="D150" s="2">
        <v>45510</v>
      </c>
      <c r="E150" s="2" t="s">
        <v>27</v>
      </c>
      <c r="F150" s="1">
        <v>39302</v>
      </c>
      <c r="G150" s="1" t="s">
        <v>102</v>
      </c>
      <c r="H150" s="1" t="s">
        <v>18</v>
      </c>
      <c r="J150" s="2" t="s">
        <v>57</v>
      </c>
      <c r="K150" s="1" t="s">
        <v>1371</v>
      </c>
      <c r="L150" s="1" t="s">
        <v>1376</v>
      </c>
      <c r="M150" s="1" t="s">
        <v>1377</v>
      </c>
      <c r="N150" s="1" t="str">
        <f t="shared" si="2"/>
        <v>WARLEY RIBEIRO</v>
      </c>
    </row>
    <row r="151" spans="1:14" x14ac:dyDescent="0.3">
      <c r="A151" s="1">
        <v>101454</v>
      </c>
      <c r="B151" s="1" t="s">
        <v>235</v>
      </c>
      <c r="C151" s="5" t="s">
        <v>15</v>
      </c>
      <c r="D151" s="2">
        <v>42962</v>
      </c>
      <c r="E151" s="2" t="s">
        <v>199</v>
      </c>
      <c r="F151" s="1">
        <v>22102</v>
      </c>
      <c r="G151" s="1" t="s">
        <v>68</v>
      </c>
      <c r="H151" s="1" t="s">
        <v>18</v>
      </c>
      <c r="J151" s="2" t="s">
        <v>81</v>
      </c>
      <c r="K151" s="1" t="s">
        <v>1371</v>
      </c>
      <c r="L151" s="1" t="s">
        <v>1509</v>
      </c>
      <c r="M151" s="1" t="s">
        <v>1379</v>
      </c>
      <c r="N151" s="1" t="str">
        <f t="shared" si="2"/>
        <v xml:space="preserve">EDSON/MARCELO LIMA </v>
      </c>
    </row>
    <row r="152" spans="1:14" x14ac:dyDescent="0.3">
      <c r="A152" s="1">
        <v>1773</v>
      </c>
      <c r="B152" s="1" t="s">
        <v>236</v>
      </c>
      <c r="C152" s="5" t="s">
        <v>15</v>
      </c>
      <c r="D152" s="2">
        <v>40589</v>
      </c>
      <c r="E152" s="2" t="s">
        <v>1214</v>
      </c>
      <c r="F152" s="1">
        <v>34101</v>
      </c>
      <c r="G152" s="1" t="s">
        <v>43</v>
      </c>
      <c r="H152" s="1" t="s">
        <v>18</v>
      </c>
      <c r="J152" s="2" t="s">
        <v>237</v>
      </c>
      <c r="K152" s="1" t="s">
        <v>25</v>
      </c>
      <c r="L152" s="1" t="s">
        <v>1374</v>
      </c>
      <c r="M152" s="1" t="s">
        <v>1384</v>
      </c>
      <c r="N152" s="1" t="str">
        <f t="shared" si="2"/>
        <v xml:space="preserve">MARCOS VINICIUS </v>
      </c>
    </row>
    <row r="153" spans="1:14" x14ac:dyDescent="0.3">
      <c r="A153" s="1">
        <v>705186</v>
      </c>
      <c r="B153" s="1" t="s">
        <v>1155</v>
      </c>
      <c r="C153" s="5" t="s">
        <v>15</v>
      </c>
      <c r="D153" s="2">
        <v>45726</v>
      </c>
      <c r="E153" s="2" t="s">
        <v>138</v>
      </c>
      <c r="F153" s="1">
        <v>25102</v>
      </c>
      <c r="G153" s="1" t="s">
        <v>1153</v>
      </c>
      <c r="H153" s="1" t="s">
        <v>18</v>
      </c>
      <c r="J153" s="2" t="s">
        <v>19</v>
      </c>
      <c r="K153" s="1" t="s">
        <v>1368</v>
      </c>
      <c r="L153" s="1" t="s">
        <v>20</v>
      </c>
      <c r="N153" s="1" t="str">
        <f t="shared" si="2"/>
        <v>ALEX DIAS</v>
      </c>
    </row>
    <row r="154" spans="1:14" x14ac:dyDescent="0.3">
      <c r="A154" s="1">
        <v>704386</v>
      </c>
      <c r="B154" s="1" t="s">
        <v>242</v>
      </c>
      <c r="C154" s="5" t="s">
        <v>15</v>
      </c>
      <c r="D154" s="2">
        <v>45390</v>
      </c>
      <c r="E154" s="2" t="s">
        <v>77</v>
      </c>
      <c r="F154" s="1">
        <v>38107</v>
      </c>
      <c r="G154" s="1" t="s">
        <v>1503</v>
      </c>
      <c r="H154" s="1" t="s">
        <v>18</v>
      </c>
      <c r="J154" s="2" t="s">
        <v>78</v>
      </c>
      <c r="K154" s="1" t="s">
        <v>1372</v>
      </c>
      <c r="L154" s="1" t="s">
        <v>1372</v>
      </c>
      <c r="N154" s="1" t="str">
        <f t="shared" si="2"/>
        <v xml:space="preserve">LEIDJANE MARTINS </v>
      </c>
    </row>
    <row r="155" spans="1:14" x14ac:dyDescent="0.3">
      <c r="A155" s="1">
        <v>705814</v>
      </c>
      <c r="B155" s="1" t="s">
        <v>1516</v>
      </c>
      <c r="C155" s="5" t="s">
        <v>15</v>
      </c>
      <c r="D155" s="2">
        <v>46035</v>
      </c>
      <c r="E155" s="2" t="s">
        <v>31</v>
      </c>
      <c r="F155" s="1">
        <v>25102</v>
      </c>
      <c r="G155" s="1" t="s">
        <v>1153</v>
      </c>
      <c r="H155" s="1" t="s">
        <v>18</v>
      </c>
      <c r="J155" s="2" t="s">
        <v>19</v>
      </c>
      <c r="K155" s="1" t="s">
        <v>1368</v>
      </c>
      <c r="L155" s="1" t="s">
        <v>20</v>
      </c>
      <c r="N155" s="1" t="str">
        <f t="shared" si="2"/>
        <v>ALEX DIAS</v>
      </c>
    </row>
    <row r="156" spans="1:14" x14ac:dyDescent="0.3">
      <c r="A156" s="1">
        <v>705588</v>
      </c>
      <c r="B156" s="1" t="s">
        <v>1333</v>
      </c>
      <c r="C156" s="5" t="s">
        <v>15</v>
      </c>
      <c r="D156" s="2">
        <v>45881</v>
      </c>
      <c r="E156" s="2" t="s">
        <v>31</v>
      </c>
      <c r="F156" s="1">
        <v>22102</v>
      </c>
      <c r="G156" s="1" t="s">
        <v>68</v>
      </c>
      <c r="H156" s="1" t="s">
        <v>18</v>
      </c>
      <c r="J156" s="2" t="s">
        <v>81</v>
      </c>
      <c r="K156" s="1" t="s">
        <v>1371</v>
      </c>
      <c r="L156" s="1" t="s">
        <v>1509</v>
      </c>
      <c r="M156" s="1" t="s">
        <v>1379</v>
      </c>
      <c r="N156" s="1" t="str">
        <f t="shared" si="2"/>
        <v xml:space="preserve">EDSON/MARCELO LIMA </v>
      </c>
    </row>
    <row r="157" spans="1:14" x14ac:dyDescent="0.3">
      <c r="A157" s="1">
        <v>704728</v>
      </c>
      <c r="B157" s="1" t="s">
        <v>803</v>
      </c>
      <c r="C157" s="5" t="s">
        <v>15</v>
      </c>
      <c r="D157" s="2">
        <v>45518</v>
      </c>
      <c r="E157" s="2" t="s">
        <v>93</v>
      </c>
      <c r="F157" s="1">
        <v>22102</v>
      </c>
      <c r="G157" s="1" t="s">
        <v>68</v>
      </c>
      <c r="H157" s="1" t="s">
        <v>18</v>
      </c>
      <c r="J157" s="2" t="s">
        <v>94</v>
      </c>
      <c r="K157" s="1" t="s">
        <v>1371</v>
      </c>
      <c r="L157" s="1" t="s">
        <v>1378</v>
      </c>
      <c r="M157" s="1" t="s">
        <v>95</v>
      </c>
      <c r="N157" s="1" t="str">
        <f t="shared" si="2"/>
        <v>LUAN ABADIA</v>
      </c>
    </row>
    <row r="158" spans="1:14" x14ac:dyDescent="0.3">
      <c r="A158" s="1">
        <v>702996</v>
      </c>
      <c r="B158" s="1" t="s">
        <v>243</v>
      </c>
      <c r="C158" s="5" t="s">
        <v>15</v>
      </c>
      <c r="D158" s="2">
        <v>44691</v>
      </c>
      <c r="E158" s="2" t="s">
        <v>230</v>
      </c>
      <c r="F158" s="1">
        <v>38101</v>
      </c>
      <c r="G158" s="1" t="s">
        <v>35</v>
      </c>
      <c r="H158" s="1" t="s">
        <v>18</v>
      </c>
      <c r="J158" s="2" t="s">
        <v>36</v>
      </c>
      <c r="K158" s="1" t="s">
        <v>1372</v>
      </c>
      <c r="L158" s="1" t="s">
        <v>1372</v>
      </c>
      <c r="M158" s="1" t="s">
        <v>1373</v>
      </c>
      <c r="N158" s="1" t="str">
        <f t="shared" si="2"/>
        <v>DENIS ACASSIO</v>
      </c>
    </row>
    <row r="159" spans="1:14" x14ac:dyDescent="0.3">
      <c r="A159" s="1">
        <v>705215</v>
      </c>
      <c r="B159" s="1" t="s">
        <v>1156</v>
      </c>
      <c r="C159" s="5" t="s">
        <v>15</v>
      </c>
      <c r="D159" s="2">
        <v>45734</v>
      </c>
      <c r="E159" s="2" t="s">
        <v>31</v>
      </c>
      <c r="F159" s="1">
        <v>25102</v>
      </c>
      <c r="G159" s="1" t="s">
        <v>1153</v>
      </c>
      <c r="H159" s="1" t="s">
        <v>18</v>
      </c>
      <c r="J159" s="2" t="s">
        <v>19</v>
      </c>
      <c r="K159" s="1" t="s">
        <v>1368</v>
      </c>
      <c r="L159" s="1" t="s">
        <v>20</v>
      </c>
      <c r="N159" s="1" t="str">
        <f t="shared" si="2"/>
        <v>ALEX DIAS</v>
      </c>
    </row>
    <row r="160" spans="1:14" x14ac:dyDescent="0.3">
      <c r="A160" s="1">
        <v>702285</v>
      </c>
      <c r="B160" s="1" t="s">
        <v>244</v>
      </c>
      <c r="C160" s="5" t="s">
        <v>15</v>
      </c>
      <c r="D160" s="2">
        <v>44334</v>
      </c>
      <c r="E160" s="2" t="s">
        <v>245</v>
      </c>
      <c r="F160" s="1">
        <v>37101</v>
      </c>
      <c r="G160" s="1" t="s">
        <v>214</v>
      </c>
      <c r="H160" s="1" t="s">
        <v>18</v>
      </c>
      <c r="J160" s="2" t="s">
        <v>215</v>
      </c>
      <c r="K160" s="1" t="s">
        <v>216</v>
      </c>
      <c r="L160" s="1" t="s">
        <v>216</v>
      </c>
      <c r="N160" s="1" t="str">
        <f t="shared" si="2"/>
        <v>CARSON NEVES</v>
      </c>
    </row>
    <row r="161" spans="1:14" x14ac:dyDescent="0.3">
      <c r="A161" s="1">
        <v>703619</v>
      </c>
      <c r="B161" s="1" t="s">
        <v>246</v>
      </c>
      <c r="C161" s="5" t="s">
        <v>15</v>
      </c>
      <c r="D161" s="2">
        <v>44991</v>
      </c>
      <c r="E161" s="2" t="s">
        <v>217</v>
      </c>
      <c r="F161" s="1">
        <v>39302</v>
      </c>
      <c r="G161" s="1" t="s">
        <v>102</v>
      </c>
      <c r="H161" s="1" t="s">
        <v>18</v>
      </c>
      <c r="J161" s="2" t="s">
        <v>57</v>
      </c>
      <c r="K161" s="1" t="s">
        <v>1371</v>
      </c>
      <c r="L161" s="1" t="s">
        <v>1376</v>
      </c>
      <c r="M161" s="1" t="s">
        <v>1377</v>
      </c>
      <c r="N161" s="1" t="str">
        <f t="shared" si="2"/>
        <v>WARLEY RIBEIRO</v>
      </c>
    </row>
    <row r="162" spans="1:14" x14ac:dyDescent="0.3">
      <c r="A162" s="1">
        <v>705784</v>
      </c>
      <c r="B162" s="1" t="s">
        <v>1517</v>
      </c>
      <c r="C162" s="5" t="s">
        <v>15</v>
      </c>
      <c r="D162" s="2">
        <v>46035</v>
      </c>
      <c r="E162" s="2" t="s">
        <v>31</v>
      </c>
      <c r="F162" s="1">
        <v>25201</v>
      </c>
      <c r="G162" s="1" t="s">
        <v>89</v>
      </c>
      <c r="H162" s="1" t="s">
        <v>18</v>
      </c>
      <c r="J162" s="2" t="s">
        <v>19</v>
      </c>
      <c r="K162" s="1" t="s">
        <v>1368</v>
      </c>
      <c r="L162" s="1" t="s">
        <v>20</v>
      </c>
      <c r="N162" s="1" t="str">
        <f t="shared" si="2"/>
        <v>ALEX DIAS</v>
      </c>
    </row>
    <row r="163" spans="1:14" x14ac:dyDescent="0.3">
      <c r="A163" s="1">
        <v>705750</v>
      </c>
      <c r="B163" s="1" t="s">
        <v>806</v>
      </c>
      <c r="C163" s="5" t="s">
        <v>15</v>
      </c>
      <c r="D163" s="2">
        <v>45993</v>
      </c>
      <c r="E163" s="2" t="s">
        <v>31</v>
      </c>
      <c r="F163" s="1">
        <v>25201</v>
      </c>
      <c r="G163" s="1" t="s">
        <v>89</v>
      </c>
      <c r="H163" s="1" t="s">
        <v>18</v>
      </c>
      <c r="J163" s="2" t="s">
        <v>19</v>
      </c>
      <c r="K163" s="1" t="s">
        <v>1368</v>
      </c>
      <c r="L163" s="1" t="s">
        <v>20</v>
      </c>
      <c r="N163" s="1" t="str">
        <f t="shared" si="2"/>
        <v>ALEX DIAS</v>
      </c>
    </row>
    <row r="164" spans="1:14" x14ac:dyDescent="0.3">
      <c r="A164" s="1">
        <v>705708</v>
      </c>
      <c r="B164" s="1" t="s">
        <v>807</v>
      </c>
      <c r="C164" s="5" t="s">
        <v>15</v>
      </c>
      <c r="D164" s="2">
        <v>45972</v>
      </c>
      <c r="E164" s="2" t="s">
        <v>31</v>
      </c>
      <c r="F164" s="1">
        <v>25201</v>
      </c>
      <c r="G164" s="1" t="s">
        <v>89</v>
      </c>
      <c r="H164" s="1" t="s">
        <v>18</v>
      </c>
      <c r="J164" s="2" t="s">
        <v>19</v>
      </c>
      <c r="K164" s="1" t="s">
        <v>1368</v>
      </c>
      <c r="L164" s="1" t="s">
        <v>20</v>
      </c>
      <c r="N164" s="1" t="str">
        <f t="shared" si="2"/>
        <v>ALEX DIAS</v>
      </c>
    </row>
    <row r="165" spans="1:14" x14ac:dyDescent="0.3">
      <c r="A165" s="1">
        <v>105406</v>
      </c>
      <c r="B165" s="1" t="s">
        <v>247</v>
      </c>
      <c r="C165" s="5" t="s">
        <v>15</v>
      </c>
      <c r="D165" s="2">
        <v>42842</v>
      </c>
      <c r="E165" s="2" t="s">
        <v>141</v>
      </c>
      <c r="F165" s="1">
        <v>34101</v>
      </c>
      <c r="G165" s="1" t="s">
        <v>43</v>
      </c>
      <c r="H165" s="1" t="s">
        <v>18</v>
      </c>
      <c r="J165" s="2" t="s">
        <v>65</v>
      </c>
      <c r="K165" s="1" t="s">
        <v>25</v>
      </c>
      <c r="L165" s="1" t="s">
        <v>1374</v>
      </c>
      <c r="M165" s="1" t="s">
        <v>1375</v>
      </c>
      <c r="N165" s="1" t="str">
        <f t="shared" si="2"/>
        <v>ANDRÉ CUBA</v>
      </c>
    </row>
    <row r="166" spans="1:14" x14ac:dyDescent="0.3">
      <c r="A166" s="1">
        <v>705728</v>
      </c>
      <c r="B166" s="1" t="s">
        <v>1446</v>
      </c>
      <c r="C166" s="5" t="s">
        <v>15</v>
      </c>
      <c r="D166" s="2">
        <v>45972</v>
      </c>
      <c r="E166" s="2" t="s">
        <v>31</v>
      </c>
      <c r="F166" s="1">
        <v>25102</v>
      </c>
      <c r="G166" s="1" t="s">
        <v>1153</v>
      </c>
      <c r="H166" s="1" t="s">
        <v>18</v>
      </c>
      <c r="J166" s="2" t="s">
        <v>19</v>
      </c>
      <c r="K166" s="1" t="s">
        <v>1368</v>
      </c>
      <c r="L166" s="1" t="s">
        <v>20</v>
      </c>
      <c r="N166" s="1" t="str">
        <f t="shared" si="2"/>
        <v>ALEX DIAS</v>
      </c>
    </row>
    <row r="167" spans="1:14" x14ac:dyDescent="0.3">
      <c r="A167" s="1">
        <v>100221</v>
      </c>
      <c r="B167" s="1" t="s">
        <v>248</v>
      </c>
      <c r="C167" s="5" t="s">
        <v>15</v>
      </c>
      <c r="D167" s="2">
        <v>41557</v>
      </c>
      <c r="E167" s="2" t="s">
        <v>245</v>
      </c>
      <c r="F167" s="1">
        <v>37101</v>
      </c>
      <c r="G167" s="1" t="s">
        <v>214</v>
      </c>
      <c r="H167" s="1" t="s">
        <v>18</v>
      </c>
      <c r="J167" s="2" t="s">
        <v>215</v>
      </c>
      <c r="K167" s="1" t="s">
        <v>216</v>
      </c>
      <c r="L167" s="1" t="s">
        <v>216</v>
      </c>
      <c r="N167" s="1" t="str">
        <f t="shared" si="2"/>
        <v>CARSON NEVES</v>
      </c>
    </row>
    <row r="168" spans="1:14" x14ac:dyDescent="0.3">
      <c r="A168" s="1">
        <v>705218</v>
      </c>
      <c r="B168" s="1" t="s">
        <v>1157</v>
      </c>
      <c r="C168" s="5" t="s">
        <v>15</v>
      </c>
      <c r="D168" s="2">
        <v>45734</v>
      </c>
      <c r="E168" s="2" t="s">
        <v>31</v>
      </c>
      <c r="F168" s="1">
        <v>34201</v>
      </c>
      <c r="G168" s="1" t="s">
        <v>84</v>
      </c>
      <c r="H168" s="1" t="s">
        <v>18</v>
      </c>
      <c r="J168" s="2" t="s">
        <v>85</v>
      </c>
      <c r="K168" s="1" t="s">
        <v>1371</v>
      </c>
      <c r="L168" s="1" t="s">
        <v>1371</v>
      </c>
      <c r="M168" s="1" t="s">
        <v>1380</v>
      </c>
      <c r="N168" s="1" t="str">
        <f t="shared" si="2"/>
        <v xml:space="preserve">LEONARDO SANTOS </v>
      </c>
    </row>
    <row r="169" spans="1:14" x14ac:dyDescent="0.3">
      <c r="A169" s="1">
        <v>705703</v>
      </c>
      <c r="B169" s="1" t="s">
        <v>1447</v>
      </c>
      <c r="C169" s="5" t="s">
        <v>15</v>
      </c>
      <c r="D169" s="2">
        <v>45972</v>
      </c>
      <c r="E169" s="2" t="s">
        <v>31</v>
      </c>
      <c r="F169" s="1">
        <v>25102</v>
      </c>
      <c r="G169" s="1" t="s">
        <v>1153</v>
      </c>
      <c r="H169" s="1" t="s">
        <v>18</v>
      </c>
      <c r="J169" s="2" t="s">
        <v>19</v>
      </c>
      <c r="K169" s="1" t="s">
        <v>1368</v>
      </c>
      <c r="L169" s="1" t="s">
        <v>20</v>
      </c>
      <c r="N169" s="1" t="str">
        <f t="shared" si="2"/>
        <v>ALEX DIAS</v>
      </c>
    </row>
    <row r="170" spans="1:14" x14ac:dyDescent="0.3">
      <c r="A170" s="1">
        <v>705227</v>
      </c>
      <c r="B170" s="1" t="s">
        <v>1158</v>
      </c>
      <c r="C170" s="5" t="s">
        <v>15</v>
      </c>
      <c r="D170" s="2">
        <v>45734</v>
      </c>
      <c r="E170" s="2" t="s">
        <v>31</v>
      </c>
      <c r="F170" s="1">
        <v>22102</v>
      </c>
      <c r="G170" s="1" t="s">
        <v>68</v>
      </c>
      <c r="H170" s="1" t="s">
        <v>18</v>
      </c>
      <c r="J170" s="2" t="s">
        <v>167</v>
      </c>
      <c r="K170" s="1" t="s">
        <v>1371</v>
      </c>
      <c r="L170" s="1" t="s">
        <v>1509</v>
      </c>
      <c r="M170" s="1" t="s">
        <v>1383</v>
      </c>
      <c r="N170" s="1" t="str">
        <f t="shared" si="2"/>
        <v>WANDRES/FABIANO</v>
      </c>
    </row>
    <row r="171" spans="1:14" x14ac:dyDescent="0.3">
      <c r="A171" s="1">
        <v>705729</v>
      </c>
      <c r="B171" s="1" t="s">
        <v>1448</v>
      </c>
      <c r="C171" s="5" t="s">
        <v>15</v>
      </c>
      <c r="D171" s="2">
        <v>45972</v>
      </c>
      <c r="E171" s="2" t="s">
        <v>31</v>
      </c>
      <c r="F171" s="1">
        <v>25102</v>
      </c>
      <c r="G171" s="1" t="s">
        <v>1153</v>
      </c>
      <c r="H171" s="1" t="s">
        <v>18</v>
      </c>
      <c r="J171" s="2" t="s">
        <v>19</v>
      </c>
      <c r="K171" s="1" t="s">
        <v>1368</v>
      </c>
      <c r="L171" s="1" t="s">
        <v>20</v>
      </c>
      <c r="N171" s="1" t="str">
        <f t="shared" si="2"/>
        <v>ALEX DIAS</v>
      </c>
    </row>
    <row r="172" spans="1:14" x14ac:dyDescent="0.3">
      <c r="A172" s="1">
        <v>701487</v>
      </c>
      <c r="B172" s="1" t="s">
        <v>250</v>
      </c>
      <c r="C172" s="5" t="s">
        <v>15</v>
      </c>
      <c r="D172" s="2">
        <v>43873</v>
      </c>
      <c r="E172" s="2" t="s">
        <v>251</v>
      </c>
      <c r="F172" s="1">
        <v>39302</v>
      </c>
      <c r="G172" s="1" t="s">
        <v>102</v>
      </c>
      <c r="H172" s="1" t="s">
        <v>18</v>
      </c>
      <c r="J172" s="2" t="s">
        <v>57</v>
      </c>
      <c r="K172" s="1" t="s">
        <v>1371</v>
      </c>
      <c r="L172" s="1" t="s">
        <v>1376</v>
      </c>
      <c r="M172" s="1" t="s">
        <v>1377</v>
      </c>
      <c r="N172" s="1" t="str">
        <f t="shared" si="2"/>
        <v>WARLEY RIBEIRO</v>
      </c>
    </row>
    <row r="173" spans="1:14" x14ac:dyDescent="0.3">
      <c r="A173" s="1">
        <v>705765</v>
      </c>
      <c r="B173" s="1" t="s">
        <v>1480</v>
      </c>
      <c r="C173" s="5" t="s">
        <v>15</v>
      </c>
      <c r="D173" s="2">
        <v>45993</v>
      </c>
      <c r="E173" s="2" t="s">
        <v>31</v>
      </c>
      <c r="F173" s="1">
        <v>25102</v>
      </c>
      <c r="G173" s="1" t="s">
        <v>1153</v>
      </c>
      <c r="H173" s="1" t="s">
        <v>18</v>
      </c>
      <c r="J173" s="2" t="s">
        <v>19</v>
      </c>
      <c r="K173" s="1" t="s">
        <v>1368</v>
      </c>
      <c r="L173" s="1" t="s">
        <v>20</v>
      </c>
      <c r="N173" s="1" t="str">
        <f t="shared" si="2"/>
        <v>ALEX DIAS</v>
      </c>
    </row>
    <row r="174" spans="1:14" x14ac:dyDescent="0.3">
      <c r="A174" s="1">
        <v>705393</v>
      </c>
      <c r="B174" s="1" t="s">
        <v>1247</v>
      </c>
      <c r="C174" s="5" t="s">
        <v>15</v>
      </c>
      <c r="D174" s="2">
        <v>45791</v>
      </c>
      <c r="E174" s="2" t="s">
        <v>31</v>
      </c>
      <c r="F174" s="1">
        <v>22102</v>
      </c>
      <c r="G174" s="1" t="s">
        <v>68</v>
      </c>
      <c r="H174" s="1" t="s">
        <v>18</v>
      </c>
      <c r="J174" s="2" t="s">
        <v>81</v>
      </c>
      <c r="K174" s="1" t="s">
        <v>1371</v>
      </c>
      <c r="L174" s="1" t="s">
        <v>1509</v>
      </c>
      <c r="M174" s="1" t="s">
        <v>1379</v>
      </c>
      <c r="N174" s="1" t="str">
        <f t="shared" si="2"/>
        <v xml:space="preserve">EDSON/MARCELO LIMA </v>
      </c>
    </row>
    <row r="175" spans="1:14" x14ac:dyDescent="0.3">
      <c r="A175" s="1">
        <v>701204</v>
      </c>
      <c r="B175" s="1" t="s">
        <v>817</v>
      </c>
      <c r="C175" s="5" t="s">
        <v>15</v>
      </c>
      <c r="D175" s="2">
        <v>43682</v>
      </c>
      <c r="E175" s="2" t="s">
        <v>80</v>
      </c>
      <c r="F175" s="1">
        <v>22102</v>
      </c>
      <c r="G175" s="1" t="s">
        <v>68</v>
      </c>
      <c r="H175" s="1" t="s">
        <v>18</v>
      </c>
      <c r="J175" s="2" t="s">
        <v>81</v>
      </c>
      <c r="K175" s="1" t="s">
        <v>1371</v>
      </c>
      <c r="L175" s="1" t="s">
        <v>1509</v>
      </c>
      <c r="M175" s="1" t="s">
        <v>1379</v>
      </c>
      <c r="N175" s="1" t="str">
        <f t="shared" si="2"/>
        <v xml:space="preserve">EDSON/MARCELO LIMA </v>
      </c>
    </row>
    <row r="176" spans="1:14" x14ac:dyDescent="0.3">
      <c r="A176" s="1">
        <v>704117</v>
      </c>
      <c r="B176" s="1" t="s">
        <v>252</v>
      </c>
      <c r="C176" s="5" t="s">
        <v>15</v>
      </c>
      <c r="D176" s="2">
        <v>45238</v>
      </c>
      <c r="E176" s="2" t="s">
        <v>31</v>
      </c>
      <c r="F176" s="1">
        <v>51219</v>
      </c>
      <c r="G176" s="1" t="s">
        <v>61</v>
      </c>
      <c r="H176" s="1" t="s">
        <v>18</v>
      </c>
      <c r="J176" s="2" t="s">
        <v>19</v>
      </c>
      <c r="K176" s="1" t="s">
        <v>1368</v>
      </c>
      <c r="L176" s="1" t="s">
        <v>20</v>
      </c>
      <c r="N176" s="1" t="str">
        <f t="shared" si="2"/>
        <v>ALEX DIAS</v>
      </c>
    </row>
    <row r="177" spans="1:14" x14ac:dyDescent="0.3">
      <c r="A177" s="1">
        <v>105584</v>
      </c>
      <c r="B177" s="1" t="s">
        <v>253</v>
      </c>
      <c r="C177" s="5" t="s">
        <v>15</v>
      </c>
      <c r="D177" s="2">
        <v>42926</v>
      </c>
      <c r="E177" s="2" t="s">
        <v>97</v>
      </c>
      <c r="F177" s="1">
        <v>32101</v>
      </c>
      <c r="G177" s="1" t="s">
        <v>23</v>
      </c>
      <c r="H177" s="1" t="s">
        <v>18</v>
      </c>
      <c r="J177" s="2" t="s">
        <v>24</v>
      </c>
      <c r="K177" s="1" t="s">
        <v>25</v>
      </c>
      <c r="L177" s="1" t="s">
        <v>1369</v>
      </c>
      <c r="M177" s="1" t="s">
        <v>1370</v>
      </c>
      <c r="N177" s="1" t="str">
        <f t="shared" si="2"/>
        <v>JUNIO COSTA</v>
      </c>
    </row>
    <row r="178" spans="1:14" x14ac:dyDescent="0.3">
      <c r="A178" s="1">
        <v>704119</v>
      </c>
      <c r="B178" s="1" t="s">
        <v>254</v>
      </c>
      <c r="C178" s="5" t="s">
        <v>15</v>
      </c>
      <c r="D178" s="2">
        <v>45238</v>
      </c>
      <c r="E178" s="2" t="s">
        <v>1346</v>
      </c>
      <c r="F178" s="1">
        <v>39201</v>
      </c>
      <c r="G178" s="1" t="s">
        <v>153</v>
      </c>
      <c r="H178" s="1" t="s">
        <v>18</v>
      </c>
      <c r="J178" s="2" t="s">
        <v>154</v>
      </c>
      <c r="K178" s="1" t="s">
        <v>50</v>
      </c>
      <c r="L178" s="1" t="s">
        <v>50</v>
      </c>
      <c r="M178" s="1" t="s">
        <v>1382</v>
      </c>
      <c r="N178" s="1" t="str">
        <f t="shared" si="2"/>
        <v>ADENILTON RODRIGUES</v>
      </c>
    </row>
    <row r="179" spans="1:14" x14ac:dyDescent="0.3">
      <c r="A179" s="1">
        <v>705047</v>
      </c>
      <c r="B179" s="1" t="s">
        <v>819</v>
      </c>
      <c r="C179" s="5" t="s">
        <v>15</v>
      </c>
      <c r="D179" s="2">
        <v>45644</v>
      </c>
      <c r="E179" s="2" t="s">
        <v>31</v>
      </c>
      <c r="F179" s="1">
        <v>22102</v>
      </c>
      <c r="G179" s="1" t="s">
        <v>68</v>
      </c>
      <c r="H179" s="1" t="s">
        <v>18</v>
      </c>
      <c r="J179" s="2" t="s">
        <v>81</v>
      </c>
      <c r="K179" s="1" t="s">
        <v>1371</v>
      </c>
      <c r="L179" s="1" t="s">
        <v>1509</v>
      </c>
      <c r="M179" s="1" t="s">
        <v>1379</v>
      </c>
      <c r="N179" s="1" t="str">
        <f t="shared" si="2"/>
        <v xml:space="preserve">EDSON/MARCELO LIMA </v>
      </c>
    </row>
    <row r="180" spans="1:14" x14ac:dyDescent="0.3">
      <c r="A180" s="1">
        <v>702601</v>
      </c>
      <c r="B180" s="1" t="s">
        <v>259</v>
      </c>
      <c r="C180" s="5" t="s">
        <v>15</v>
      </c>
      <c r="D180" s="2">
        <v>44482</v>
      </c>
      <c r="E180" s="2" t="s">
        <v>260</v>
      </c>
      <c r="F180" s="1">
        <v>22102</v>
      </c>
      <c r="G180" s="1" t="s">
        <v>68</v>
      </c>
      <c r="H180" s="1" t="s">
        <v>18</v>
      </c>
      <c r="J180" s="2" t="s">
        <v>167</v>
      </c>
      <c r="K180" s="1" t="s">
        <v>1371</v>
      </c>
      <c r="L180" s="1" t="s">
        <v>1509</v>
      </c>
      <c r="M180" s="1" t="s">
        <v>1383</v>
      </c>
      <c r="N180" s="1" t="str">
        <f t="shared" si="2"/>
        <v>WANDRES/FABIANO</v>
      </c>
    </row>
    <row r="181" spans="1:14" x14ac:dyDescent="0.3">
      <c r="A181" s="1">
        <v>705635</v>
      </c>
      <c r="B181" s="1" t="s">
        <v>1401</v>
      </c>
      <c r="C181" s="5" t="s">
        <v>15</v>
      </c>
      <c r="D181" s="2">
        <v>45937</v>
      </c>
      <c r="E181" s="2" t="s">
        <v>31</v>
      </c>
      <c r="F181" s="1">
        <v>38101</v>
      </c>
      <c r="G181" s="1" t="s">
        <v>35</v>
      </c>
      <c r="H181" s="1" t="s">
        <v>18</v>
      </c>
      <c r="J181" s="2" t="s">
        <v>36</v>
      </c>
      <c r="K181" s="1" t="s">
        <v>1372</v>
      </c>
      <c r="L181" s="1" t="s">
        <v>1372</v>
      </c>
      <c r="M181" s="1" t="s">
        <v>1373</v>
      </c>
      <c r="N181" s="1" t="str">
        <f t="shared" si="2"/>
        <v>DENIS ACASSIO</v>
      </c>
    </row>
    <row r="182" spans="1:14" x14ac:dyDescent="0.3">
      <c r="A182" s="1">
        <v>702661</v>
      </c>
      <c r="B182" s="1" t="s">
        <v>261</v>
      </c>
      <c r="C182" s="5" t="s">
        <v>15</v>
      </c>
      <c r="D182" s="2">
        <v>44509</v>
      </c>
      <c r="E182" s="2" t="s">
        <v>105</v>
      </c>
      <c r="F182" s="1">
        <v>22102</v>
      </c>
      <c r="G182" s="1" t="s">
        <v>68</v>
      </c>
      <c r="H182" s="1" t="s">
        <v>18</v>
      </c>
      <c r="J182" s="2" t="s">
        <v>167</v>
      </c>
      <c r="K182" s="1" t="s">
        <v>1371</v>
      </c>
      <c r="L182" s="1" t="s">
        <v>1509</v>
      </c>
      <c r="M182" s="1" t="s">
        <v>1383</v>
      </c>
      <c r="N182" s="1" t="str">
        <f t="shared" si="2"/>
        <v>WANDRES/FABIANO</v>
      </c>
    </row>
    <row r="183" spans="1:14" x14ac:dyDescent="0.3">
      <c r="A183" s="1">
        <v>700671</v>
      </c>
      <c r="B183" s="1" t="s">
        <v>262</v>
      </c>
      <c r="C183" s="5" t="s">
        <v>15</v>
      </c>
      <c r="D183" s="2">
        <v>43381</v>
      </c>
      <c r="E183" s="2" t="s">
        <v>80</v>
      </c>
      <c r="F183" s="1">
        <v>22102</v>
      </c>
      <c r="G183" s="1" t="s">
        <v>68</v>
      </c>
      <c r="H183" s="1" t="s">
        <v>18</v>
      </c>
      <c r="J183" s="2" t="s">
        <v>81</v>
      </c>
      <c r="K183" s="1" t="s">
        <v>1371</v>
      </c>
      <c r="L183" s="1" t="s">
        <v>1509</v>
      </c>
      <c r="M183" s="1" t="s">
        <v>1379</v>
      </c>
      <c r="N183" s="1" t="str">
        <f t="shared" si="2"/>
        <v xml:space="preserve">EDSON/MARCELO LIMA </v>
      </c>
    </row>
    <row r="184" spans="1:14" x14ac:dyDescent="0.3">
      <c r="A184" s="1">
        <v>705140</v>
      </c>
      <c r="B184" s="1" t="s">
        <v>1141</v>
      </c>
      <c r="C184" s="5" t="s">
        <v>15</v>
      </c>
      <c r="D184" s="2">
        <v>45698</v>
      </c>
      <c r="E184" s="2" t="s">
        <v>31</v>
      </c>
      <c r="F184" s="1">
        <v>52104</v>
      </c>
      <c r="G184" s="1" t="s">
        <v>17</v>
      </c>
      <c r="H184" s="1" t="s">
        <v>18</v>
      </c>
      <c r="J184" s="2" t="s">
        <v>19</v>
      </c>
      <c r="K184" s="1" t="s">
        <v>1368</v>
      </c>
      <c r="L184" s="1" t="s">
        <v>20</v>
      </c>
      <c r="N184" s="1" t="str">
        <f t="shared" si="2"/>
        <v>ALEX DIAS</v>
      </c>
    </row>
    <row r="185" spans="1:14" x14ac:dyDescent="0.3">
      <c r="A185" s="1">
        <v>705823</v>
      </c>
      <c r="B185" s="1" t="s">
        <v>1518</v>
      </c>
      <c r="C185" s="5" t="s">
        <v>15</v>
      </c>
      <c r="D185" s="2">
        <v>46034</v>
      </c>
      <c r="E185" s="2" t="s">
        <v>433</v>
      </c>
      <c r="F185" s="1">
        <v>38107</v>
      </c>
      <c r="G185" s="1" t="s">
        <v>1503</v>
      </c>
      <c r="H185" s="1" t="s">
        <v>18</v>
      </c>
      <c r="J185" s="2" t="s">
        <v>78</v>
      </c>
      <c r="K185" s="1" t="s">
        <v>1372</v>
      </c>
      <c r="L185" s="1" t="s">
        <v>1372</v>
      </c>
      <c r="N185" s="1" t="str">
        <f t="shared" si="2"/>
        <v xml:space="preserve">LEIDJANE MARTINS </v>
      </c>
    </row>
    <row r="186" spans="1:14" x14ac:dyDescent="0.3">
      <c r="A186" s="1">
        <v>702331</v>
      </c>
      <c r="B186" s="1" t="s">
        <v>263</v>
      </c>
      <c r="C186" s="5" t="s">
        <v>15</v>
      </c>
      <c r="D186" s="2">
        <v>44355</v>
      </c>
      <c r="E186" s="2" t="s">
        <v>105</v>
      </c>
      <c r="F186" s="1">
        <v>22102</v>
      </c>
      <c r="G186" s="1" t="s">
        <v>68</v>
      </c>
      <c r="H186" s="1" t="s">
        <v>18</v>
      </c>
      <c r="J186" s="2" t="s">
        <v>142</v>
      </c>
      <c r="K186" s="1" t="s">
        <v>1371</v>
      </c>
      <c r="L186" s="1" t="s">
        <v>1509</v>
      </c>
      <c r="M186" s="1" t="s">
        <v>143</v>
      </c>
      <c r="N186" s="1" t="str">
        <f t="shared" si="2"/>
        <v>TALLES BALIZA</v>
      </c>
    </row>
    <row r="187" spans="1:14" x14ac:dyDescent="0.3">
      <c r="A187" s="1">
        <v>704146</v>
      </c>
      <c r="B187" s="1" t="s">
        <v>264</v>
      </c>
      <c r="C187" s="5" t="s">
        <v>15</v>
      </c>
      <c r="D187" s="2">
        <v>45264</v>
      </c>
      <c r="E187" s="2" t="s">
        <v>138</v>
      </c>
      <c r="F187" s="1">
        <v>22102</v>
      </c>
      <c r="G187" s="1" t="s">
        <v>68</v>
      </c>
      <c r="H187" s="1" t="s">
        <v>18</v>
      </c>
      <c r="J187" s="2" t="s">
        <v>81</v>
      </c>
      <c r="K187" s="1" t="s">
        <v>1371</v>
      </c>
      <c r="L187" s="1" t="s">
        <v>1509</v>
      </c>
      <c r="M187" s="1" t="s">
        <v>1379</v>
      </c>
      <c r="N187" s="1" t="str">
        <f t="shared" si="2"/>
        <v xml:space="preserve">EDSON/MARCELO LIMA </v>
      </c>
    </row>
    <row r="188" spans="1:14" x14ac:dyDescent="0.3">
      <c r="A188" s="1">
        <v>705287</v>
      </c>
      <c r="B188" s="1" t="s">
        <v>1197</v>
      </c>
      <c r="C188" s="5" t="s">
        <v>15</v>
      </c>
      <c r="D188" s="2">
        <v>45762</v>
      </c>
      <c r="E188" s="2" t="s">
        <v>31</v>
      </c>
      <c r="F188" s="1">
        <v>22102</v>
      </c>
      <c r="G188" s="1" t="s">
        <v>68</v>
      </c>
      <c r="H188" s="1" t="s">
        <v>18</v>
      </c>
      <c r="J188" s="2" t="s">
        <v>81</v>
      </c>
      <c r="K188" s="1" t="s">
        <v>1371</v>
      </c>
      <c r="L188" s="1" t="s">
        <v>1509</v>
      </c>
      <c r="M188" s="1" t="s">
        <v>1379</v>
      </c>
      <c r="N188" s="1" t="str">
        <f t="shared" si="2"/>
        <v xml:space="preserve">EDSON/MARCELO LIMA </v>
      </c>
    </row>
    <row r="189" spans="1:14" x14ac:dyDescent="0.3">
      <c r="A189" s="1">
        <v>704143</v>
      </c>
      <c r="B189" s="1" t="s">
        <v>265</v>
      </c>
      <c r="C189" s="5" t="s">
        <v>15</v>
      </c>
      <c r="D189" s="2">
        <v>45264</v>
      </c>
      <c r="E189" s="2" t="s">
        <v>31</v>
      </c>
      <c r="F189" s="1">
        <v>22102</v>
      </c>
      <c r="G189" s="1" t="s">
        <v>68</v>
      </c>
      <c r="H189" s="1" t="s">
        <v>18</v>
      </c>
      <c r="J189" s="2" t="s">
        <v>81</v>
      </c>
      <c r="K189" s="1" t="s">
        <v>1371</v>
      </c>
      <c r="L189" s="1" t="s">
        <v>1509</v>
      </c>
      <c r="M189" s="1" t="s">
        <v>1379</v>
      </c>
      <c r="N189" s="1" t="str">
        <f t="shared" si="2"/>
        <v xml:space="preserve">EDSON/MARCELO LIMA </v>
      </c>
    </row>
    <row r="190" spans="1:14" x14ac:dyDescent="0.3">
      <c r="A190" s="1">
        <v>702700</v>
      </c>
      <c r="B190" s="1" t="s">
        <v>266</v>
      </c>
      <c r="C190" s="5" t="s">
        <v>15</v>
      </c>
      <c r="D190" s="2">
        <v>44572</v>
      </c>
      <c r="E190" s="2" t="s">
        <v>60</v>
      </c>
      <c r="F190" s="1">
        <v>22102</v>
      </c>
      <c r="G190" s="1" t="s">
        <v>68</v>
      </c>
      <c r="H190" s="1" t="s">
        <v>18</v>
      </c>
      <c r="J190" s="2" t="s">
        <v>69</v>
      </c>
      <c r="K190" s="1" t="s">
        <v>1371</v>
      </c>
      <c r="L190" s="1" t="s">
        <v>1378</v>
      </c>
      <c r="N190" s="1" t="str">
        <f t="shared" si="2"/>
        <v xml:space="preserve">JOÃO KOMURA </v>
      </c>
    </row>
    <row r="191" spans="1:14" x14ac:dyDescent="0.3">
      <c r="A191" s="1">
        <v>705156</v>
      </c>
      <c r="B191" s="1" t="s">
        <v>1159</v>
      </c>
      <c r="C191" s="5" t="s">
        <v>15</v>
      </c>
      <c r="D191" s="2">
        <v>45720</v>
      </c>
      <c r="E191" s="2" t="s">
        <v>91</v>
      </c>
      <c r="F191" s="1">
        <v>34201</v>
      </c>
      <c r="G191" s="1" t="s">
        <v>84</v>
      </c>
      <c r="H191" s="1" t="s">
        <v>18</v>
      </c>
      <c r="J191" s="2" t="s">
        <v>85</v>
      </c>
      <c r="K191" s="1" t="s">
        <v>1371</v>
      </c>
      <c r="L191" s="1" t="s">
        <v>1371</v>
      </c>
      <c r="M191" s="1" t="s">
        <v>1380</v>
      </c>
      <c r="N191" s="1" t="str">
        <f t="shared" si="2"/>
        <v xml:space="preserve">LEONARDO SANTOS </v>
      </c>
    </row>
    <row r="192" spans="1:14" x14ac:dyDescent="0.3">
      <c r="A192" s="1">
        <v>703110</v>
      </c>
      <c r="B192" s="1" t="s">
        <v>267</v>
      </c>
      <c r="C192" s="5" t="s">
        <v>15</v>
      </c>
      <c r="D192" s="2">
        <v>44713</v>
      </c>
      <c r="E192" s="2" t="s">
        <v>1215</v>
      </c>
      <c r="F192" s="1">
        <v>33101</v>
      </c>
      <c r="G192" s="1" t="s">
        <v>186</v>
      </c>
      <c r="H192" s="1" t="s">
        <v>18</v>
      </c>
      <c r="J192" s="2" t="s">
        <v>44</v>
      </c>
      <c r="K192" s="1" t="s">
        <v>25</v>
      </c>
      <c r="L192" s="1" t="s">
        <v>1374</v>
      </c>
      <c r="M192" s="1" t="s">
        <v>1385</v>
      </c>
      <c r="N192" s="1" t="str">
        <f t="shared" si="2"/>
        <v>TALLES RYAN</v>
      </c>
    </row>
    <row r="193" spans="1:14" x14ac:dyDescent="0.3">
      <c r="A193" s="1">
        <v>705540</v>
      </c>
      <c r="B193" s="1" t="s">
        <v>1294</v>
      </c>
      <c r="C193" s="5" t="s">
        <v>15</v>
      </c>
      <c r="D193" s="2">
        <v>45847</v>
      </c>
      <c r="E193" s="2" t="s">
        <v>1295</v>
      </c>
      <c r="F193" s="1">
        <v>32101</v>
      </c>
      <c r="G193" s="1" t="s">
        <v>23</v>
      </c>
      <c r="H193" s="1" t="s">
        <v>18</v>
      </c>
      <c r="J193" s="2" t="s">
        <v>1278</v>
      </c>
      <c r="K193" s="1" t="s">
        <v>25</v>
      </c>
      <c r="N193" s="1" t="str">
        <f t="shared" si="2"/>
        <v>RAFAEL XAVIER</v>
      </c>
    </row>
    <row r="194" spans="1:14" x14ac:dyDescent="0.3">
      <c r="A194" s="1">
        <v>705032</v>
      </c>
      <c r="B194" s="1" t="s">
        <v>826</v>
      </c>
      <c r="C194" s="5" t="s">
        <v>15</v>
      </c>
      <c r="D194" s="2">
        <v>45636</v>
      </c>
      <c r="E194" s="2" t="s">
        <v>22</v>
      </c>
      <c r="F194" s="1">
        <v>32101</v>
      </c>
      <c r="G194" s="1" t="s">
        <v>23</v>
      </c>
      <c r="H194" s="1" t="s">
        <v>18</v>
      </c>
      <c r="J194" s="2" t="s">
        <v>24</v>
      </c>
      <c r="K194" s="1" t="s">
        <v>25</v>
      </c>
      <c r="L194" s="1" t="s">
        <v>1369</v>
      </c>
      <c r="M194" s="1" t="s">
        <v>1370</v>
      </c>
      <c r="N194" s="1" t="str">
        <f t="shared" si="2"/>
        <v>JUNIO COSTA</v>
      </c>
    </row>
    <row r="195" spans="1:14" x14ac:dyDescent="0.3">
      <c r="A195" s="1">
        <v>705682</v>
      </c>
      <c r="B195" s="1" t="s">
        <v>1402</v>
      </c>
      <c r="C195" s="5" t="s">
        <v>92</v>
      </c>
      <c r="D195" s="2">
        <v>45944</v>
      </c>
      <c r="E195" s="2" t="s">
        <v>31</v>
      </c>
      <c r="F195" s="1">
        <v>25102</v>
      </c>
      <c r="G195" s="1" t="s">
        <v>1153</v>
      </c>
      <c r="H195" s="1" t="s">
        <v>18</v>
      </c>
      <c r="I195" s="2">
        <v>46033</v>
      </c>
      <c r="J195" s="2" t="s">
        <v>19</v>
      </c>
      <c r="K195" s="1" t="s">
        <v>1368</v>
      </c>
      <c r="L195" s="1" t="s">
        <v>20</v>
      </c>
      <c r="N195" s="1" t="str">
        <f t="shared" ref="N195:N258" si="3">IF(M195&lt;&gt;"", M195, IF(L195&lt;&gt;"", L195, K195))</f>
        <v>ALEX DIAS</v>
      </c>
    </row>
    <row r="196" spans="1:14" x14ac:dyDescent="0.3">
      <c r="A196" s="1">
        <v>704532</v>
      </c>
      <c r="B196" s="1" t="s">
        <v>269</v>
      </c>
      <c r="C196" s="5" t="s">
        <v>15</v>
      </c>
      <c r="D196" s="2">
        <v>45426</v>
      </c>
      <c r="E196" s="2" t="s">
        <v>270</v>
      </c>
      <c r="F196" s="1">
        <v>39302</v>
      </c>
      <c r="G196" s="1" t="s">
        <v>102</v>
      </c>
      <c r="H196" s="1" t="s">
        <v>18</v>
      </c>
      <c r="J196" s="2" t="s">
        <v>57</v>
      </c>
      <c r="K196" s="1" t="s">
        <v>1371</v>
      </c>
      <c r="L196" s="1" t="s">
        <v>1376</v>
      </c>
      <c r="M196" s="1" t="s">
        <v>1377</v>
      </c>
      <c r="N196" s="1" t="str">
        <f t="shared" si="3"/>
        <v>WARLEY RIBEIRO</v>
      </c>
    </row>
    <row r="197" spans="1:14" x14ac:dyDescent="0.3">
      <c r="A197" s="1">
        <v>705739</v>
      </c>
      <c r="B197" s="1" t="s">
        <v>1481</v>
      </c>
      <c r="C197" s="5" t="s">
        <v>15</v>
      </c>
      <c r="D197" s="2">
        <v>45993</v>
      </c>
      <c r="E197" s="2" t="s">
        <v>166</v>
      </c>
      <c r="F197" s="1">
        <v>22102</v>
      </c>
      <c r="G197" s="1" t="s">
        <v>68</v>
      </c>
      <c r="H197" s="1" t="s">
        <v>18</v>
      </c>
      <c r="J197" s="2" t="s">
        <v>94</v>
      </c>
      <c r="K197" s="1" t="s">
        <v>1371</v>
      </c>
      <c r="L197" s="1" t="s">
        <v>1378</v>
      </c>
      <c r="M197" s="1" t="s">
        <v>95</v>
      </c>
      <c r="N197" s="1" t="str">
        <f t="shared" si="3"/>
        <v>LUAN ABADIA</v>
      </c>
    </row>
    <row r="198" spans="1:14" x14ac:dyDescent="0.3">
      <c r="A198" s="1">
        <v>704881</v>
      </c>
      <c r="B198" s="1" t="s">
        <v>271</v>
      </c>
      <c r="C198" s="5" t="s">
        <v>15</v>
      </c>
      <c r="D198" s="2">
        <v>45586</v>
      </c>
      <c r="E198" s="2" t="s">
        <v>77</v>
      </c>
      <c r="F198" s="1">
        <v>38107</v>
      </c>
      <c r="G198" s="1" t="s">
        <v>1503</v>
      </c>
      <c r="H198" s="1" t="s">
        <v>18</v>
      </c>
      <c r="J198" s="2" t="s">
        <v>78</v>
      </c>
      <c r="K198" s="1" t="s">
        <v>1372</v>
      </c>
      <c r="L198" s="1" t="s">
        <v>1372</v>
      </c>
      <c r="N198" s="1" t="str">
        <f t="shared" si="3"/>
        <v xml:space="preserve">LEIDJANE MARTINS </v>
      </c>
    </row>
    <row r="199" spans="1:14" x14ac:dyDescent="0.3">
      <c r="A199" s="1">
        <v>100885</v>
      </c>
      <c r="B199" s="1" t="s">
        <v>272</v>
      </c>
      <c r="C199" s="5" t="s">
        <v>15</v>
      </c>
      <c r="D199" s="2">
        <v>42450</v>
      </c>
      <c r="E199" s="2" t="s">
        <v>16</v>
      </c>
      <c r="F199" s="1">
        <v>38101</v>
      </c>
      <c r="G199" s="1" t="s">
        <v>35</v>
      </c>
      <c r="H199" s="1" t="s">
        <v>18</v>
      </c>
      <c r="J199" s="2" t="s">
        <v>36</v>
      </c>
      <c r="K199" s="1" t="s">
        <v>1372</v>
      </c>
      <c r="L199" s="1" t="s">
        <v>1372</v>
      </c>
      <c r="M199" s="1" t="s">
        <v>1373</v>
      </c>
      <c r="N199" s="1" t="str">
        <f t="shared" si="3"/>
        <v>DENIS ACASSIO</v>
      </c>
    </row>
    <row r="200" spans="1:14" x14ac:dyDescent="0.3">
      <c r="A200" s="1">
        <v>702751</v>
      </c>
      <c r="B200" s="1" t="s">
        <v>125</v>
      </c>
      <c r="C200" s="5" t="s">
        <v>15</v>
      </c>
      <c r="D200" s="2">
        <v>44601</v>
      </c>
      <c r="E200" s="2" t="s">
        <v>422</v>
      </c>
      <c r="F200" s="1">
        <v>22101</v>
      </c>
      <c r="G200" s="1" t="s">
        <v>122</v>
      </c>
      <c r="H200" s="1" t="s">
        <v>18</v>
      </c>
      <c r="J200" s="2" t="s">
        <v>273</v>
      </c>
      <c r="K200" s="1" t="s">
        <v>124</v>
      </c>
      <c r="L200" s="1" t="s">
        <v>124</v>
      </c>
      <c r="N200" s="1" t="str">
        <f t="shared" si="3"/>
        <v>MATHEUS FERNANDES</v>
      </c>
    </row>
    <row r="201" spans="1:14" x14ac:dyDescent="0.3">
      <c r="A201" s="1">
        <v>700334</v>
      </c>
      <c r="B201" s="1" t="s">
        <v>274</v>
      </c>
      <c r="C201" s="5" t="s">
        <v>15</v>
      </c>
      <c r="D201" s="2">
        <v>43292</v>
      </c>
      <c r="E201" s="2" t="s">
        <v>109</v>
      </c>
      <c r="F201" s="1">
        <v>32101</v>
      </c>
      <c r="G201" s="1" t="s">
        <v>23</v>
      </c>
      <c r="H201" s="1" t="s">
        <v>18</v>
      </c>
      <c r="J201" s="2" t="s">
        <v>24</v>
      </c>
      <c r="K201" s="1" t="s">
        <v>25</v>
      </c>
      <c r="L201" s="1" t="s">
        <v>1369</v>
      </c>
      <c r="M201" s="1" t="s">
        <v>1370</v>
      </c>
      <c r="N201" s="1" t="str">
        <f t="shared" si="3"/>
        <v>JUNIO COSTA</v>
      </c>
    </row>
    <row r="202" spans="1:14" x14ac:dyDescent="0.3">
      <c r="A202" s="1">
        <v>702334</v>
      </c>
      <c r="B202" s="1" t="s">
        <v>275</v>
      </c>
      <c r="C202" s="5" t="s">
        <v>15</v>
      </c>
      <c r="D202" s="2">
        <v>44354</v>
      </c>
      <c r="E202" s="2" t="s">
        <v>60</v>
      </c>
      <c r="F202" s="1">
        <v>22102</v>
      </c>
      <c r="G202" s="1" t="s">
        <v>68</v>
      </c>
      <c r="H202" s="1" t="s">
        <v>18</v>
      </c>
      <c r="J202" s="2" t="s">
        <v>167</v>
      </c>
      <c r="K202" s="1" t="s">
        <v>1371</v>
      </c>
      <c r="L202" s="1" t="s">
        <v>1509</v>
      </c>
      <c r="M202" s="1" t="s">
        <v>1383</v>
      </c>
      <c r="N202" s="1" t="str">
        <f t="shared" si="3"/>
        <v>WANDRES/FABIANO</v>
      </c>
    </row>
    <row r="203" spans="1:14" x14ac:dyDescent="0.3">
      <c r="A203" s="1">
        <v>703257</v>
      </c>
      <c r="B203" s="1" t="s">
        <v>279</v>
      </c>
      <c r="C203" s="5" t="s">
        <v>15</v>
      </c>
      <c r="D203" s="2">
        <v>44781</v>
      </c>
      <c r="E203" s="2" t="s">
        <v>164</v>
      </c>
      <c r="F203" s="1">
        <v>39301</v>
      </c>
      <c r="G203" s="1" t="s">
        <v>73</v>
      </c>
      <c r="H203" s="1" t="s">
        <v>18</v>
      </c>
      <c r="J203" s="2" t="s">
        <v>74</v>
      </c>
      <c r="K203" s="1" t="s">
        <v>1371</v>
      </c>
      <c r="L203" s="1" t="s">
        <v>1376</v>
      </c>
      <c r="M203" s="1" t="s">
        <v>75</v>
      </c>
      <c r="N203" s="1" t="str">
        <f t="shared" si="3"/>
        <v>ISAC NONATO</v>
      </c>
    </row>
    <row r="204" spans="1:14" x14ac:dyDescent="0.3">
      <c r="A204" s="1">
        <v>705317</v>
      </c>
      <c r="B204" s="1" t="s">
        <v>1216</v>
      </c>
      <c r="C204" s="5" t="s">
        <v>15</v>
      </c>
      <c r="D204" s="2">
        <v>45784</v>
      </c>
      <c r="E204" s="2" t="s">
        <v>31</v>
      </c>
      <c r="F204" s="1">
        <v>25102</v>
      </c>
      <c r="G204" s="1" t="s">
        <v>1153</v>
      </c>
      <c r="H204" s="1" t="s">
        <v>18</v>
      </c>
      <c r="J204" s="2" t="s">
        <v>19</v>
      </c>
      <c r="K204" s="1" t="s">
        <v>1368</v>
      </c>
      <c r="L204" s="1" t="s">
        <v>20</v>
      </c>
      <c r="N204" s="1" t="str">
        <f t="shared" si="3"/>
        <v>ALEX DIAS</v>
      </c>
    </row>
    <row r="205" spans="1:14" x14ac:dyDescent="0.3">
      <c r="A205" s="1">
        <v>705755</v>
      </c>
      <c r="B205" s="1" t="s">
        <v>1482</v>
      </c>
      <c r="C205" s="5" t="s">
        <v>15</v>
      </c>
      <c r="D205" s="2">
        <v>45993</v>
      </c>
      <c r="E205" s="2" t="s">
        <v>31</v>
      </c>
      <c r="F205" s="1">
        <v>25102</v>
      </c>
      <c r="G205" s="1" t="s">
        <v>1153</v>
      </c>
      <c r="H205" s="1" t="s">
        <v>18</v>
      </c>
      <c r="J205" s="2" t="s">
        <v>19</v>
      </c>
      <c r="K205" s="1" t="s">
        <v>1368</v>
      </c>
      <c r="L205" s="1" t="s">
        <v>20</v>
      </c>
      <c r="N205" s="1" t="str">
        <f t="shared" si="3"/>
        <v>ALEX DIAS</v>
      </c>
    </row>
    <row r="206" spans="1:14" x14ac:dyDescent="0.3">
      <c r="A206" s="1">
        <v>705468</v>
      </c>
      <c r="B206" s="1" t="s">
        <v>1276</v>
      </c>
      <c r="C206" s="5" t="s">
        <v>15</v>
      </c>
      <c r="D206" s="2">
        <v>45812</v>
      </c>
      <c r="E206" s="2" t="s">
        <v>31</v>
      </c>
      <c r="F206" s="1">
        <v>39301</v>
      </c>
      <c r="G206" s="1" t="s">
        <v>73</v>
      </c>
      <c r="H206" s="1" t="s">
        <v>18</v>
      </c>
      <c r="J206" s="2" t="s">
        <v>74</v>
      </c>
      <c r="K206" s="1" t="s">
        <v>1371</v>
      </c>
      <c r="L206" s="1" t="s">
        <v>1376</v>
      </c>
      <c r="M206" s="1" t="s">
        <v>75</v>
      </c>
      <c r="N206" s="1" t="str">
        <f t="shared" si="3"/>
        <v>ISAC NONATO</v>
      </c>
    </row>
    <row r="207" spans="1:14" x14ac:dyDescent="0.3">
      <c r="A207" s="1">
        <v>704176</v>
      </c>
      <c r="B207" s="1" t="s">
        <v>280</v>
      </c>
      <c r="C207" s="5" t="s">
        <v>15</v>
      </c>
      <c r="D207" s="2">
        <v>45272</v>
      </c>
      <c r="E207" s="2" t="s">
        <v>141</v>
      </c>
      <c r="F207" s="1">
        <v>22102</v>
      </c>
      <c r="G207" s="1" t="s">
        <v>68</v>
      </c>
      <c r="H207" s="1" t="s">
        <v>18</v>
      </c>
      <c r="J207" s="2" t="s">
        <v>81</v>
      </c>
      <c r="K207" s="1" t="s">
        <v>1371</v>
      </c>
      <c r="L207" s="1" t="s">
        <v>1509</v>
      </c>
      <c r="M207" s="1" t="s">
        <v>1379</v>
      </c>
      <c r="N207" s="1" t="str">
        <f t="shared" si="3"/>
        <v xml:space="preserve">EDSON/MARCELO LIMA </v>
      </c>
    </row>
    <row r="208" spans="1:14" x14ac:dyDescent="0.3">
      <c r="A208" s="1">
        <v>705563</v>
      </c>
      <c r="B208" s="1" t="s">
        <v>1313</v>
      </c>
      <c r="C208" s="5" t="s">
        <v>15</v>
      </c>
      <c r="D208" s="2">
        <v>45881</v>
      </c>
      <c r="E208" s="2" t="s">
        <v>31</v>
      </c>
      <c r="F208" s="1">
        <v>52104</v>
      </c>
      <c r="G208" s="1" t="s">
        <v>17</v>
      </c>
      <c r="H208" s="1" t="s">
        <v>18</v>
      </c>
      <c r="J208" s="2" t="s">
        <v>19</v>
      </c>
      <c r="K208" s="1" t="s">
        <v>1368</v>
      </c>
      <c r="L208" s="1" t="s">
        <v>20</v>
      </c>
      <c r="N208" s="1" t="str">
        <f t="shared" si="3"/>
        <v>ALEX DIAS</v>
      </c>
    </row>
    <row r="209" spans="1:14" x14ac:dyDescent="0.3">
      <c r="A209" s="1">
        <v>102082</v>
      </c>
      <c r="B209" s="1" t="s">
        <v>281</v>
      </c>
      <c r="C209" s="5" t="s">
        <v>15</v>
      </c>
      <c r="D209" s="2">
        <v>41646</v>
      </c>
      <c r="E209" s="2" t="s">
        <v>40</v>
      </c>
      <c r="F209" s="1">
        <v>52104</v>
      </c>
      <c r="G209" s="1" t="s">
        <v>17</v>
      </c>
      <c r="H209" s="1" t="s">
        <v>18</v>
      </c>
      <c r="J209" s="2" t="s">
        <v>37</v>
      </c>
      <c r="K209" s="1" t="s">
        <v>1368</v>
      </c>
      <c r="L209" s="1" t="s">
        <v>20</v>
      </c>
      <c r="N209" s="1" t="str">
        <f t="shared" si="3"/>
        <v>ALEX DIAS</v>
      </c>
    </row>
    <row r="210" spans="1:14" x14ac:dyDescent="0.3">
      <c r="A210" s="1">
        <v>703579</v>
      </c>
      <c r="B210" s="1" t="s">
        <v>283</v>
      </c>
      <c r="C210" s="5" t="s">
        <v>15</v>
      </c>
      <c r="D210" s="2">
        <v>44970</v>
      </c>
      <c r="E210" s="2" t="s">
        <v>97</v>
      </c>
      <c r="F210" s="1">
        <v>32101</v>
      </c>
      <c r="G210" s="1" t="s">
        <v>23</v>
      </c>
      <c r="H210" s="1" t="s">
        <v>18</v>
      </c>
      <c r="J210" s="2" t="s">
        <v>24</v>
      </c>
      <c r="K210" s="1" t="s">
        <v>25</v>
      </c>
      <c r="L210" s="1" t="s">
        <v>1369</v>
      </c>
      <c r="M210" s="1" t="s">
        <v>1370</v>
      </c>
      <c r="N210" s="1" t="str">
        <f t="shared" si="3"/>
        <v>JUNIO COSTA</v>
      </c>
    </row>
    <row r="211" spans="1:14" x14ac:dyDescent="0.3">
      <c r="A211" s="1">
        <v>705597</v>
      </c>
      <c r="B211" s="1" t="s">
        <v>1314</v>
      </c>
      <c r="C211" s="5" t="s">
        <v>15</v>
      </c>
      <c r="D211" s="2">
        <v>45888</v>
      </c>
      <c r="E211" s="2" t="s">
        <v>336</v>
      </c>
      <c r="F211" s="1">
        <v>25102</v>
      </c>
      <c r="G211" s="1" t="s">
        <v>1153</v>
      </c>
      <c r="H211" s="1" t="s">
        <v>18</v>
      </c>
      <c r="J211" s="2" t="s">
        <v>19</v>
      </c>
      <c r="K211" s="1" t="s">
        <v>1368</v>
      </c>
      <c r="L211" s="1" t="s">
        <v>20</v>
      </c>
      <c r="N211" s="1" t="str">
        <f t="shared" si="3"/>
        <v>ALEX DIAS</v>
      </c>
    </row>
    <row r="212" spans="1:14" x14ac:dyDescent="0.3">
      <c r="A212" s="1">
        <v>703722</v>
      </c>
      <c r="B212" s="1" t="s">
        <v>284</v>
      </c>
      <c r="C212" s="5" t="s">
        <v>15</v>
      </c>
      <c r="D212" s="2">
        <v>45026</v>
      </c>
      <c r="E212" s="2" t="s">
        <v>16</v>
      </c>
      <c r="F212" s="1">
        <v>22102</v>
      </c>
      <c r="G212" s="1" t="s">
        <v>68</v>
      </c>
      <c r="H212" s="1" t="s">
        <v>18</v>
      </c>
      <c r="J212" s="2" t="s">
        <v>94</v>
      </c>
      <c r="K212" s="1" t="s">
        <v>1371</v>
      </c>
      <c r="L212" s="1" t="s">
        <v>1378</v>
      </c>
      <c r="M212" s="1" t="s">
        <v>95</v>
      </c>
      <c r="N212" s="1" t="str">
        <f t="shared" si="3"/>
        <v>LUAN ABADIA</v>
      </c>
    </row>
    <row r="213" spans="1:14" x14ac:dyDescent="0.3">
      <c r="A213" s="1">
        <v>703463</v>
      </c>
      <c r="B213" s="1" t="s">
        <v>285</v>
      </c>
      <c r="C213" s="5" t="s">
        <v>15</v>
      </c>
      <c r="D213" s="2">
        <v>44881</v>
      </c>
      <c r="E213" s="2" t="s">
        <v>156</v>
      </c>
      <c r="F213" s="1">
        <v>38101</v>
      </c>
      <c r="G213" s="1" t="s">
        <v>35</v>
      </c>
      <c r="H213" s="1" t="s">
        <v>18</v>
      </c>
      <c r="J213" s="2" t="s">
        <v>36</v>
      </c>
      <c r="K213" s="1" t="s">
        <v>1372</v>
      </c>
      <c r="L213" s="1" t="s">
        <v>1372</v>
      </c>
      <c r="M213" s="1" t="s">
        <v>1373</v>
      </c>
      <c r="N213" s="1" t="str">
        <f t="shared" si="3"/>
        <v>DENIS ACASSIO</v>
      </c>
    </row>
    <row r="214" spans="1:14" x14ac:dyDescent="0.3">
      <c r="A214" s="1">
        <v>705691</v>
      </c>
      <c r="B214" s="1" t="s">
        <v>1449</v>
      </c>
      <c r="C214" s="5" t="s">
        <v>15</v>
      </c>
      <c r="D214" s="2">
        <v>45971</v>
      </c>
      <c r="E214" s="2" t="s">
        <v>474</v>
      </c>
      <c r="F214" s="1">
        <v>32101</v>
      </c>
      <c r="G214" s="1" t="s">
        <v>23</v>
      </c>
      <c r="H214" s="1" t="s">
        <v>18</v>
      </c>
      <c r="J214" s="2" t="s">
        <v>24</v>
      </c>
      <c r="K214" s="1" t="s">
        <v>25</v>
      </c>
      <c r="L214" s="1" t="s">
        <v>1369</v>
      </c>
      <c r="M214" s="1" t="s">
        <v>1370</v>
      </c>
      <c r="N214" s="1" t="str">
        <f t="shared" si="3"/>
        <v>JUNIO COSTA</v>
      </c>
    </row>
    <row r="215" spans="1:14" x14ac:dyDescent="0.3">
      <c r="A215" s="1">
        <v>705627</v>
      </c>
      <c r="B215" s="1" t="s">
        <v>1403</v>
      </c>
      <c r="C215" s="5" t="s">
        <v>15</v>
      </c>
      <c r="D215" s="2">
        <v>45937</v>
      </c>
      <c r="E215" s="2" t="s">
        <v>31</v>
      </c>
      <c r="F215" s="1">
        <v>25102</v>
      </c>
      <c r="G215" s="1" t="s">
        <v>1153</v>
      </c>
      <c r="H215" s="1" t="s">
        <v>18</v>
      </c>
      <c r="J215" s="2" t="s">
        <v>19</v>
      </c>
      <c r="K215" s="1" t="s">
        <v>1368</v>
      </c>
      <c r="L215" s="1" t="s">
        <v>20</v>
      </c>
      <c r="N215" s="1" t="str">
        <f t="shared" si="3"/>
        <v>ALEX DIAS</v>
      </c>
    </row>
    <row r="216" spans="1:14" x14ac:dyDescent="0.3">
      <c r="A216" s="1">
        <v>705357</v>
      </c>
      <c r="B216" s="1" t="s">
        <v>1217</v>
      </c>
      <c r="C216" s="5" t="s">
        <v>15</v>
      </c>
      <c r="D216" s="2">
        <v>45784</v>
      </c>
      <c r="E216" s="2" t="s">
        <v>31</v>
      </c>
      <c r="F216" s="1">
        <v>39304</v>
      </c>
      <c r="G216" s="1" t="s">
        <v>56</v>
      </c>
      <c r="H216" s="1" t="s">
        <v>18</v>
      </c>
      <c r="J216" s="2" t="s">
        <v>57</v>
      </c>
      <c r="K216" s="1" t="s">
        <v>1371</v>
      </c>
      <c r="L216" s="1" t="s">
        <v>1376</v>
      </c>
      <c r="M216" s="1" t="s">
        <v>1377</v>
      </c>
      <c r="N216" s="1" t="str">
        <f t="shared" si="3"/>
        <v>WARLEY RIBEIRO</v>
      </c>
    </row>
    <row r="217" spans="1:14" x14ac:dyDescent="0.3">
      <c r="A217" s="1">
        <v>702912</v>
      </c>
      <c r="B217" s="1" t="s">
        <v>287</v>
      </c>
      <c r="C217" s="5" t="s">
        <v>15</v>
      </c>
      <c r="D217" s="2">
        <v>44656</v>
      </c>
      <c r="E217" s="2" t="s">
        <v>105</v>
      </c>
      <c r="F217" s="1">
        <v>22102</v>
      </c>
      <c r="G217" s="1" t="s">
        <v>68</v>
      </c>
      <c r="H217" s="1" t="s">
        <v>18</v>
      </c>
      <c r="J217" s="2" t="s">
        <v>142</v>
      </c>
      <c r="K217" s="1" t="s">
        <v>1371</v>
      </c>
      <c r="L217" s="1" t="s">
        <v>1509</v>
      </c>
      <c r="M217" s="1" t="s">
        <v>143</v>
      </c>
      <c r="N217" s="1" t="str">
        <f t="shared" si="3"/>
        <v>TALLES BALIZA</v>
      </c>
    </row>
    <row r="218" spans="1:14" x14ac:dyDescent="0.3">
      <c r="A218" s="1">
        <v>100691</v>
      </c>
      <c r="B218" s="1" t="s">
        <v>288</v>
      </c>
      <c r="C218" s="5" t="s">
        <v>15</v>
      </c>
      <c r="D218" s="2">
        <v>42010</v>
      </c>
      <c r="E218" s="2" t="s">
        <v>1214</v>
      </c>
      <c r="F218" s="1">
        <v>34101</v>
      </c>
      <c r="G218" s="1" t="s">
        <v>43</v>
      </c>
      <c r="H218" s="1" t="s">
        <v>18</v>
      </c>
      <c r="J218" s="2" t="s">
        <v>237</v>
      </c>
      <c r="K218" s="1" t="s">
        <v>25</v>
      </c>
      <c r="L218" s="1" t="s">
        <v>1374</v>
      </c>
      <c r="M218" s="1" t="s">
        <v>1384</v>
      </c>
      <c r="N218" s="1" t="str">
        <f t="shared" si="3"/>
        <v xml:space="preserve">MARCOS VINICIUS </v>
      </c>
    </row>
    <row r="219" spans="1:14" x14ac:dyDescent="0.3">
      <c r="A219" s="1">
        <v>704740</v>
      </c>
      <c r="B219" s="1" t="s">
        <v>289</v>
      </c>
      <c r="C219" s="5" t="s">
        <v>15</v>
      </c>
      <c r="D219" s="2">
        <v>45538</v>
      </c>
      <c r="E219" s="2" t="s">
        <v>1218</v>
      </c>
      <c r="F219" s="1">
        <v>33301</v>
      </c>
      <c r="G219" s="1" t="s">
        <v>64</v>
      </c>
      <c r="H219" s="1" t="s">
        <v>18</v>
      </c>
      <c r="J219" s="2" t="s">
        <v>65</v>
      </c>
      <c r="K219" s="1" t="s">
        <v>25</v>
      </c>
      <c r="L219" s="1" t="s">
        <v>1374</v>
      </c>
      <c r="M219" s="1" t="s">
        <v>1375</v>
      </c>
      <c r="N219" s="1" t="str">
        <f t="shared" si="3"/>
        <v>ANDRÉ CUBA</v>
      </c>
    </row>
    <row r="220" spans="1:14" x14ac:dyDescent="0.3">
      <c r="A220" s="1">
        <v>101016</v>
      </c>
      <c r="B220" s="1" t="s">
        <v>290</v>
      </c>
      <c r="C220" s="5" t="s">
        <v>15</v>
      </c>
      <c r="D220" s="2">
        <v>42632</v>
      </c>
      <c r="E220" s="2" t="s">
        <v>291</v>
      </c>
      <c r="F220" s="1">
        <v>34201</v>
      </c>
      <c r="G220" s="1" t="s">
        <v>84</v>
      </c>
      <c r="H220" s="1" t="s">
        <v>18</v>
      </c>
      <c r="J220" s="2" t="s">
        <v>85</v>
      </c>
      <c r="K220" s="1" t="s">
        <v>1371</v>
      </c>
      <c r="L220" s="1" t="s">
        <v>1371</v>
      </c>
      <c r="M220" s="1" t="s">
        <v>1380</v>
      </c>
      <c r="N220" s="1" t="str">
        <f t="shared" si="3"/>
        <v xml:space="preserve">LEONARDO SANTOS </v>
      </c>
    </row>
    <row r="221" spans="1:14" x14ac:dyDescent="0.3">
      <c r="A221" s="1">
        <v>705801</v>
      </c>
      <c r="B221" s="1" t="s">
        <v>1519</v>
      </c>
      <c r="C221" s="5" t="s">
        <v>15</v>
      </c>
      <c r="D221" s="2">
        <v>46029</v>
      </c>
      <c r="E221" s="2" t="s">
        <v>67</v>
      </c>
      <c r="F221" s="1">
        <v>22101</v>
      </c>
      <c r="G221" s="1" t="s">
        <v>122</v>
      </c>
      <c r="H221" s="1" t="s">
        <v>18</v>
      </c>
      <c r="J221" s="2" t="s">
        <v>123</v>
      </c>
      <c r="K221" s="1" t="s">
        <v>124</v>
      </c>
      <c r="L221" s="1" t="s">
        <v>124</v>
      </c>
      <c r="N221" s="1" t="str">
        <f t="shared" si="3"/>
        <v>MATHEUS FERNANDES</v>
      </c>
    </row>
    <row r="222" spans="1:14" x14ac:dyDescent="0.3">
      <c r="A222" s="1">
        <v>704004</v>
      </c>
      <c r="B222" s="1" t="s">
        <v>293</v>
      </c>
      <c r="C222" s="5" t="s">
        <v>15</v>
      </c>
      <c r="D222" s="2">
        <v>45118</v>
      </c>
      <c r="E222" s="2" t="s">
        <v>294</v>
      </c>
      <c r="F222" s="1">
        <v>22101</v>
      </c>
      <c r="G222" s="1" t="s">
        <v>122</v>
      </c>
      <c r="H222" s="1" t="s">
        <v>18</v>
      </c>
      <c r="J222" s="2" t="s">
        <v>123</v>
      </c>
      <c r="K222" s="1" t="s">
        <v>124</v>
      </c>
      <c r="L222" s="1" t="s">
        <v>124</v>
      </c>
      <c r="N222" s="1" t="str">
        <f t="shared" si="3"/>
        <v>MATHEUS FERNANDES</v>
      </c>
    </row>
    <row r="223" spans="1:14" x14ac:dyDescent="0.3">
      <c r="A223" s="1">
        <v>705433</v>
      </c>
      <c r="B223" s="1" t="s">
        <v>1255</v>
      </c>
      <c r="C223" s="5" t="s">
        <v>15</v>
      </c>
      <c r="D223" s="2">
        <v>45797</v>
      </c>
      <c r="E223" s="2" t="s">
        <v>31</v>
      </c>
      <c r="F223" s="1">
        <v>22102</v>
      </c>
      <c r="G223" s="1" t="s">
        <v>68</v>
      </c>
      <c r="H223" s="1" t="s">
        <v>18</v>
      </c>
      <c r="J223" s="2" t="s">
        <v>81</v>
      </c>
      <c r="K223" s="1" t="s">
        <v>1371</v>
      </c>
      <c r="L223" s="1" t="s">
        <v>1509</v>
      </c>
      <c r="M223" s="1" t="s">
        <v>1379</v>
      </c>
      <c r="N223" s="1" t="str">
        <f t="shared" si="3"/>
        <v xml:space="preserve">EDSON/MARCELO LIMA </v>
      </c>
    </row>
    <row r="224" spans="1:14" x14ac:dyDescent="0.3">
      <c r="A224" s="1">
        <v>705552</v>
      </c>
      <c r="B224" s="1" t="s">
        <v>1335</v>
      </c>
      <c r="C224" s="5" t="s">
        <v>15</v>
      </c>
      <c r="D224" s="2">
        <v>45874</v>
      </c>
      <c r="E224" s="2" t="s">
        <v>31</v>
      </c>
      <c r="F224" s="1">
        <v>22102</v>
      </c>
      <c r="G224" s="1" t="s">
        <v>68</v>
      </c>
      <c r="H224" s="1" t="s">
        <v>18</v>
      </c>
      <c r="J224" s="2" t="s">
        <v>81</v>
      </c>
      <c r="K224" s="1" t="s">
        <v>1371</v>
      </c>
      <c r="L224" s="1" t="s">
        <v>1509</v>
      </c>
      <c r="M224" s="1" t="s">
        <v>1379</v>
      </c>
      <c r="N224" s="1" t="str">
        <f t="shared" si="3"/>
        <v xml:space="preserve">EDSON/MARCELO LIMA </v>
      </c>
    </row>
    <row r="225" spans="1:14" x14ac:dyDescent="0.3">
      <c r="A225" s="1">
        <v>705768</v>
      </c>
      <c r="B225" s="1" t="s">
        <v>1499</v>
      </c>
      <c r="C225" s="5" t="s">
        <v>15</v>
      </c>
      <c r="D225" s="2">
        <v>45993</v>
      </c>
      <c r="E225" s="2" t="s">
        <v>31</v>
      </c>
      <c r="F225" s="1">
        <v>25102</v>
      </c>
      <c r="G225" s="1" t="s">
        <v>1153</v>
      </c>
      <c r="H225" s="1" t="s">
        <v>18</v>
      </c>
      <c r="J225" s="2" t="s">
        <v>19</v>
      </c>
      <c r="K225" s="1" t="s">
        <v>1368</v>
      </c>
      <c r="L225" s="1" t="s">
        <v>20</v>
      </c>
      <c r="N225" s="1" t="str">
        <f t="shared" si="3"/>
        <v>ALEX DIAS</v>
      </c>
    </row>
    <row r="226" spans="1:14" x14ac:dyDescent="0.3">
      <c r="A226" s="1">
        <v>704262</v>
      </c>
      <c r="B226" s="1" t="s">
        <v>295</v>
      </c>
      <c r="C226" s="5" t="s">
        <v>15</v>
      </c>
      <c r="D226" s="2">
        <v>45342</v>
      </c>
      <c r="E226" s="2" t="s">
        <v>138</v>
      </c>
      <c r="F226" s="1">
        <v>22102</v>
      </c>
      <c r="G226" s="1" t="s">
        <v>68</v>
      </c>
      <c r="H226" s="1" t="s">
        <v>18</v>
      </c>
      <c r="J226" s="2" t="s">
        <v>81</v>
      </c>
      <c r="K226" s="1" t="s">
        <v>1371</v>
      </c>
      <c r="L226" s="1" t="s">
        <v>1509</v>
      </c>
      <c r="M226" s="1" t="s">
        <v>1379</v>
      </c>
      <c r="N226" s="1" t="str">
        <f t="shared" si="3"/>
        <v xml:space="preserve">EDSON/MARCELO LIMA </v>
      </c>
    </row>
    <row r="227" spans="1:14" x14ac:dyDescent="0.3">
      <c r="A227" s="1">
        <v>700820</v>
      </c>
      <c r="B227" s="1" t="s">
        <v>296</v>
      </c>
      <c r="C227" s="5" t="s">
        <v>15</v>
      </c>
      <c r="D227" s="2">
        <v>43437</v>
      </c>
      <c r="E227" s="2" t="s">
        <v>166</v>
      </c>
      <c r="F227" s="1">
        <v>22102</v>
      </c>
      <c r="G227" s="1" t="s">
        <v>68</v>
      </c>
      <c r="H227" s="1" t="s">
        <v>18</v>
      </c>
      <c r="J227" s="2" t="s">
        <v>167</v>
      </c>
      <c r="K227" s="1" t="s">
        <v>1371</v>
      </c>
      <c r="L227" s="1" t="s">
        <v>1509</v>
      </c>
      <c r="M227" s="1" t="s">
        <v>1383</v>
      </c>
      <c r="N227" s="1" t="str">
        <f t="shared" si="3"/>
        <v>WANDRES/FABIANO</v>
      </c>
    </row>
    <row r="228" spans="1:14" x14ac:dyDescent="0.3">
      <c r="A228" s="1">
        <v>702815</v>
      </c>
      <c r="B228" s="1" t="s">
        <v>297</v>
      </c>
      <c r="C228" s="5" t="s">
        <v>15</v>
      </c>
      <c r="D228" s="2">
        <v>44613</v>
      </c>
      <c r="E228" s="2" t="s">
        <v>60</v>
      </c>
      <c r="F228" s="1">
        <v>52104</v>
      </c>
      <c r="G228" s="1" t="s">
        <v>17</v>
      </c>
      <c r="H228" s="1" t="s">
        <v>18</v>
      </c>
      <c r="J228" s="2" t="s">
        <v>19</v>
      </c>
      <c r="K228" s="1" t="s">
        <v>1368</v>
      </c>
      <c r="L228" s="1" t="s">
        <v>20</v>
      </c>
      <c r="N228" s="1" t="str">
        <f t="shared" si="3"/>
        <v>ALEX DIAS</v>
      </c>
    </row>
    <row r="229" spans="1:14" x14ac:dyDescent="0.3">
      <c r="A229" s="1">
        <v>705067</v>
      </c>
      <c r="B229" s="1" t="s">
        <v>298</v>
      </c>
      <c r="C229" s="5" t="s">
        <v>15</v>
      </c>
      <c r="D229" s="2">
        <v>45670</v>
      </c>
      <c r="E229" s="2" t="s">
        <v>40</v>
      </c>
      <c r="F229" s="1">
        <v>51219</v>
      </c>
      <c r="G229" s="1" t="s">
        <v>61</v>
      </c>
      <c r="H229" s="1" t="s">
        <v>18</v>
      </c>
      <c r="J229" s="2" t="s">
        <v>37</v>
      </c>
      <c r="K229" s="1" t="s">
        <v>1368</v>
      </c>
      <c r="L229" s="1" t="s">
        <v>20</v>
      </c>
      <c r="N229" s="1" t="str">
        <f t="shared" si="3"/>
        <v>ALEX DIAS</v>
      </c>
    </row>
    <row r="230" spans="1:14" x14ac:dyDescent="0.3">
      <c r="A230" s="1">
        <v>702592</v>
      </c>
      <c r="B230" s="1" t="s">
        <v>300</v>
      </c>
      <c r="C230" s="5" t="s">
        <v>15</v>
      </c>
      <c r="D230" s="2">
        <v>44474</v>
      </c>
      <c r="E230" s="2" t="s">
        <v>173</v>
      </c>
      <c r="F230" s="1">
        <v>32101</v>
      </c>
      <c r="G230" s="1" t="s">
        <v>23</v>
      </c>
      <c r="H230" s="1" t="s">
        <v>18</v>
      </c>
      <c r="J230" s="2" t="s">
        <v>24</v>
      </c>
      <c r="K230" s="1" t="s">
        <v>25</v>
      </c>
      <c r="L230" s="1" t="s">
        <v>1369</v>
      </c>
      <c r="M230" s="1" t="s">
        <v>1370</v>
      </c>
      <c r="N230" s="1" t="str">
        <f t="shared" si="3"/>
        <v>JUNIO COSTA</v>
      </c>
    </row>
    <row r="231" spans="1:14" x14ac:dyDescent="0.3">
      <c r="A231" s="1">
        <v>101799</v>
      </c>
      <c r="B231" s="1" t="s">
        <v>301</v>
      </c>
      <c r="C231" s="5" t="s">
        <v>15</v>
      </c>
      <c r="D231" s="2">
        <v>43080</v>
      </c>
      <c r="E231" s="2" t="s">
        <v>71</v>
      </c>
      <c r="F231" s="1">
        <v>25201</v>
      </c>
      <c r="G231" s="1" t="s">
        <v>89</v>
      </c>
      <c r="H231" s="1" t="s">
        <v>18</v>
      </c>
      <c r="J231" s="2" t="s">
        <v>19</v>
      </c>
      <c r="K231" s="1" t="s">
        <v>1368</v>
      </c>
      <c r="L231" s="1" t="s">
        <v>20</v>
      </c>
      <c r="N231" s="1" t="str">
        <f t="shared" si="3"/>
        <v>ALEX DIAS</v>
      </c>
    </row>
    <row r="232" spans="1:14" x14ac:dyDescent="0.3">
      <c r="A232" s="1">
        <v>700672</v>
      </c>
      <c r="B232" s="1" t="s">
        <v>856</v>
      </c>
      <c r="C232" s="5" t="s">
        <v>15</v>
      </c>
      <c r="D232" s="2">
        <v>43381</v>
      </c>
      <c r="E232" s="2" t="s">
        <v>166</v>
      </c>
      <c r="F232" s="1">
        <v>22102</v>
      </c>
      <c r="G232" s="1" t="s">
        <v>68</v>
      </c>
      <c r="H232" s="1" t="s">
        <v>18</v>
      </c>
      <c r="J232" s="2" t="s">
        <v>81</v>
      </c>
      <c r="K232" s="1" t="s">
        <v>1371</v>
      </c>
      <c r="L232" s="1" t="s">
        <v>1509</v>
      </c>
      <c r="M232" s="1" t="s">
        <v>1379</v>
      </c>
      <c r="N232" s="1" t="str">
        <f t="shared" si="3"/>
        <v xml:space="preserve">EDSON/MARCELO LIMA </v>
      </c>
    </row>
    <row r="233" spans="1:14" x14ac:dyDescent="0.3">
      <c r="A233" s="1">
        <v>705564</v>
      </c>
      <c r="B233" s="1" t="s">
        <v>1315</v>
      </c>
      <c r="C233" s="5" t="s">
        <v>15</v>
      </c>
      <c r="D233" s="2">
        <v>45874</v>
      </c>
      <c r="E233" s="2" t="s">
        <v>31</v>
      </c>
      <c r="F233" s="1">
        <v>25201</v>
      </c>
      <c r="G233" s="1" t="s">
        <v>89</v>
      </c>
      <c r="H233" s="1" t="s">
        <v>18</v>
      </c>
      <c r="J233" s="2" t="s">
        <v>19</v>
      </c>
      <c r="K233" s="1" t="s">
        <v>1368</v>
      </c>
      <c r="L233" s="1" t="s">
        <v>20</v>
      </c>
      <c r="N233" s="1" t="str">
        <f t="shared" si="3"/>
        <v>ALEX DIAS</v>
      </c>
    </row>
    <row r="234" spans="1:14" x14ac:dyDescent="0.3">
      <c r="A234" s="1">
        <v>703664</v>
      </c>
      <c r="B234" s="1" t="s">
        <v>303</v>
      </c>
      <c r="C234" s="5" t="s">
        <v>15</v>
      </c>
      <c r="D234" s="2">
        <v>44998</v>
      </c>
      <c r="E234" s="2" t="s">
        <v>304</v>
      </c>
      <c r="F234" s="1">
        <v>39302</v>
      </c>
      <c r="G234" s="1" t="s">
        <v>102</v>
      </c>
      <c r="H234" s="1" t="s">
        <v>18</v>
      </c>
      <c r="J234" s="2" t="s">
        <v>57</v>
      </c>
      <c r="K234" s="1" t="s">
        <v>1371</v>
      </c>
      <c r="L234" s="1" t="s">
        <v>1376</v>
      </c>
      <c r="M234" s="1" t="s">
        <v>1377</v>
      </c>
      <c r="N234" s="1" t="str">
        <f t="shared" si="3"/>
        <v>WARLEY RIBEIRO</v>
      </c>
    </row>
    <row r="235" spans="1:14" x14ac:dyDescent="0.3">
      <c r="A235" s="1">
        <v>704147</v>
      </c>
      <c r="B235" s="1" t="s">
        <v>305</v>
      </c>
      <c r="C235" s="5" t="s">
        <v>233</v>
      </c>
      <c r="D235" s="2">
        <v>45264</v>
      </c>
      <c r="E235" s="2" t="s">
        <v>138</v>
      </c>
      <c r="F235" s="1">
        <v>22102</v>
      </c>
      <c r="G235" s="1" t="s">
        <v>68</v>
      </c>
      <c r="H235" s="1" t="s">
        <v>18</v>
      </c>
      <c r="J235" s="2" t="s">
        <v>81</v>
      </c>
      <c r="K235" s="1" t="s">
        <v>1371</v>
      </c>
      <c r="L235" s="1" t="s">
        <v>1509</v>
      </c>
      <c r="M235" s="1" t="s">
        <v>1379</v>
      </c>
      <c r="N235" s="1" t="str">
        <f t="shared" si="3"/>
        <v xml:space="preserve">EDSON/MARCELO LIMA </v>
      </c>
    </row>
    <row r="236" spans="1:14" x14ac:dyDescent="0.3">
      <c r="A236" s="1">
        <v>705407</v>
      </c>
      <c r="B236" s="1" t="s">
        <v>1256</v>
      </c>
      <c r="C236" s="5" t="s">
        <v>15</v>
      </c>
      <c r="D236" s="2">
        <v>45791</v>
      </c>
      <c r="E236" s="2" t="s">
        <v>31</v>
      </c>
      <c r="F236" s="1">
        <v>22102</v>
      </c>
      <c r="G236" s="1" t="s">
        <v>68</v>
      </c>
      <c r="H236" s="1" t="s">
        <v>18</v>
      </c>
      <c r="J236" s="2" t="s">
        <v>81</v>
      </c>
      <c r="K236" s="1" t="s">
        <v>1371</v>
      </c>
      <c r="L236" s="1" t="s">
        <v>1509</v>
      </c>
      <c r="M236" s="1" t="s">
        <v>1379</v>
      </c>
      <c r="N236" s="1" t="str">
        <f t="shared" si="3"/>
        <v xml:space="preserve">EDSON/MARCELO LIMA </v>
      </c>
    </row>
    <row r="237" spans="1:14" x14ac:dyDescent="0.3">
      <c r="A237" s="1">
        <v>703501</v>
      </c>
      <c r="B237" s="1" t="s">
        <v>306</v>
      </c>
      <c r="C237" s="5" t="s">
        <v>15</v>
      </c>
      <c r="D237" s="2">
        <v>44887</v>
      </c>
      <c r="E237" s="2" t="s">
        <v>141</v>
      </c>
      <c r="F237" s="1">
        <v>22102</v>
      </c>
      <c r="G237" s="1" t="s">
        <v>68</v>
      </c>
      <c r="H237" s="1" t="s">
        <v>18</v>
      </c>
      <c r="J237" s="2" t="s">
        <v>142</v>
      </c>
      <c r="K237" s="1" t="s">
        <v>1371</v>
      </c>
      <c r="L237" s="1" t="s">
        <v>1509</v>
      </c>
      <c r="M237" s="1" t="s">
        <v>143</v>
      </c>
      <c r="N237" s="1" t="str">
        <f t="shared" si="3"/>
        <v>TALLES BALIZA</v>
      </c>
    </row>
    <row r="238" spans="1:14" x14ac:dyDescent="0.3">
      <c r="A238" s="1">
        <v>705822</v>
      </c>
      <c r="B238" s="1" t="s">
        <v>1520</v>
      </c>
      <c r="C238" s="5" t="s">
        <v>15</v>
      </c>
      <c r="D238" s="2">
        <v>46035</v>
      </c>
      <c r="E238" s="2" t="s">
        <v>31</v>
      </c>
      <c r="F238" s="1">
        <v>25102</v>
      </c>
      <c r="G238" s="1" t="s">
        <v>1153</v>
      </c>
      <c r="H238" s="1" t="s">
        <v>18</v>
      </c>
      <c r="J238" s="2" t="s">
        <v>19</v>
      </c>
      <c r="K238" s="1" t="s">
        <v>1368</v>
      </c>
      <c r="L238" s="1" t="s">
        <v>20</v>
      </c>
      <c r="N238" s="1" t="str">
        <f t="shared" si="3"/>
        <v>ALEX DIAS</v>
      </c>
    </row>
    <row r="239" spans="1:14" x14ac:dyDescent="0.3">
      <c r="A239" s="1">
        <v>104107</v>
      </c>
      <c r="B239" s="1" t="s">
        <v>307</v>
      </c>
      <c r="C239" s="5" t="s">
        <v>15</v>
      </c>
      <c r="D239" s="2">
        <v>41753</v>
      </c>
      <c r="E239" s="2" t="s">
        <v>260</v>
      </c>
      <c r="F239" s="1">
        <v>52104</v>
      </c>
      <c r="G239" s="1" t="s">
        <v>17</v>
      </c>
      <c r="H239" s="1" t="s">
        <v>18</v>
      </c>
      <c r="J239" s="2" t="s">
        <v>19</v>
      </c>
      <c r="K239" s="1" t="s">
        <v>1368</v>
      </c>
      <c r="L239" s="1" t="s">
        <v>20</v>
      </c>
      <c r="N239" s="1" t="str">
        <f t="shared" si="3"/>
        <v>ALEX DIAS</v>
      </c>
    </row>
    <row r="240" spans="1:14" x14ac:dyDescent="0.3">
      <c r="A240" s="1">
        <v>701497</v>
      </c>
      <c r="B240" s="1" t="s">
        <v>308</v>
      </c>
      <c r="C240" s="5" t="s">
        <v>15</v>
      </c>
      <c r="D240" s="2">
        <v>43886</v>
      </c>
      <c r="E240" s="2" t="s">
        <v>251</v>
      </c>
      <c r="F240" s="1">
        <v>39301</v>
      </c>
      <c r="G240" s="1" t="s">
        <v>73</v>
      </c>
      <c r="H240" s="1" t="s">
        <v>18</v>
      </c>
      <c r="J240" s="2" t="s">
        <v>74</v>
      </c>
      <c r="K240" s="1" t="s">
        <v>1371</v>
      </c>
      <c r="L240" s="1" t="s">
        <v>1376</v>
      </c>
      <c r="M240" s="1" t="s">
        <v>75</v>
      </c>
      <c r="N240" s="1" t="str">
        <f t="shared" si="3"/>
        <v>ISAC NONATO</v>
      </c>
    </row>
    <row r="241" spans="1:14" x14ac:dyDescent="0.3">
      <c r="A241" s="1">
        <v>705511</v>
      </c>
      <c r="B241" s="1" t="s">
        <v>1296</v>
      </c>
      <c r="C241" s="5" t="s">
        <v>15</v>
      </c>
      <c r="D241" s="2">
        <v>45847</v>
      </c>
      <c r="E241" s="2" t="s">
        <v>31</v>
      </c>
      <c r="F241" s="1">
        <v>22102</v>
      </c>
      <c r="G241" s="1" t="s">
        <v>68</v>
      </c>
      <c r="H241" s="1" t="s">
        <v>18</v>
      </c>
      <c r="J241" s="2" t="s">
        <v>142</v>
      </c>
      <c r="K241" s="1" t="s">
        <v>1371</v>
      </c>
      <c r="L241" s="1" t="s">
        <v>1509</v>
      </c>
      <c r="M241" s="1" t="s">
        <v>143</v>
      </c>
      <c r="N241" s="1" t="str">
        <f t="shared" si="3"/>
        <v>TALLES BALIZA</v>
      </c>
    </row>
    <row r="242" spans="1:14" x14ac:dyDescent="0.3">
      <c r="A242" s="1">
        <v>702033</v>
      </c>
      <c r="B242" s="1" t="s">
        <v>309</v>
      </c>
      <c r="C242" s="5" t="s">
        <v>15</v>
      </c>
      <c r="D242" s="2">
        <v>44250</v>
      </c>
      <c r="E242" s="2" t="s">
        <v>219</v>
      </c>
      <c r="F242" s="1">
        <v>32101</v>
      </c>
      <c r="G242" s="1" t="s">
        <v>23</v>
      </c>
      <c r="H242" s="1" t="s">
        <v>18</v>
      </c>
      <c r="J242" s="2" t="s">
        <v>24</v>
      </c>
      <c r="K242" s="1" t="s">
        <v>25</v>
      </c>
      <c r="L242" s="1" t="s">
        <v>1369</v>
      </c>
      <c r="M242" s="1" t="s">
        <v>1370</v>
      </c>
      <c r="N242" s="1" t="str">
        <f t="shared" si="3"/>
        <v>JUNIO COSTA</v>
      </c>
    </row>
    <row r="243" spans="1:14" x14ac:dyDescent="0.3">
      <c r="A243" s="1">
        <v>705134</v>
      </c>
      <c r="B243" s="1" t="s">
        <v>1142</v>
      </c>
      <c r="C243" s="5" t="s">
        <v>15</v>
      </c>
      <c r="D243" s="2">
        <v>45698</v>
      </c>
      <c r="E243" s="2" t="s">
        <v>67</v>
      </c>
      <c r="F243" s="1">
        <v>22102</v>
      </c>
      <c r="G243" s="1" t="s">
        <v>68</v>
      </c>
      <c r="H243" s="1" t="s">
        <v>18</v>
      </c>
      <c r="J243" s="2" t="s">
        <v>94</v>
      </c>
      <c r="K243" s="1" t="s">
        <v>1371</v>
      </c>
      <c r="L243" s="1" t="s">
        <v>1378</v>
      </c>
      <c r="M243" s="1" t="s">
        <v>95</v>
      </c>
      <c r="N243" s="1" t="str">
        <f t="shared" si="3"/>
        <v>LUAN ABADIA</v>
      </c>
    </row>
    <row r="244" spans="1:14" x14ac:dyDescent="0.3">
      <c r="A244" s="1">
        <v>705371</v>
      </c>
      <c r="B244" s="1" t="s">
        <v>1219</v>
      </c>
      <c r="C244" s="5" t="s">
        <v>15</v>
      </c>
      <c r="D244" s="2">
        <v>45784</v>
      </c>
      <c r="E244" s="2" t="s">
        <v>93</v>
      </c>
      <c r="F244" s="1">
        <v>22102</v>
      </c>
      <c r="G244" s="1" t="s">
        <v>68</v>
      </c>
      <c r="H244" s="1" t="s">
        <v>18</v>
      </c>
      <c r="J244" s="2" t="s">
        <v>81</v>
      </c>
      <c r="K244" s="1" t="s">
        <v>1371</v>
      </c>
      <c r="L244" s="1" t="s">
        <v>1509</v>
      </c>
      <c r="M244" s="1" t="s">
        <v>1379</v>
      </c>
      <c r="N244" s="1" t="str">
        <f t="shared" si="3"/>
        <v xml:space="preserve">EDSON/MARCELO LIMA </v>
      </c>
    </row>
    <row r="245" spans="1:14" x14ac:dyDescent="0.3">
      <c r="A245" s="1">
        <v>704184</v>
      </c>
      <c r="B245" s="1" t="s">
        <v>310</v>
      </c>
      <c r="C245" s="5" t="s">
        <v>15</v>
      </c>
      <c r="D245" s="2">
        <v>45300</v>
      </c>
      <c r="E245" s="2" t="s">
        <v>97</v>
      </c>
      <c r="F245" s="1">
        <v>32101</v>
      </c>
      <c r="G245" s="1" t="s">
        <v>23</v>
      </c>
      <c r="H245" s="1" t="s">
        <v>18</v>
      </c>
      <c r="J245" s="2" t="s">
        <v>24</v>
      </c>
      <c r="K245" s="1" t="s">
        <v>25</v>
      </c>
      <c r="L245" s="1" t="s">
        <v>1369</v>
      </c>
      <c r="M245" s="1" t="s">
        <v>1370</v>
      </c>
      <c r="N245" s="1" t="str">
        <f t="shared" si="3"/>
        <v>JUNIO COSTA</v>
      </c>
    </row>
    <row r="246" spans="1:14" x14ac:dyDescent="0.3">
      <c r="A246" s="1">
        <v>705697</v>
      </c>
      <c r="B246" s="1" t="s">
        <v>1450</v>
      </c>
      <c r="C246" s="5" t="s">
        <v>15</v>
      </c>
      <c r="D246" s="2">
        <v>45971</v>
      </c>
      <c r="E246" s="2" t="s">
        <v>166</v>
      </c>
      <c r="F246" s="1">
        <v>22102</v>
      </c>
      <c r="G246" s="1" t="s">
        <v>68</v>
      </c>
      <c r="H246" s="1" t="s">
        <v>18</v>
      </c>
      <c r="J246" s="2" t="s">
        <v>94</v>
      </c>
      <c r="K246" s="1" t="s">
        <v>1371</v>
      </c>
      <c r="L246" s="1" t="s">
        <v>1378</v>
      </c>
      <c r="M246" s="1" t="s">
        <v>95</v>
      </c>
      <c r="N246" s="1" t="str">
        <f t="shared" si="3"/>
        <v>LUAN ABADIA</v>
      </c>
    </row>
    <row r="247" spans="1:14" x14ac:dyDescent="0.3">
      <c r="A247" s="1">
        <v>704573</v>
      </c>
      <c r="B247" s="1" t="s">
        <v>311</v>
      </c>
      <c r="C247" s="5" t="s">
        <v>15</v>
      </c>
      <c r="D247" s="2">
        <v>45448</v>
      </c>
      <c r="E247" s="2" t="s">
        <v>31</v>
      </c>
      <c r="F247" s="1">
        <v>25201</v>
      </c>
      <c r="G247" s="1" t="s">
        <v>89</v>
      </c>
      <c r="H247" s="1" t="s">
        <v>18</v>
      </c>
      <c r="J247" s="2" t="s">
        <v>19</v>
      </c>
      <c r="K247" s="1" t="s">
        <v>1368</v>
      </c>
      <c r="L247" s="1" t="s">
        <v>20</v>
      </c>
      <c r="N247" s="1" t="str">
        <f t="shared" si="3"/>
        <v>ALEX DIAS</v>
      </c>
    </row>
    <row r="248" spans="1:14" x14ac:dyDescent="0.3">
      <c r="A248" s="1">
        <v>702869</v>
      </c>
      <c r="B248" s="1" t="s">
        <v>312</v>
      </c>
      <c r="C248" s="5" t="s">
        <v>15</v>
      </c>
      <c r="D248" s="2">
        <v>44628</v>
      </c>
      <c r="E248" s="2" t="s">
        <v>138</v>
      </c>
      <c r="F248" s="1">
        <v>22102</v>
      </c>
      <c r="G248" s="1" t="s">
        <v>68</v>
      </c>
      <c r="H248" s="1" t="s">
        <v>18</v>
      </c>
      <c r="J248" s="2" t="s">
        <v>81</v>
      </c>
      <c r="K248" s="1" t="s">
        <v>1371</v>
      </c>
      <c r="L248" s="1" t="s">
        <v>1509</v>
      </c>
      <c r="M248" s="1" t="s">
        <v>1379</v>
      </c>
      <c r="N248" s="1" t="str">
        <f t="shared" si="3"/>
        <v xml:space="preserve">EDSON/MARCELO LIMA </v>
      </c>
    </row>
    <row r="249" spans="1:14" x14ac:dyDescent="0.3">
      <c r="A249" s="1">
        <v>705113</v>
      </c>
      <c r="B249" s="1" t="s">
        <v>313</v>
      </c>
      <c r="C249" s="5" t="s">
        <v>92</v>
      </c>
      <c r="D249" s="2">
        <v>45678</v>
      </c>
      <c r="E249" s="2" t="s">
        <v>31</v>
      </c>
      <c r="F249" s="1">
        <v>52104</v>
      </c>
      <c r="G249" s="1" t="s">
        <v>17</v>
      </c>
      <c r="H249" s="1" t="s">
        <v>18</v>
      </c>
      <c r="I249" s="2">
        <v>46031</v>
      </c>
      <c r="J249" s="2" t="s">
        <v>19</v>
      </c>
      <c r="K249" s="1" t="s">
        <v>1368</v>
      </c>
      <c r="L249" s="1" t="s">
        <v>20</v>
      </c>
      <c r="N249" s="1" t="str">
        <f t="shared" si="3"/>
        <v>ALEX DIAS</v>
      </c>
    </row>
    <row r="250" spans="1:14" x14ac:dyDescent="0.3">
      <c r="A250" s="1">
        <v>705010</v>
      </c>
      <c r="B250" s="1" t="s">
        <v>314</v>
      </c>
      <c r="C250" s="5" t="s">
        <v>15</v>
      </c>
      <c r="D250" s="2">
        <v>45629</v>
      </c>
      <c r="E250" s="2" t="s">
        <v>31</v>
      </c>
      <c r="F250" s="1">
        <v>52104</v>
      </c>
      <c r="G250" s="1" t="s">
        <v>17</v>
      </c>
      <c r="H250" s="1" t="s">
        <v>18</v>
      </c>
      <c r="J250" s="2" t="s">
        <v>19</v>
      </c>
      <c r="K250" s="1" t="s">
        <v>1368</v>
      </c>
      <c r="L250" s="1" t="s">
        <v>20</v>
      </c>
      <c r="N250" s="1" t="str">
        <f t="shared" si="3"/>
        <v>ALEX DIAS</v>
      </c>
    </row>
    <row r="251" spans="1:14" x14ac:dyDescent="0.3">
      <c r="A251" s="1">
        <v>703418</v>
      </c>
      <c r="B251" s="1" t="s">
        <v>45</v>
      </c>
      <c r="C251" s="5" t="s">
        <v>15</v>
      </c>
      <c r="D251" s="2">
        <v>44873</v>
      </c>
      <c r="E251" s="2" t="s">
        <v>1220</v>
      </c>
      <c r="F251" s="1">
        <v>33101</v>
      </c>
      <c r="G251" s="1" t="s">
        <v>186</v>
      </c>
      <c r="H251" s="1" t="s">
        <v>18</v>
      </c>
      <c r="J251" s="2" t="s">
        <v>1278</v>
      </c>
      <c r="K251" s="1" t="s">
        <v>25</v>
      </c>
      <c r="N251" s="1" t="str">
        <f t="shared" si="3"/>
        <v>RAFAEL XAVIER</v>
      </c>
    </row>
    <row r="252" spans="1:14" x14ac:dyDescent="0.3">
      <c r="A252" s="1">
        <v>703468</v>
      </c>
      <c r="B252" s="1" t="s">
        <v>866</v>
      </c>
      <c r="C252" s="5" t="s">
        <v>15</v>
      </c>
      <c r="D252" s="2">
        <v>44881</v>
      </c>
      <c r="E252" s="2" t="s">
        <v>433</v>
      </c>
      <c r="F252" s="1">
        <v>38107</v>
      </c>
      <c r="G252" s="1" t="s">
        <v>1503</v>
      </c>
      <c r="H252" s="1" t="s">
        <v>18</v>
      </c>
      <c r="J252" s="2" t="s">
        <v>78</v>
      </c>
      <c r="K252" s="1" t="s">
        <v>1372</v>
      </c>
      <c r="L252" s="1" t="s">
        <v>1372</v>
      </c>
      <c r="N252" s="1" t="str">
        <f t="shared" si="3"/>
        <v xml:space="preserve">LEIDJANE MARTINS </v>
      </c>
    </row>
    <row r="253" spans="1:14" x14ac:dyDescent="0.3">
      <c r="A253" s="1">
        <v>705811</v>
      </c>
      <c r="B253" s="1" t="s">
        <v>1521</v>
      </c>
      <c r="C253" s="5" t="s">
        <v>15</v>
      </c>
      <c r="D253" s="2">
        <v>46035</v>
      </c>
      <c r="E253" s="2" t="s">
        <v>31</v>
      </c>
      <c r="F253" s="1">
        <v>25102</v>
      </c>
      <c r="G253" s="1" t="s">
        <v>1153</v>
      </c>
      <c r="H253" s="1" t="s">
        <v>18</v>
      </c>
      <c r="J253" s="2" t="s">
        <v>19</v>
      </c>
      <c r="K253" s="1" t="s">
        <v>1368</v>
      </c>
      <c r="L253" s="1" t="s">
        <v>20</v>
      </c>
      <c r="N253" s="1" t="str">
        <f t="shared" si="3"/>
        <v>ALEX DIAS</v>
      </c>
    </row>
    <row r="254" spans="1:14" x14ac:dyDescent="0.3">
      <c r="A254" s="1">
        <v>702701</v>
      </c>
      <c r="B254" s="1" t="s">
        <v>316</v>
      </c>
      <c r="C254" s="5" t="s">
        <v>15</v>
      </c>
      <c r="D254" s="2">
        <v>44572</v>
      </c>
      <c r="E254" s="2" t="s">
        <v>97</v>
      </c>
      <c r="F254" s="1">
        <v>32101</v>
      </c>
      <c r="G254" s="1" t="s">
        <v>23</v>
      </c>
      <c r="H254" s="1" t="s">
        <v>18</v>
      </c>
      <c r="J254" s="2" t="s">
        <v>24</v>
      </c>
      <c r="K254" s="1" t="s">
        <v>25</v>
      </c>
      <c r="L254" s="1" t="s">
        <v>1369</v>
      </c>
      <c r="M254" s="1" t="s">
        <v>1370</v>
      </c>
      <c r="N254" s="1" t="str">
        <f t="shared" si="3"/>
        <v>JUNIO COSTA</v>
      </c>
    </row>
    <row r="255" spans="1:14" x14ac:dyDescent="0.3">
      <c r="A255" s="1">
        <v>704837</v>
      </c>
      <c r="B255" s="1" t="s">
        <v>317</v>
      </c>
      <c r="C255" s="5" t="s">
        <v>15</v>
      </c>
      <c r="D255" s="2">
        <v>45566</v>
      </c>
      <c r="E255" s="2" t="s">
        <v>27</v>
      </c>
      <c r="F255" s="1">
        <v>39304</v>
      </c>
      <c r="G255" s="1" t="s">
        <v>56</v>
      </c>
      <c r="H255" s="1" t="s">
        <v>18</v>
      </c>
      <c r="J255" s="2" t="s">
        <v>57</v>
      </c>
      <c r="K255" s="1" t="s">
        <v>1371</v>
      </c>
      <c r="L255" s="1" t="s">
        <v>1376</v>
      </c>
      <c r="M255" s="1" t="s">
        <v>1377</v>
      </c>
      <c r="N255" s="1" t="str">
        <f t="shared" si="3"/>
        <v>WARLEY RIBEIRO</v>
      </c>
    </row>
    <row r="256" spans="1:14" x14ac:dyDescent="0.3">
      <c r="A256" s="1">
        <v>702563</v>
      </c>
      <c r="B256" s="1" t="s">
        <v>318</v>
      </c>
      <c r="C256" s="5" t="s">
        <v>15</v>
      </c>
      <c r="D256" s="2">
        <v>44459</v>
      </c>
      <c r="E256" s="2" t="s">
        <v>60</v>
      </c>
      <c r="F256" s="1">
        <v>22102</v>
      </c>
      <c r="G256" s="1" t="s">
        <v>68</v>
      </c>
      <c r="H256" s="1" t="s">
        <v>18</v>
      </c>
      <c r="J256" s="2" t="s">
        <v>81</v>
      </c>
      <c r="K256" s="1" t="s">
        <v>1371</v>
      </c>
      <c r="L256" s="1" t="s">
        <v>1509</v>
      </c>
      <c r="M256" s="1" t="s">
        <v>1379</v>
      </c>
      <c r="N256" s="1" t="str">
        <f t="shared" si="3"/>
        <v xml:space="preserve">EDSON/MARCELO LIMA </v>
      </c>
    </row>
    <row r="257" spans="1:14" x14ac:dyDescent="0.3">
      <c r="A257" s="1">
        <v>105433</v>
      </c>
      <c r="B257" s="1" t="s">
        <v>319</v>
      </c>
      <c r="C257" s="5" t="s">
        <v>15</v>
      </c>
      <c r="D257" s="2">
        <v>42863</v>
      </c>
      <c r="E257" s="2" t="s">
        <v>179</v>
      </c>
      <c r="F257" s="1">
        <v>32101</v>
      </c>
      <c r="G257" s="1" t="s">
        <v>23</v>
      </c>
      <c r="H257" s="1" t="s">
        <v>18</v>
      </c>
      <c r="J257" s="2" t="s">
        <v>24</v>
      </c>
      <c r="K257" s="1" t="s">
        <v>25</v>
      </c>
      <c r="L257" s="1" t="s">
        <v>1369</v>
      </c>
      <c r="M257" s="1" t="s">
        <v>1370</v>
      </c>
      <c r="N257" s="1" t="str">
        <f t="shared" si="3"/>
        <v>JUNIO COSTA</v>
      </c>
    </row>
    <row r="258" spans="1:14" x14ac:dyDescent="0.3">
      <c r="A258" s="1">
        <v>703240</v>
      </c>
      <c r="B258" s="1" t="s">
        <v>320</v>
      </c>
      <c r="C258" s="5" t="s">
        <v>15</v>
      </c>
      <c r="D258" s="2">
        <v>44760</v>
      </c>
      <c r="E258" s="2" t="s">
        <v>1221</v>
      </c>
      <c r="F258" s="1">
        <v>34201</v>
      </c>
      <c r="G258" s="1" t="s">
        <v>84</v>
      </c>
      <c r="H258" s="1" t="s">
        <v>18</v>
      </c>
      <c r="J258" s="2" t="s">
        <v>85</v>
      </c>
      <c r="K258" s="1" t="s">
        <v>1371</v>
      </c>
      <c r="L258" s="1" t="s">
        <v>1371</v>
      </c>
      <c r="M258" s="1" t="s">
        <v>1380</v>
      </c>
      <c r="N258" s="1" t="str">
        <f t="shared" si="3"/>
        <v xml:space="preserve">LEONARDO SANTOS </v>
      </c>
    </row>
    <row r="259" spans="1:14" x14ac:dyDescent="0.3">
      <c r="A259" s="1">
        <v>704559</v>
      </c>
      <c r="B259" s="1" t="s">
        <v>871</v>
      </c>
      <c r="C259" s="5" t="s">
        <v>15</v>
      </c>
      <c r="D259" s="2">
        <v>45426</v>
      </c>
      <c r="E259" s="2" t="s">
        <v>31</v>
      </c>
      <c r="F259" s="1">
        <v>22102</v>
      </c>
      <c r="G259" s="1" t="s">
        <v>68</v>
      </c>
      <c r="H259" s="1" t="s">
        <v>18</v>
      </c>
      <c r="J259" s="2" t="s">
        <v>81</v>
      </c>
      <c r="K259" s="1" t="s">
        <v>1371</v>
      </c>
      <c r="L259" s="1" t="s">
        <v>1509</v>
      </c>
      <c r="M259" s="1" t="s">
        <v>1379</v>
      </c>
      <c r="N259" s="1" t="str">
        <f t="shared" ref="N259:N322" si="4">IF(M259&lt;&gt;"", M259, IF(L259&lt;&gt;"", L259, K259))</f>
        <v xml:space="preserve">EDSON/MARCELO LIMA </v>
      </c>
    </row>
    <row r="260" spans="1:14" x14ac:dyDescent="0.3">
      <c r="A260" s="1">
        <v>701224</v>
      </c>
      <c r="B260" s="1" t="s">
        <v>321</v>
      </c>
      <c r="C260" s="5" t="s">
        <v>15</v>
      </c>
      <c r="D260" s="2">
        <v>42506</v>
      </c>
      <c r="E260" s="2" t="s">
        <v>160</v>
      </c>
      <c r="F260" s="1">
        <v>32101</v>
      </c>
      <c r="G260" s="1" t="s">
        <v>23</v>
      </c>
      <c r="H260" s="1" t="s">
        <v>18</v>
      </c>
      <c r="J260" s="2" t="s">
        <v>24</v>
      </c>
      <c r="K260" s="1" t="s">
        <v>25</v>
      </c>
      <c r="L260" s="1" t="s">
        <v>1369</v>
      </c>
      <c r="M260" s="1" t="s">
        <v>1370</v>
      </c>
      <c r="N260" s="1" t="str">
        <f t="shared" si="4"/>
        <v>JUNIO COSTA</v>
      </c>
    </row>
    <row r="261" spans="1:14" x14ac:dyDescent="0.3">
      <c r="A261" s="1">
        <v>702712</v>
      </c>
      <c r="B261" s="1" t="s">
        <v>322</v>
      </c>
      <c r="C261" s="5" t="s">
        <v>15</v>
      </c>
      <c r="D261" s="2">
        <v>44586</v>
      </c>
      <c r="E261" s="2" t="s">
        <v>323</v>
      </c>
      <c r="F261" s="1">
        <v>14101</v>
      </c>
      <c r="G261" s="1" t="s">
        <v>277</v>
      </c>
      <c r="H261" s="1" t="s">
        <v>18</v>
      </c>
      <c r="J261" s="2" t="s">
        <v>278</v>
      </c>
      <c r="K261" s="1" t="s">
        <v>1372</v>
      </c>
      <c r="L261" s="1" t="s">
        <v>1372</v>
      </c>
      <c r="N261" s="1" t="str">
        <f t="shared" si="4"/>
        <v xml:space="preserve">LEIDJANE MARTINS </v>
      </c>
    </row>
    <row r="262" spans="1:14" x14ac:dyDescent="0.3">
      <c r="A262" s="1">
        <v>101069</v>
      </c>
      <c r="B262" s="1" t="s">
        <v>324</v>
      </c>
      <c r="C262" s="5" t="s">
        <v>15</v>
      </c>
      <c r="D262" s="2">
        <v>42663</v>
      </c>
      <c r="E262" s="2" t="s">
        <v>80</v>
      </c>
      <c r="F262" s="1">
        <v>38101</v>
      </c>
      <c r="G262" s="1" t="s">
        <v>35</v>
      </c>
      <c r="H262" s="1" t="s">
        <v>18</v>
      </c>
      <c r="J262" s="2" t="s">
        <v>36</v>
      </c>
      <c r="K262" s="1" t="s">
        <v>1372</v>
      </c>
      <c r="L262" s="1" t="s">
        <v>1372</v>
      </c>
      <c r="M262" s="1" t="s">
        <v>1373</v>
      </c>
      <c r="N262" s="1" t="str">
        <f t="shared" si="4"/>
        <v>DENIS ACASSIO</v>
      </c>
    </row>
    <row r="263" spans="1:14" x14ac:dyDescent="0.3">
      <c r="A263" s="1">
        <v>705252</v>
      </c>
      <c r="B263" s="1" t="s">
        <v>1180</v>
      </c>
      <c r="C263" s="5" t="s">
        <v>15</v>
      </c>
      <c r="D263" s="2">
        <v>45762</v>
      </c>
      <c r="E263" s="2" t="s">
        <v>31</v>
      </c>
      <c r="F263" s="1">
        <v>39301</v>
      </c>
      <c r="G263" s="1" t="s">
        <v>73</v>
      </c>
      <c r="H263" s="1" t="s">
        <v>18</v>
      </c>
      <c r="J263" s="2" t="s">
        <v>74</v>
      </c>
      <c r="K263" s="1" t="s">
        <v>1371</v>
      </c>
      <c r="L263" s="1" t="s">
        <v>1376</v>
      </c>
      <c r="M263" s="1" t="s">
        <v>75</v>
      </c>
      <c r="N263" s="1" t="str">
        <f t="shared" si="4"/>
        <v>ISAC NONATO</v>
      </c>
    </row>
    <row r="264" spans="1:14" x14ac:dyDescent="0.3">
      <c r="A264" s="1">
        <v>702981</v>
      </c>
      <c r="B264" s="1" t="s">
        <v>325</v>
      </c>
      <c r="C264" s="5" t="s">
        <v>15</v>
      </c>
      <c r="D264" s="2">
        <v>44684</v>
      </c>
      <c r="E264" s="2" t="s">
        <v>326</v>
      </c>
      <c r="F264" s="1">
        <v>32101</v>
      </c>
      <c r="G264" s="1" t="s">
        <v>23</v>
      </c>
      <c r="H264" s="1" t="s">
        <v>18</v>
      </c>
      <c r="J264" s="2" t="s">
        <v>24</v>
      </c>
      <c r="K264" s="1" t="s">
        <v>25</v>
      </c>
      <c r="L264" s="1" t="s">
        <v>1369</v>
      </c>
      <c r="M264" s="1" t="s">
        <v>1370</v>
      </c>
      <c r="N264" s="1" t="str">
        <f t="shared" si="4"/>
        <v>JUNIO COSTA</v>
      </c>
    </row>
    <row r="265" spans="1:14" x14ac:dyDescent="0.3">
      <c r="A265" s="1">
        <v>704816</v>
      </c>
      <c r="B265" s="1" t="s">
        <v>873</v>
      </c>
      <c r="C265" s="5" t="s">
        <v>15</v>
      </c>
      <c r="D265" s="2">
        <v>45566</v>
      </c>
      <c r="E265" s="2" t="s">
        <v>31</v>
      </c>
      <c r="F265" s="1">
        <v>22102</v>
      </c>
      <c r="G265" s="1" t="s">
        <v>68</v>
      </c>
      <c r="H265" s="1" t="s">
        <v>18</v>
      </c>
      <c r="J265" s="2" t="s">
        <v>81</v>
      </c>
      <c r="K265" s="1" t="s">
        <v>1371</v>
      </c>
      <c r="L265" s="1" t="s">
        <v>1509</v>
      </c>
      <c r="M265" s="1" t="s">
        <v>1379</v>
      </c>
      <c r="N265" s="1" t="str">
        <f t="shared" si="4"/>
        <v xml:space="preserve">EDSON/MARCELO LIMA </v>
      </c>
    </row>
    <row r="266" spans="1:14" x14ac:dyDescent="0.3">
      <c r="A266" s="1">
        <v>705780</v>
      </c>
      <c r="B266" s="1" t="s">
        <v>1483</v>
      </c>
      <c r="C266" s="5" t="s">
        <v>15</v>
      </c>
      <c r="D266" s="2">
        <v>45993</v>
      </c>
      <c r="E266" s="2" t="s">
        <v>31</v>
      </c>
      <c r="F266" s="1">
        <v>25102</v>
      </c>
      <c r="G266" s="1" t="s">
        <v>1153</v>
      </c>
      <c r="H266" s="1" t="s">
        <v>18</v>
      </c>
      <c r="J266" s="2" t="s">
        <v>19</v>
      </c>
      <c r="K266" s="1" t="s">
        <v>1368</v>
      </c>
      <c r="L266" s="1" t="s">
        <v>20</v>
      </c>
      <c r="N266" s="1" t="str">
        <f t="shared" si="4"/>
        <v>ALEX DIAS</v>
      </c>
    </row>
    <row r="267" spans="1:14" x14ac:dyDescent="0.3">
      <c r="A267" s="1">
        <v>705628</v>
      </c>
      <c r="B267" s="1" t="s">
        <v>1404</v>
      </c>
      <c r="C267" s="5" t="s">
        <v>15</v>
      </c>
      <c r="D267" s="2">
        <v>45937</v>
      </c>
      <c r="E267" s="2" t="s">
        <v>31</v>
      </c>
      <c r="F267" s="1">
        <v>25201</v>
      </c>
      <c r="G267" s="1" t="s">
        <v>89</v>
      </c>
      <c r="H267" s="1" t="s">
        <v>18</v>
      </c>
      <c r="J267" s="2" t="s">
        <v>19</v>
      </c>
      <c r="K267" s="1" t="s">
        <v>1368</v>
      </c>
      <c r="L267" s="1" t="s">
        <v>20</v>
      </c>
      <c r="N267" s="1" t="str">
        <f t="shared" si="4"/>
        <v>ALEX DIAS</v>
      </c>
    </row>
    <row r="268" spans="1:14" x14ac:dyDescent="0.3">
      <c r="A268" s="1">
        <v>705630</v>
      </c>
      <c r="B268" s="1" t="s">
        <v>1405</v>
      </c>
      <c r="C268" s="5" t="s">
        <v>15</v>
      </c>
      <c r="D268" s="2">
        <v>45937</v>
      </c>
      <c r="E268" s="2" t="s">
        <v>31</v>
      </c>
      <c r="F268" s="1">
        <v>25201</v>
      </c>
      <c r="G268" s="1" t="s">
        <v>89</v>
      </c>
      <c r="H268" s="1" t="s">
        <v>18</v>
      </c>
      <c r="J268" s="2" t="s">
        <v>19</v>
      </c>
      <c r="K268" s="1" t="s">
        <v>1368</v>
      </c>
      <c r="L268" s="1" t="s">
        <v>20</v>
      </c>
      <c r="N268" s="1" t="str">
        <f t="shared" si="4"/>
        <v>ALEX DIAS</v>
      </c>
    </row>
    <row r="269" spans="1:14" x14ac:dyDescent="0.3">
      <c r="A269" s="1">
        <v>702338</v>
      </c>
      <c r="B269" s="1" t="s">
        <v>327</v>
      </c>
      <c r="C269" s="5" t="s">
        <v>15</v>
      </c>
      <c r="D269" s="2">
        <v>44362</v>
      </c>
      <c r="E269" s="2" t="s">
        <v>219</v>
      </c>
      <c r="F269" s="1">
        <v>32101</v>
      </c>
      <c r="G269" s="1" t="s">
        <v>23</v>
      </c>
      <c r="H269" s="1" t="s">
        <v>18</v>
      </c>
      <c r="J269" s="2" t="s">
        <v>24</v>
      </c>
      <c r="K269" s="1" t="s">
        <v>25</v>
      </c>
      <c r="L269" s="1" t="s">
        <v>1369</v>
      </c>
      <c r="M269" s="1" t="s">
        <v>1370</v>
      </c>
      <c r="N269" s="1" t="str">
        <f t="shared" si="4"/>
        <v>JUNIO COSTA</v>
      </c>
    </row>
    <row r="270" spans="1:14" x14ac:dyDescent="0.3">
      <c r="A270" s="1">
        <v>705203</v>
      </c>
      <c r="B270" s="1" t="s">
        <v>1160</v>
      </c>
      <c r="C270" s="5" t="s">
        <v>15</v>
      </c>
      <c r="D270" s="2">
        <v>45726</v>
      </c>
      <c r="E270" s="2" t="s">
        <v>31</v>
      </c>
      <c r="F270" s="1">
        <v>34201</v>
      </c>
      <c r="G270" s="1" t="s">
        <v>84</v>
      </c>
      <c r="H270" s="1" t="s">
        <v>18</v>
      </c>
      <c r="J270" s="2" t="s">
        <v>85</v>
      </c>
      <c r="K270" s="1" t="s">
        <v>1371</v>
      </c>
      <c r="L270" s="1" t="s">
        <v>1371</v>
      </c>
      <c r="M270" s="1" t="s">
        <v>1380</v>
      </c>
      <c r="N270" s="1" t="str">
        <f t="shared" si="4"/>
        <v xml:space="preserve">LEONARDO SANTOS </v>
      </c>
    </row>
    <row r="271" spans="1:14" x14ac:dyDescent="0.3">
      <c r="A271" s="1">
        <v>705514</v>
      </c>
      <c r="B271" s="1" t="s">
        <v>1297</v>
      </c>
      <c r="C271" s="5" t="s">
        <v>15</v>
      </c>
      <c r="D271" s="2">
        <v>45847</v>
      </c>
      <c r="E271" s="2" t="s">
        <v>91</v>
      </c>
      <c r="F271" s="1">
        <v>34201</v>
      </c>
      <c r="G271" s="1" t="s">
        <v>84</v>
      </c>
      <c r="H271" s="1" t="s">
        <v>18</v>
      </c>
      <c r="J271" s="2" t="s">
        <v>85</v>
      </c>
      <c r="K271" s="1" t="s">
        <v>1371</v>
      </c>
      <c r="L271" s="1" t="s">
        <v>1371</v>
      </c>
      <c r="M271" s="1" t="s">
        <v>1380</v>
      </c>
      <c r="N271" s="1" t="str">
        <f t="shared" si="4"/>
        <v xml:space="preserve">LEONARDO SANTOS </v>
      </c>
    </row>
    <row r="272" spans="1:14" x14ac:dyDescent="0.3">
      <c r="A272" s="1">
        <v>701698</v>
      </c>
      <c r="B272" s="1" t="s">
        <v>329</v>
      </c>
      <c r="C272" s="5" t="s">
        <v>15</v>
      </c>
      <c r="D272" s="2">
        <v>44025</v>
      </c>
      <c r="E272" s="2" t="s">
        <v>83</v>
      </c>
      <c r="F272" s="1">
        <v>34201</v>
      </c>
      <c r="G272" s="1" t="s">
        <v>84</v>
      </c>
      <c r="H272" s="1" t="s">
        <v>18</v>
      </c>
      <c r="J272" s="2" t="s">
        <v>85</v>
      </c>
      <c r="K272" s="1" t="s">
        <v>1371</v>
      </c>
      <c r="L272" s="1" t="s">
        <v>1371</v>
      </c>
      <c r="M272" s="1" t="s">
        <v>1380</v>
      </c>
      <c r="N272" s="1" t="str">
        <f t="shared" si="4"/>
        <v xml:space="preserve">LEONARDO SANTOS </v>
      </c>
    </row>
    <row r="273" spans="1:14" x14ac:dyDescent="0.3">
      <c r="A273" s="1">
        <v>101305</v>
      </c>
      <c r="B273" s="1" t="s">
        <v>330</v>
      </c>
      <c r="C273" s="5" t="s">
        <v>15</v>
      </c>
      <c r="D273" s="2">
        <v>42842</v>
      </c>
      <c r="E273" s="2" t="s">
        <v>105</v>
      </c>
      <c r="F273" s="1">
        <v>22102</v>
      </c>
      <c r="G273" s="1" t="s">
        <v>68</v>
      </c>
      <c r="H273" s="1" t="s">
        <v>18</v>
      </c>
      <c r="J273" s="2" t="s">
        <v>81</v>
      </c>
      <c r="K273" s="1" t="s">
        <v>1371</v>
      </c>
      <c r="L273" s="1" t="s">
        <v>1509</v>
      </c>
      <c r="M273" s="1" t="s">
        <v>1379</v>
      </c>
      <c r="N273" s="1" t="str">
        <f t="shared" si="4"/>
        <v xml:space="preserve">EDSON/MARCELO LIMA </v>
      </c>
    </row>
    <row r="274" spans="1:14" x14ac:dyDescent="0.3">
      <c r="A274" s="1">
        <v>705592</v>
      </c>
      <c r="B274" s="1" t="s">
        <v>1336</v>
      </c>
      <c r="C274" s="5" t="s">
        <v>15</v>
      </c>
      <c r="D274" s="2">
        <v>45881</v>
      </c>
      <c r="E274" s="2" t="s">
        <v>31</v>
      </c>
      <c r="F274" s="1">
        <v>22102</v>
      </c>
      <c r="G274" s="1" t="s">
        <v>68</v>
      </c>
      <c r="H274" s="1" t="s">
        <v>18</v>
      </c>
      <c r="J274" s="2" t="s">
        <v>81</v>
      </c>
      <c r="K274" s="1" t="s">
        <v>1371</v>
      </c>
      <c r="L274" s="1" t="s">
        <v>1509</v>
      </c>
      <c r="M274" s="1" t="s">
        <v>1379</v>
      </c>
      <c r="N274" s="1" t="str">
        <f t="shared" si="4"/>
        <v xml:space="preserve">EDSON/MARCELO LIMA </v>
      </c>
    </row>
    <row r="275" spans="1:14" x14ac:dyDescent="0.3">
      <c r="A275" s="1">
        <v>104851</v>
      </c>
      <c r="B275" s="1" t="s">
        <v>331</v>
      </c>
      <c r="C275" s="5" t="s">
        <v>15</v>
      </c>
      <c r="D275" s="2">
        <v>42345</v>
      </c>
      <c r="E275" s="2" t="s">
        <v>40</v>
      </c>
      <c r="F275" s="1">
        <v>51219</v>
      </c>
      <c r="G275" s="1" t="s">
        <v>61</v>
      </c>
      <c r="H275" s="1" t="s">
        <v>18</v>
      </c>
      <c r="J275" s="2" t="s">
        <v>37</v>
      </c>
      <c r="K275" s="1" t="s">
        <v>1368</v>
      </c>
      <c r="L275" s="1" t="s">
        <v>20</v>
      </c>
      <c r="N275" s="1" t="str">
        <f t="shared" si="4"/>
        <v>ALEX DIAS</v>
      </c>
    </row>
    <row r="276" spans="1:14" x14ac:dyDescent="0.3">
      <c r="A276" s="1">
        <v>700192</v>
      </c>
      <c r="B276" s="1" t="s">
        <v>883</v>
      </c>
      <c r="C276" s="5" t="s">
        <v>15</v>
      </c>
      <c r="D276" s="2">
        <v>43241</v>
      </c>
      <c r="E276" s="2" t="s">
        <v>60</v>
      </c>
      <c r="F276" s="1">
        <v>22102</v>
      </c>
      <c r="G276" s="1" t="s">
        <v>68</v>
      </c>
      <c r="H276" s="1" t="s">
        <v>18</v>
      </c>
      <c r="J276" s="2" t="s">
        <v>167</v>
      </c>
      <c r="K276" s="1" t="s">
        <v>1371</v>
      </c>
      <c r="L276" s="1" t="s">
        <v>1509</v>
      </c>
      <c r="M276" s="1" t="s">
        <v>1383</v>
      </c>
      <c r="N276" s="1" t="str">
        <f t="shared" si="4"/>
        <v>WANDRES/FABIANO</v>
      </c>
    </row>
    <row r="277" spans="1:14" x14ac:dyDescent="0.3">
      <c r="A277" s="1">
        <v>705518</v>
      </c>
      <c r="B277" s="1" t="s">
        <v>1337</v>
      </c>
      <c r="C277" s="5" t="s">
        <v>15</v>
      </c>
      <c r="D277" s="2">
        <v>45874</v>
      </c>
      <c r="E277" s="2" t="s">
        <v>31</v>
      </c>
      <c r="F277" s="1">
        <v>34101</v>
      </c>
      <c r="G277" s="1" t="s">
        <v>43</v>
      </c>
      <c r="H277" s="1" t="s">
        <v>18</v>
      </c>
      <c r="J277" s="2" t="s">
        <v>237</v>
      </c>
      <c r="K277" s="1" t="s">
        <v>25</v>
      </c>
      <c r="L277" s="1" t="s">
        <v>1374</v>
      </c>
      <c r="M277" s="1" t="s">
        <v>1384</v>
      </c>
      <c r="N277" s="1" t="str">
        <f t="shared" si="4"/>
        <v xml:space="preserve">MARCOS VINICIUS </v>
      </c>
    </row>
    <row r="278" spans="1:14" x14ac:dyDescent="0.3">
      <c r="A278" s="1">
        <v>705381</v>
      </c>
      <c r="B278" s="1" t="s">
        <v>1222</v>
      </c>
      <c r="C278" s="5" t="s">
        <v>15</v>
      </c>
      <c r="D278" s="2">
        <v>45784</v>
      </c>
      <c r="E278" s="2" t="s">
        <v>31</v>
      </c>
      <c r="F278" s="1">
        <v>39302</v>
      </c>
      <c r="G278" s="1" t="s">
        <v>102</v>
      </c>
      <c r="H278" s="1" t="s">
        <v>18</v>
      </c>
      <c r="J278" s="2" t="s">
        <v>57</v>
      </c>
      <c r="K278" s="1" t="s">
        <v>1371</v>
      </c>
      <c r="L278" s="1" t="s">
        <v>1376</v>
      </c>
      <c r="M278" s="1" t="s">
        <v>1377</v>
      </c>
      <c r="N278" s="1" t="str">
        <f t="shared" si="4"/>
        <v>WARLEY RIBEIRO</v>
      </c>
    </row>
    <row r="279" spans="1:14" x14ac:dyDescent="0.3">
      <c r="A279" s="1">
        <v>703466</v>
      </c>
      <c r="B279" s="1" t="s">
        <v>332</v>
      </c>
      <c r="C279" s="5" t="s">
        <v>15</v>
      </c>
      <c r="D279" s="2">
        <v>44881</v>
      </c>
      <c r="E279" s="2" t="s">
        <v>1223</v>
      </c>
      <c r="F279" s="1">
        <v>33301</v>
      </c>
      <c r="G279" s="1" t="s">
        <v>64</v>
      </c>
      <c r="H279" s="1" t="s">
        <v>18</v>
      </c>
      <c r="J279" s="2" t="s">
        <v>65</v>
      </c>
      <c r="K279" s="1" t="s">
        <v>25</v>
      </c>
      <c r="L279" s="1" t="s">
        <v>1374</v>
      </c>
      <c r="M279" s="1" t="s">
        <v>1375</v>
      </c>
      <c r="N279" s="1" t="str">
        <f t="shared" si="4"/>
        <v>ANDRÉ CUBA</v>
      </c>
    </row>
    <row r="280" spans="1:14" x14ac:dyDescent="0.3">
      <c r="A280" s="1">
        <v>705338</v>
      </c>
      <c r="B280" s="1" t="s">
        <v>1259</v>
      </c>
      <c r="C280" s="5" t="s">
        <v>92</v>
      </c>
      <c r="D280" s="2">
        <v>45784</v>
      </c>
      <c r="E280" s="2" t="s">
        <v>31</v>
      </c>
      <c r="F280" s="1">
        <v>22102</v>
      </c>
      <c r="G280" s="1" t="s">
        <v>68</v>
      </c>
      <c r="H280" s="1" t="s">
        <v>18</v>
      </c>
      <c r="I280" s="2">
        <v>46042</v>
      </c>
      <c r="J280" s="2" t="s">
        <v>81</v>
      </c>
      <c r="K280" s="1" t="s">
        <v>1371</v>
      </c>
      <c r="L280" s="1" t="s">
        <v>1509</v>
      </c>
      <c r="M280" s="1" t="s">
        <v>1379</v>
      </c>
      <c r="N280" s="1" t="str">
        <f t="shared" si="4"/>
        <v xml:space="preserve">EDSON/MARCELO LIMA </v>
      </c>
    </row>
    <row r="281" spans="1:14" x14ac:dyDescent="0.3">
      <c r="A281" s="1">
        <v>705598</v>
      </c>
      <c r="B281" s="1" t="s">
        <v>1316</v>
      </c>
      <c r="C281" s="5" t="s">
        <v>15</v>
      </c>
      <c r="D281" s="2">
        <v>45888</v>
      </c>
      <c r="E281" s="2" t="s">
        <v>31</v>
      </c>
      <c r="F281" s="1">
        <v>39304</v>
      </c>
      <c r="G281" s="1" t="s">
        <v>56</v>
      </c>
      <c r="H281" s="1" t="s">
        <v>18</v>
      </c>
      <c r="J281" s="2" t="s">
        <v>57</v>
      </c>
      <c r="K281" s="1" t="s">
        <v>1371</v>
      </c>
      <c r="L281" s="1" t="s">
        <v>1376</v>
      </c>
      <c r="M281" s="1" t="s">
        <v>1377</v>
      </c>
      <c r="N281" s="1" t="str">
        <f t="shared" si="4"/>
        <v>WARLEY RIBEIRO</v>
      </c>
    </row>
    <row r="282" spans="1:14" x14ac:dyDescent="0.3">
      <c r="A282" s="1">
        <v>702122</v>
      </c>
      <c r="B282" s="1" t="s">
        <v>333</v>
      </c>
      <c r="C282" s="5" t="s">
        <v>15</v>
      </c>
      <c r="D282" s="2">
        <v>44298</v>
      </c>
      <c r="E282" s="2" t="s">
        <v>116</v>
      </c>
      <c r="F282" s="1">
        <v>34201</v>
      </c>
      <c r="G282" s="1" t="s">
        <v>84</v>
      </c>
      <c r="H282" s="1" t="s">
        <v>18</v>
      </c>
      <c r="J282" s="2" t="s">
        <v>85</v>
      </c>
      <c r="K282" s="1" t="s">
        <v>1371</v>
      </c>
      <c r="L282" s="1" t="s">
        <v>1371</v>
      </c>
      <c r="M282" s="1" t="s">
        <v>1380</v>
      </c>
      <c r="N282" s="1" t="str">
        <f t="shared" si="4"/>
        <v xml:space="preserve">LEONARDO SANTOS </v>
      </c>
    </row>
    <row r="283" spans="1:14" x14ac:dyDescent="0.3">
      <c r="A283" s="1">
        <v>705617</v>
      </c>
      <c r="B283" s="1" t="s">
        <v>1349</v>
      </c>
      <c r="C283" s="5" t="s">
        <v>15</v>
      </c>
      <c r="D283" s="2">
        <v>45909</v>
      </c>
      <c r="E283" s="2" t="s">
        <v>31</v>
      </c>
      <c r="F283" s="1">
        <v>25102</v>
      </c>
      <c r="G283" s="1" t="s">
        <v>1153</v>
      </c>
      <c r="H283" s="1" t="s">
        <v>18</v>
      </c>
      <c r="J283" s="2" t="s">
        <v>19</v>
      </c>
      <c r="K283" s="1" t="s">
        <v>1368</v>
      </c>
      <c r="L283" s="1" t="s">
        <v>20</v>
      </c>
      <c r="N283" s="1" t="str">
        <f t="shared" si="4"/>
        <v>ALEX DIAS</v>
      </c>
    </row>
    <row r="284" spans="1:14" x14ac:dyDescent="0.3">
      <c r="A284" s="1">
        <v>100642</v>
      </c>
      <c r="B284" s="1" t="s">
        <v>334</v>
      </c>
      <c r="C284" s="5" t="s">
        <v>15</v>
      </c>
      <c r="D284" s="2">
        <v>41946</v>
      </c>
      <c r="E284" s="2" t="s">
        <v>1214</v>
      </c>
      <c r="F284" s="1">
        <v>34101</v>
      </c>
      <c r="G284" s="1" t="s">
        <v>43</v>
      </c>
      <c r="H284" s="1" t="s">
        <v>18</v>
      </c>
      <c r="J284" s="2" t="s">
        <v>65</v>
      </c>
      <c r="K284" s="1" t="s">
        <v>25</v>
      </c>
      <c r="L284" s="1" t="s">
        <v>1374</v>
      </c>
      <c r="M284" s="1" t="s">
        <v>1375</v>
      </c>
      <c r="N284" s="1" t="str">
        <f t="shared" si="4"/>
        <v>ANDRÉ CUBA</v>
      </c>
    </row>
    <row r="285" spans="1:14" x14ac:dyDescent="0.3">
      <c r="A285" s="1">
        <v>705255</v>
      </c>
      <c r="B285" s="1" t="s">
        <v>1182</v>
      </c>
      <c r="C285" s="5" t="s">
        <v>15</v>
      </c>
      <c r="D285" s="2">
        <v>45762</v>
      </c>
      <c r="E285" s="2" t="s">
        <v>270</v>
      </c>
      <c r="F285" s="1">
        <v>39302</v>
      </c>
      <c r="G285" s="1" t="s">
        <v>102</v>
      </c>
      <c r="H285" s="1" t="s">
        <v>18</v>
      </c>
      <c r="J285" s="2" t="s">
        <v>57</v>
      </c>
      <c r="K285" s="1" t="s">
        <v>1371</v>
      </c>
      <c r="L285" s="1" t="s">
        <v>1376</v>
      </c>
      <c r="M285" s="1" t="s">
        <v>1377</v>
      </c>
      <c r="N285" s="1" t="str">
        <f t="shared" si="4"/>
        <v>WARLEY RIBEIRO</v>
      </c>
    </row>
    <row r="286" spans="1:14" x14ac:dyDescent="0.3">
      <c r="A286" s="1">
        <v>703578</v>
      </c>
      <c r="B286" s="1" t="s">
        <v>335</v>
      </c>
      <c r="C286" s="5" t="s">
        <v>15</v>
      </c>
      <c r="D286" s="2">
        <v>44970</v>
      </c>
      <c r="E286" s="2" t="s">
        <v>31</v>
      </c>
      <c r="F286" s="1">
        <v>33301</v>
      </c>
      <c r="G286" s="1" t="s">
        <v>64</v>
      </c>
      <c r="H286" s="1" t="s">
        <v>18</v>
      </c>
      <c r="J286" s="2" t="s">
        <v>65</v>
      </c>
      <c r="K286" s="1" t="s">
        <v>25</v>
      </c>
      <c r="L286" s="1" t="s">
        <v>1374</v>
      </c>
      <c r="M286" s="1" t="s">
        <v>1375</v>
      </c>
      <c r="N286" s="1" t="str">
        <f t="shared" si="4"/>
        <v>ANDRÉ CUBA</v>
      </c>
    </row>
    <row r="287" spans="1:14" x14ac:dyDescent="0.3">
      <c r="A287" s="1">
        <v>703419</v>
      </c>
      <c r="B287" s="1" t="s">
        <v>337</v>
      </c>
      <c r="C287" s="5" t="s">
        <v>15</v>
      </c>
      <c r="D287" s="2">
        <v>44873</v>
      </c>
      <c r="E287" s="2" t="s">
        <v>31</v>
      </c>
      <c r="F287" s="1">
        <v>38101</v>
      </c>
      <c r="G287" s="1" t="s">
        <v>35</v>
      </c>
      <c r="H287" s="1" t="s">
        <v>18</v>
      </c>
      <c r="J287" s="2" t="s">
        <v>36</v>
      </c>
      <c r="K287" s="1" t="s">
        <v>1372</v>
      </c>
      <c r="L287" s="1" t="s">
        <v>1372</v>
      </c>
      <c r="M287" s="1" t="s">
        <v>1373</v>
      </c>
      <c r="N287" s="1" t="str">
        <f t="shared" si="4"/>
        <v>DENIS ACASSIO</v>
      </c>
    </row>
    <row r="288" spans="1:14" x14ac:dyDescent="0.3">
      <c r="A288" s="1">
        <v>704641</v>
      </c>
      <c r="B288" s="1" t="s">
        <v>338</v>
      </c>
      <c r="C288" s="5" t="s">
        <v>15</v>
      </c>
      <c r="D288" s="2">
        <v>45476</v>
      </c>
      <c r="E288" s="2" t="s">
        <v>1346</v>
      </c>
      <c r="F288" s="1">
        <v>39201</v>
      </c>
      <c r="G288" s="1" t="s">
        <v>153</v>
      </c>
      <c r="H288" s="1" t="s">
        <v>18</v>
      </c>
      <c r="J288" s="2" t="s">
        <v>154</v>
      </c>
      <c r="K288" s="1" t="s">
        <v>50</v>
      </c>
      <c r="L288" s="1" t="s">
        <v>50</v>
      </c>
      <c r="M288" s="1" t="s">
        <v>1382</v>
      </c>
      <c r="N288" s="1" t="str">
        <f t="shared" si="4"/>
        <v>ADENILTON RODRIGUES</v>
      </c>
    </row>
    <row r="289" spans="1:14" x14ac:dyDescent="0.3">
      <c r="A289" s="1">
        <v>704939</v>
      </c>
      <c r="B289" s="1" t="s">
        <v>339</v>
      </c>
      <c r="C289" s="5" t="s">
        <v>15</v>
      </c>
      <c r="D289" s="2">
        <v>45607</v>
      </c>
      <c r="E289" s="2" t="s">
        <v>16</v>
      </c>
      <c r="F289" s="1">
        <v>22102</v>
      </c>
      <c r="G289" s="1" t="s">
        <v>68</v>
      </c>
      <c r="H289" s="1" t="s">
        <v>18</v>
      </c>
      <c r="J289" s="2" t="s">
        <v>94</v>
      </c>
      <c r="K289" s="1" t="s">
        <v>1371</v>
      </c>
      <c r="L289" s="1" t="s">
        <v>1378</v>
      </c>
      <c r="M289" s="1" t="s">
        <v>95</v>
      </c>
      <c r="N289" s="1" t="str">
        <f t="shared" si="4"/>
        <v>LUAN ABADIA</v>
      </c>
    </row>
    <row r="290" spans="1:14" x14ac:dyDescent="0.3">
      <c r="A290" s="1">
        <v>705109</v>
      </c>
      <c r="B290" s="1" t="s">
        <v>340</v>
      </c>
      <c r="C290" s="5" t="s">
        <v>15</v>
      </c>
      <c r="D290" s="2">
        <v>45678</v>
      </c>
      <c r="E290" s="2" t="s">
        <v>91</v>
      </c>
      <c r="F290" s="1">
        <v>34201</v>
      </c>
      <c r="G290" s="1" t="s">
        <v>84</v>
      </c>
      <c r="H290" s="1" t="s">
        <v>18</v>
      </c>
      <c r="J290" s="2" t="s">
        <v>85</v>
      </c>
      <c r="K290" s="1" t="s">
        <v>1371</v>
      </c>
      <c r="L290" s="1" t="s">
        <v>1371</v>
      </c>
      <c r="M290" s="1" t="s">
        <v>1380</v>
      </c>
      <c r="N290" s="1" t="str">
        <f t="shared" si="4"/>
        <v xml:space="preserve">LEONARDO SANTOS </v>
      </c>
    </row>
    <row r="291" spans="1:14" x14ac:dyDescent="0.3">
      <c r="A291" s="1">
        <v>701979</v>
      </c>
      <c r="B291" s="1" t="s">
        <v>341</v>
      </c>
      <c r="C291" s="5" t="s">
        <v>15</v>
      </c>
      <c r="D291" s="2">
        <v>44172</v>
      </c>
      <c r="E291" s="2" t="s">
        <v>60</v>
      </c>
      <c r="F291" s="1">
        <v>52202</v>
      </c>
      <c r="G291" s="1" t="s">
        <v>32</v>
      </c>
      <c r="H291" s="1" t="s">
        <v>18</v>
      </c>
      <c r="J291" s="2" t="s">
        <v>19</v>
      </c>
      <c r="K291" s="1" t="s">
        <v>1368</v>
      </c>
      <c r="L291" s="1" t="s">
        <v>20</v>
      </c>
      <c r="N291" s="1" t="str">
        <f t="shared" si="4"/>
        <v>ALEX DIAS</v>
      </c>
    </row>
    <row r="292" spans="1:14" x14ac:dyDescent="0.3">
      <c r="A292" s="1">
        <v>705707</v>
      </c>
      <c r="B292" s="1" t="s">
        <v>894</v>
      </c>
      <c r="C292" s="5" t="s">
        <v>15</v>
      </c>
      <c r="D292" s="2">
        <v>45972</v>
      </c>
      <c r="E292" s="2" t="s">
        <v>31</v>
      </c>
      <c r="F292" s="1">
        <v>25102</v>
      </c>
      <c r="G292" s="1" t="s">
        <v>1153</v>
      </c>
      <c r="H292" s="1" t="s">
        <v>18</v>
      </c>
      <c r="J292" s="2" t="s">
        <v>19</v>
      </c>
      <c r="K292" s="1" t="s">
        <v>1368</v>
      </c>
      <c r="L292" s="1" t="s">
        <v>20</v>
      </c>
      <c r="N292" s="1" t="str">
        <f t="shared" si="4"/>
        <v>ALEX DIAS</v>
      </c>
    </row>
    <row r="293" spans="1:14" x14ac:dyDescent="0.3">
      <c r="A293" s="1">
        <v>703171</v>
      </c>
      <c r="B293" s="1" t="s">
        <v>342</v>
      </c>
      <c r="C293" s="5" t="s">
        <v>15</v>
      </c>
      <c r="D293" s="2">
        <v>44732</v>
      </c>
      <c r="E293" s="2" t="s">
        <v>188</v>
      </c>
      <c r="F293" s="1">
        <v>22102</v>
      </c>
      <c r="G293" s="1" t="s">
        <v>68</v>
      </c>
      <c r="H293" s="1" t="s">
        <v>18</v>
      </c>
      <c r="J293" s="2" t="s">
        <v>94</v>
      </c>
      <c r="K293" s="1" t="s">
        <v>1371</v>
      </c>
      <c r="L293" s="1" t="s">
        <v>1378</v>
      </c>
      <c r="M293" s="1" t="s">
        <v>95</v>
      </c>
      <c r="N293" s="1" t="str">
        <f t="shared" si="4"/>
        <v>LUAN ABADIA</v>
      </c>
    </row>
    <row r="294" spans="1:14" x14ac:dyDescent="0.3">
      <c r="A294" s="1">
        <v>705212</v>
      </c>
      <c r="B294" s="1" t="s">
        <v>1161</v>
      </c>
      <c r="C294" s="5" t="s">
        <v>15</v>
      </c>
      <c r="D294" s="2">
        <v>45727</v>
      </c>
      <c r="E294" s="2" t="s">
        <v>240</v>
      </c>
      <c r="F294" s="1">
        <v>22102</v>
      </c>
      <c r="G294" s="1" t="s">
        <v>68</v>
      </c>
      <c r="H294" s="1" t="s">
        <v>18</v>
      </c>
      <c r="J294" s="2" t="s">
        <v>241</v>
      </c>
      <c r="K294" s="1" t="s">
        <v>1371</v>
      </c>
      <c r="N294" s="1" t="str">
        <f t="shared" si="4"/>
        <v>PAULO BONIFÁCIO</v>
      </c>
    </row>
    <row r="295" spans="1:14" x14ac:dyDescent="0.3">
      <c r="A295" s="1">
        <v>703008</v>
      </c>
      <c r="B295" s="1" t="s">
        <v>343</v>
      </c>
      <c r="C295" s="5" t="s">
        <v>15</v>
      </c>
      <c r="D295" s="2">
        <v>44691</v>
      </c>
      <c r="E295" s="2" t="s">
        <v>138</v>
      </c>
      <c r="F295" s="1">
        <v>22102</v>
      </c>
      <c r="G295" s="1" t="s">
        <v>68</v>
      </c>
      <c r="H295" s="1" t="s">
        <v>18</v>
      </c>
      <c r="J295" s="2" t="s">
        <v>81</v>
      </c>
      <c r="K295" s="1" t="s">
        <v>1371</v>
      </c>
      <c r="L295" s="1" t="s">
        <v>1509</v>
      </c>
      <c r="M295" s="1" t="s">
        <v>1379</v>
      </c>
      <c r="N295" s="1" t="str">
        <f t="shared" si="4"/>
        <v xml:space="preserve">EDSON/MARCELO LIMA </v>
      </c>
    </row>
    <row r="296" spans="1:14" x14ac:dyDescent="0.3">
      <c r="A296" s="1">
        <v>704719</v>
      </c>
      <c r="B296" s="1" t="s">
        <v>897</v>
      </c>
      <c r="C296" s="5" t="s">
        <v>15</v>
      </c>
      <c r="D296" s="2">
        <v>45518</v>
      </c>
      <c r="E296" s="2" t="s">
        <v>93</v>
      </c>
      <c r="F296" s="1">
        <v>22102</v>
      </c>
      <c r="G296" s="1" t="s">
        <v>68</v>
      </c>
      <c r="H296" s="1" t="s">
        <v>18</v>
      </c>
      <c r="J296" s="2" t="s">
        <v>94</v>
      </c>
      <c r="K296" s="1" t="s">
        <v>1371</v>
      </c>
      <c r="L296" s="1" t="s">
        <v>1378</v>
      </c>
      <c r="M296" s="1" t="s">
        <v>95</v>
      </c>
      <c r="N296" s="1" t="str">
        <f t="shared" si="4"/>
        <v>LUAN ABADIA</v>
      </c>
    </row>
    <row r="297" spans="1:14" x14ac:dyDescent="0.3">
      <c r="A297" s="1">
        <v>703624</v>
      </c>
      <c r="B297" s="1" t="s">
        <v>344</v>
      </c>
      <c r="C297" s="5" t="s">
        <v>15</v>
      </c>
      <c r="D297" s="2">
        <v>44991</v>
      </c>
      <c r="E297" s="2" t="s">
        <v>83</v>
      </c>
      <c r="F297" s="1">
        <v>34201</v>
      </c>
      <c r="G297" s="1" t="s">
        <v>84</v>
      </c>
      <c r="H297" s="1" t="s">
        <v>18</v>
      </c>
      <c r="J297" s="2" t="s">
        <v>85</v>
      </c>
      <c r="K297" s="1" t="s">
        <v>1371</v>
      </c>
      <c r="L297" s="1" t="s">
        <v>1371</v>
      </c>
      <c r="M297" s="1" t="s">
        <v>1380</v>
      </c>
      <c r="N297" s="1" t="str">
        <f t="shared" si="4"/>
        <v xml:space="preserve">LEONARDO SANTOS </v>
      </c>
    </row>
    <row r="298" spans="1:14" x14ac:dyDescent="0.3">
      <c r="A298" s="1">
        <v>705798</v>
      </c>
      <c r="B298" s="1" t="s">
        <v>1522</v>
      </c>
      <c r="C298" s="5" t="s">
        <v>15</v>
      </c>
      <c r="D298" s="2">
        <v>46029</v>
      </c>
      <c r="E298" s="2" t="s">
        <v>31</v>
      </c>
      <c r="F298" s="1">
        <v>52202</v>
      </c>
      <c r="G298" s="1" t="s">
        <v>32</v>
      </c>
      <c r="H298" s="1" t="s">
        <v>18</v>
      </c>
      <c r="J298" s="2" t="s">
        <v>33</v>
      </c>
      <c r="K298" s="1" t="s">
        <v>1368</v>
      </c>
      <c r="L298" s="1" t="s">
        <v>20</v>
      </c>
      <c r="N298" s="1" t="str">
        <f t="shared" si="4"/>
        <v>ALEX DIAS</v>
      </c>
    </row>
    <row r="299" spans="1:14" x14ac:dyDescent="0.3">
      <c r="A299" s="1">
        <v>100321</v>
      </c>
      <c r="B299" s="1" t="s">
        <v>345</v>
      </c>
      <c r="C299" s="5" t="s">
        <v>15</v>
      </c>
      <c r="D299" s="2">
        <v>41792</v>
      </c>
      <c r="E299" s="2" t="s">
        <v>1214</v>
      </c>
      <c r="F299" s="1">
        <v>34101</v>
      </c>
      <c r="G299" s="1" t="s">
        <v>43</v>
      </c>
      <c r="H299" s="1" t="s">
        <v>18</v>
      </c>
      <c r="J299" s="2" t="s">
        <v>237</v>
      </c>
      <c r="K299" s="1" t="s">
        <v>25</v>
      </c>
      <c r="L299" s="1" t="s">
        <v>1374</v>
      </c>
      <c r="M299" s="1" t="s">
        <v>1384</v>
      </c>
      <c r="N299" s="1" t="str">
        <f t="shared" si="4"/>
        <v xml:space="preserve">MARCOS VINICIUS </v>
      </c>
    </row>
    <row r="300" spans="1:14" x14ac:dyDescent="0.3">
      <c r="A300" s="1">
        <v>704007</v>
      </c>
      <c r="B300" s="1" t="s">
        <v>904</v>
      </c>
      <c r="C300" s="5" t="s">
        <v>15</v>
      </c>
      <c r="D300" s="2">
        <v>45119</v>
      </c>
      <c r="E300" s="2" t="s">
        <v>1350</v>
      </c>
      <c r="F300" s="1">
        <v>32101</v>
      </c>
      <c r="G300" s="1" t="s">
        <v>23</v>
      </c>
      <c r="H300" s="1" t="s">
        <v>18</v>
      </c>
      <c r="J300" s="2" t="s">
        <v>24</v>
      </c>
      <c r="K300" s="1" t="s">
        <v>25</v>
      </c>
      <c r="L300" s="1" t="s">
        <v>1369</v>
      </c>
      <c r="M300" s="1" t="s">
        <v>1370</v>
      </c>
      <c r="N300" s="1" t="str">
        <f t="shared" si="4"/>
        <v>JUNIO COSTA</v>
      </c>
    </row>
    <row r="301" spans="1:14" x14ac:dyDescent="0.3">
      <c r="A301" s="1">
        <v>704152</v>
      </c>
      <c r="B301" s="1" t="s">
        <v>346</v>
      </c>
      <c r="C301" s="5" t="s">
        <v>15</v>
      </c>
      <c r="D301" s="2">
        <v>45264</v>
      </c>
      <c r="E301" s="2" t="s">
        <v>31</v>
      </c>
      <c r="F301" s="1">
        <v>52104</v>
      </c>
      <c r="G301" s="1" t="s">
        <v>17</v>
      </c>
      <c r="H301" s="1" t="s">
        <v>18</v>
      </c>
      <c r="J301" s="2" t="s">
        <v>19</v>
      </c>
      <c r="K301" s="1" t="s">
        <v>1368</v>
      </c>
      <c r="L301" s="1" t="s">
        <v>20</v>
      </c>
      <c r="N301" s="1" t="str">
        <f t="shared" si="4"/>
        <v>ALEX DIAS</v>
      </c>
    </row>
    <row r="302" spans="1:14" x14ac:dyDescent="0.3">
      <c r="A302" s="1">
        <v>702809</v>
      </c>
      <c r="B302" s="1" t="s">
        <v>347</v>
      </c>
      <c r="C302" s="5" t="s">
        <v>15</v>
      </c>
      <c r="D302" s="2">
        <v>44613</v>
      </c>
      <c r="E302" s="2" t="s">
        <v>31</v>
      </c>
      <c r="F302" s="1">
        <v>52104</v>
      </c>
      <c r="G302" s="1" t="s">
        <v>17</v>
      </c>
      <c r="H302" s="1" t="s">
        <v>18</v>
      </c>
      <c r="J302" s="2" t="s">
        <v>19</v>
      </c>
      <c r="K302" s="1" t="s">
        <v>1368</v>
      </c>
      <c r="L302" s="1" t="s">
        <v>20</v>
      </c>
      <c r="N302" s="1" t="str">
        <f t="shared" si="4"/>
        <v>ALEX DIAS</v>
      </c>
    </row>
    <row r="303" spans="1:14" x14ac:dyDescent="0.3">
      <c r="A303" s="1">
        <v>702575</v>
      </c>
      <c r="B303" s="1" t="s">
        <v>348</v>
      </c>
      <c r="C303" s="5" t="s">
        <v>15</v>
      </c>
      <c r="D303" s="2">
        <v>44474</v>
      </c>
      <c r="E303" s="2" t="s">
        <v>1351</v>
      </c>
      <c r="F303" s="1">
        <v>33301</v>
      </c>
      <c r="G303" s="1" t="s">
        <v>64</v>
      </c>
      <c r="H303" s="1" t="s">
        <v>18</v>
      </c>
      <c r="J303" s="2" t="s">
        <v>65</v>
      </c>
      <c r="K303" s="1" t="s">
        <v>25</v>
      </c>
      <c r="L303" s="1" t="s">
        <v>1374</v>
      </c>
      <c r="M303" s="1" t="s">
        <v>1375</v>
      </c>
      <c r="N303" s="1" t="str">
        <f t="shared" si="4"/>
        <v>ANDRÉ CUBA</v>
      </c>
    </row>
    <row r="304" spans="1:14" x14ac:dyDescent="0.3">
      <c r="A304" s="1">
        <v>703471</v>
      </c>
      <c r="B304" s="1" t="s">
        <v>349</v>
      </c>
      <c r="C304" s="5" t="s">
        <v>15</v>
      </c>
      <c r="D304" s="2">
        <v>44887</v>
      </c>
      <c r="E304" s="2" t="s">
        <v>156</v>
      </c>
      <c r="F304" s="1">
        <v>38101</v>
      </c>
      <c r="G304" s="1" t="s">
        <v>35</v>
      </c>
      <c r="H304" s="1" t="s">
        <v>18</v>
      </c>
      <c r="J304" s="2" t="s">
        <v>36</v>
      </c>
      <c r="K304" s="1" t="s">
        <v>1372</v>
      </c>
      <c r="L304" s="1" t="s">
        <v>1372</v>
      </c>
      <c r="M304" s="1" t="s">
        <v>1373</v>
      </c>
      <c r="N304" s="1" t="str">
        <f t="shared" si="4"/>
        <v>DENIS ACASSIO</v>
      </c>
    </row>
    <row r="305" spans="1:14" x14ac:dyDescent="0.3">
      <c r="A305" s="1">
        <v>106052</v>
      </c>
      <c r="B305" s="1" t="s">
        <v>350</v>
      </c>
      <c r="C305" s="5" t="s">
        <v>15</v>
      </c>
      <c r="D305" s="2">
        <v>43591</v>
      </c>
      <c r="E305" s="2" t="s">
        <v>97</v>
      </c>
      <c r="F305" s="1">
        <v>32101</v>
      </c>
      <c r="G305" s="1" t="s">
        <v>23</v>
      </c>
      <c r="H305" s="1" t="s">
        <v>18</v>
      </c>
      <c r="J305" s="2" t="s">
        <v>24</v>
      </c>
      <c r="K305" s="1" t="s">
        <v>25</v>
      </c>
      <c r="L305" s="1" t="s">
        <v>1369</v>
      </c>
      <c r="M305" s="1" t="s">
        <v>1370</v>
      </c>
      <c r="N305" s="1" t="str">
        <f t="shared" si="4"/>
        <v>JUNIO COSTA</v>
      </c>
    </row>
    <row r="306" spans="1:14" x14ac:dyDescent="0.3">
      <c r="A306" s="1">
        <v>702817</v>
      </c>
      <c r="B306" s="1" t="s">
        <v>351</v>
      </c>
      <c r="C306" s="5" t="s">
        <v>15</v>
      </c>
      <c r="D306" s="2">
        <v>44613</v>
      </c>
      <c r="E306" s="2" t="s">
        <v>31</v>
      </c>
      <c r="F306" s="1">
        <v>52104</v>
      </c>
      <c r="G306" s="1" t="s">
        <v>17</v>
      </c>
      <c r="H306" s="1" t="s">
        <v>18</v>
      </c>
      <c r="J306" s="2" t="s">
        <v>19</v>
      </c>
      <c r="K306" s="1" t="s">
        <v>1368</v>
      </c>
      <c r="L306" s="1" t="s">
        <v>20</v>
      </c>
      <c r="N306" s="1" t="str">
        <f t="shared" si="4"/>
        <v>ALEX DIAS</v>
      </c>
    </row>
    <row r="307" spans="1:14" x14ac:dyDescent="0.3">
      <c r="A307" s="1">
        <v>105173</v>
      </c>
      <c r="B307" s="1" t="s">
        <v>352</v>
      </c>
      <c r="C307" s="5" t="s">
        <v>15</v>
      </c>
      <c r="D307" s="2">
        <v>42590</v>
      </c>
      <c r="E307" s="2" t="s">
        <v>353</v>
      </c>
      <c r="F307" s="1">
        <v>52104</v>
      </c>
      <c r="G307" s="1" t="s">
        <v>17</v>
      </c>
      <c r="H307" s="1" t="s">
        <v>18</v>
      </c>
      <c r="J307" s="2" t="s">
        <v>197</v>
      </c>
      <c r="K307" s="1" t="s">
        <v>1508</v>
      </c>
      <c r="N307" s="1" t="str">
        <f t="shared" si="4"/>
        <v xml:space="preserve">CARLOS OLIVEIRA </v>
      </c>
    </row>
    <row r="308" spans="1:14" x14ac:dyDescent="0.3">
      <c r="A308" s="1">
        <v>705440</v>
      </c>
      <c r="B308" s="1" t="s">
        <v>1224</v>
      </c>
      <c r="C308" s="5" t="s">
        <v>15</v>
      </c>
      <c r="D308" s="2">
        <v>45797</v>
      </c>
      <c r="E308" s="2" t="s">
        <v>31</v>
      </c>
      <c r="F308" s="1">
        <v>39301</v>
      </c>
      <c r="G308" s="1" t="s">
        <v>73</v>
      </c>
      <c r="H308" s="1" t="s">
        <v>18</v>
      </c>
      <c r="J308" s="2" t="s">
        <v>74</v>
      </c>
      <c r="K308" s="1" t="s">
        <v>1371</v>
      </c>
      <c r="L308" s="1" t="s">
        <v>1376</v>
      </c>
      <c r="M308" s="1" t="s">
        <v>75</v>
      </c>
      <c r="N308" s="1" t="str">
        <f t="shared" si="4"/>
        <v>ISAC NONATO</v>
      </c>
    </row>
    <row r="309" spans="1:14" x14ac:dyDescent="0.3">
      <c r="A309" s="1">
        <v>700051</v>
      </c>
      <c r="B309" s="1" t="s">
        <v>354</v>
      </c>
      <c r="C309" s="5" t="s">
        <v>15</v>
      </c>
      <c r="D309" s="2">
        <v>43115</v>
      </c>
      <c r="E309" s="2" t="s">
        <v>71</v>
      </c>
      <c r="F309" s="1">
        <v>25201</v>
      </c>
      <c r="G309" s="1" t="s">
        <v>89</v>
      </c>
      <c r="H309" s="1" t="s">
        <v>18</v>
      </c>
      <c r="J309" s="2" t="s">
        <v>19</v>
      </c>
      <c r="K309" s="1" t="s">
        <v>1368</v>
      </c>
      <c r="L309" s="1" t="s">
        <v>20</v>
      </c>
      <c r="N309" s="1" t="str">
        <f t="shared" si="4"/>
        <v>ALEX DIAS</v>
      </c>
    </row>
    <row r="310" spans="1:14" x14ac:dyDescent="0.3">
      <c r="A310" s="1">
        <v>105024</v>
      </c>
      <c r="B310" s="1" t="s">
        <v>355</v>
      </c>
      <c r="C310" s="5" t="s">
        <v>15</v>
      </c>
      <c r="D310" s="2">
        <v>42500</v>
      </c>
      <c r="E310" s="2" t="s">
        <v>166</v>
      </c>
      <c r="F310" s="1">
        <v>22102</v>
      </c>
      <c r="G310" s="1" t="s">
        <v>68</v>
      </c>
      <c r="H310" s="1" t="s">
        <v>18</v>
      </c>
      <c r="J310" s="2" t="s">
        <v>167</v>
      </c>
      <c r="K310" s="1" t="s">
        <v>1371</v>
      </c>
      <c r="L310" s="1" t="s">
        <v>1509</v>
      </c>
      <c r="M310" s="1" t="s">
        <v>1383</v>
      </c>
      <c r="N310" s="1" t="str">
        <f t="shared" si="4"/>
        <v>WANDRES/FABIANO</v>
      </c>
    </row>
    <row r="311" spans="1:14" x14ac:dyDescent="0.3">
      <c r="A311" s="1">
        <v>100674</v>
      </c>
      <c r="B311" s="1" t="s">
        <v>356</v>
      </c>
      <c r="C311" s="5" t="s">
        <v>15</v>
      </c>
      <c r="D311" s="2">
        <v>41981</v>
      </c>
      <c r="E311" s="2" t="s">
        <v>1214</v>
      </c>
      <c r="F311" s="1">
        <v>34101</v>
      </c>
      <c r="G311" s="1" t="s">
        <v>43</v>
      </c>
      <c r="H311" s="1" t="s">
        <v>18</v>
      </c>
      <c r="J311" s="2" t="s">
        <v>237</v>
      </c>
      <c r="K311" s="1" t="s">
        <v>25</v>
      </c>
      <c r="L311" s="1" t="s">
        <v>1374</v>
      </c>
      <c r="M311" s="1" t="s">
        <v>1384</v>
      </c>
      <c r="N311" s="1" t="str">
        <f t="shared" si="4"/>
        <v xml:space="preserve">MARCOS VINICIUS </v>
      </c>
    </row>
    <row r="312" spans="1:14" x14ac:dyDescent="0.3">
      <c r="A312" s="1">
        <v>700692</v>
      </c>
      <c r="B312" s="1" t="s">
        <v>357</v>
      </c>
      <c r="C312" s="5" t="s">
        <v>15</v>
      </c>
      <c r="D312" s="2">
        <v>43389</v>
      </c>
      <c r="E312" s="2" t="s">
        <v>166</v>
      </c>
      <c r="F312" s="1">
        <v>52104</v>
      </c>
      <c r="G312" s="1" t="s">
        <v>17</v>
      </c>
      <c r="H312" s="1" t="s">
        <v>18</v>
      </c>
      <c r="J312" s="2" t="s">
        <v>37</v>
      </c>
      <c r="K312" s="1" t="s">
        <v>1368</v>
      </c>
      <c r="L312" s="1" t="s">
        <v>20</v>
      </c>
      <c r="N312" s="1" t="str">
        <f t="shared" si="4"/>
        <v>ALEX DIAS</v>
      </c>
    </row>
    <row r="313" spans="1:14" x14ac:dyDescent="0.3">
      <c r="A313" s="1">
        <v>703298</v>
      </c>
      <c r="B313" s="1" t="s">
        <v>358</v>
      </c>
      <c r="C313" s="5" t="s">
        <v>15</v>
      </c>
      <c r="D313" s="2">
        <v>44810</v>
      </c>
      <c r="E313" s="2" t="s">
        <v>60</v>
      </c>
      <c r="F313" s="1">
        <v>22102</v>
      </c>
      <c r="G313" s="1" t="s">
        <v>68</v>
      </c>
      <c r="H313" s="1" t="s">
        <v>18</v>
      </c>
      <c r="J313" s="2" t="s">
        <v>142</v>
      </c>
      <c r="K313" s="1" t="s">
        <v>1371</v>
      </c>
      <c r="L313" s="1" t="s">
        <v>1509</v>
      </c>
      <c r="M313" s="1" t="s">
        <v>143</v>
      </c>
      <c r="N313" s="1" t="str">
        <f t="shared" si="4"/>
        <v>TALLES BALIZA</v>
      </c>
    </row>
    <row r="314" spans="1:14" x14ac:dyDescent="0.3">
      <c r="A314" s="1">
        <v>705687</v>
      </c>
      <c r="B314" s="1" t="s">
        <v>1406</v>
      </c>
      <c r="C314" s="5" t="s">
        <v>92</v>
      </c>
      <c r="D314" s="2">
        <v>45944</v>
      </c>
      <c r="E314" s="2" t="s">
        <v>31</v>
      </c>
      <c r="F314" s="1">
        <v>25102</v>
      </c>
      <c r="G314" s="1" t="s">
        <v>1153</v>
      </c>
      <c r="H314" s="1" t="s">
        <v>18</v>
      </c>
      <c r="I314" s="2">
        <v>46033</v>
      </c>
      <c r="J314" s="2" t="s">
        <v>19</v>
      </c>
      <c r="K314" s="1" t="s">
        <v>1368</v>
      </c>
      <c r="L314" s="1" t="s">
        <v>20</v>
      </c>
      <c r="N314" s="1" t="str">
        <f t="shared" si="4"/>
        <v>ALEX DIAS</v>
      </c>
    </row>
    <row r="315" spans="1:14" x14ac:dyDescent="0.3">
      <c r="A315" s="1">
        <v>705133</v>
      </c>
      <c r="B315" s="1" t="s">
        <v>1143</v>
      </c>
      <c r="C315" s="5" t="s">
        <v>15</v>
      </c>
      <c r="D315" s="2">
        <v>45698</v>
      </c>
      <c r="E315" s="2" t="s">
        <v>16</v>
      </c>
      <c r="F315" s="1">
        <v>22102</v>
      </c>
      <c r="G315" s="1" t="s">
        <v>68</v>
      </c>
      <c r="H315" s="1" t="s">
        <v>18</v>
      </c>
      <c r="J315" s="2" t="s">
        <v>94</v>
      </c>
      <c r="K315" s="1" t="s">
        <v>1371</v>
      </c>
      <c r="L315" s="1" t="s">
        <v>1378</v>
      </c>
      <c r="M315" s="1" t="s">
        <v>95</v>
      </c>
      <c r="N315" s="1" t="str">
        <f t="shared" si="4"/>
        <v>LUAN ABADIA</v>
      </c>
    </row>
    <row r="316" spans="1:14" x14ac:dyDescent="0.3">
      <c r="A316" s="1">
        <v>704574</v>
      </c>
      <c r="B316" s="1" t="s">
        <v>359</v>
      </c>
      <c r="C316" s="5" t="s">
        <v>15</v>
      </c>
      <c r="D316" s="2">
        <v>45448</v>
      </c>
      <c r="E316" s="2" t="s">
        <v>166</v>
      </c>
      <c r="F316" s="1">
        <v>22102</v>
      </c>
      <c r="G316" s="1" t="s">
        <v>68</v>
      </c>
      <c r="H316" s="1" t="s">
        <v>18</v>
      </c>
      <c r="J316" s="2" t="s">
        <v>94</v>
      </c>
      <c r="K316" s="1" t="s">
        <v>1371</v>
      </c>
      <c r="L316" s="1" t="s">
        <v>1378</v>
      </c>
      <c r="M316" s="1" t="s">
        <v>95</v>
      </c>
      <c r="N316" s="1" t="str">
        <f t="shared" si="4"/>
        <v>LUAN ABADIA</v>
      </c>
    </row>
    <row r="317" spans="1:14" x14ac:dyDescent="0.3">
      <c r="A317" s="1">
        <v>704897</v>
      </c>
      <c r="B317" s="1" t="s">
        <v>360</v>
      </c>
      <c r="C317" s="5" t="s">
        <v>233</v>
      </c>
      <c r="D317" s="2">
        <v>45601</v>
      </c>
      <c r="E317" s="2" t="s">
        <v>60</v>
      </c>
      <c r="F317" s="1">
        <v>52202</v>
      </c>
      <c r="G317" s="1" t="s">
        <v>32</v>
      </c>
      <c r="H317" s="1" t="s">
        <v>18</v>
      </c>
      <c r="J317" s="2" t="s">
        <v>33</v>
      </c>
      <c r="K317" s="1" t="s">
        <v>1368</v>
      </c>
      <c r="L317" s="1" t="s">
        <v>20</v>
      </c>
      <c r="N317" s="1" t="str">
        <f t="shared" si="4"/>
        <v>ALEX DIAS</v>
      </c>
    </row>
    <row r="318" spans="1:14" x14ac:dyDescent="0.3">
      <c r="A318" s="1">
        <v>101541</v>
      </c>
      <c r="B318" s="1" t="s">
        <v>361</v>
      </c>
      <c r="C318" s="5" t="s">
        <v>15</v>
      </c>
      <c r="D318" s="2">
        <v>42838</v>
      </c>
      <c r="E318" s="2" t="s">
        <v>362</v>
      </c>
      <c r="F318" s="1">
        <v>25201</v>
      </c>
      <c r="G318" s="1" t="s">
        <v>89</v>
      </c>
      <c r="H318" s="1" t="s">
        <v>18</v>
      </c>
      <c r="J318" s="2" t="s">
        <v>19</v>
      </c>
      <c r="K318" s="1" t="s">
        <v>1368</v>
      </c>
      <c r="L318" s="1" t="s">
        <v>20</v>
      </c>
      <c r="N318" s="1" t="str">
        <f t="shared" si="4"/>
        <v>ALEX DIAS</v>
      </c>
    </row>
    <row r="319" spans="1:14" x14ac:dyDescent="0.3">
      <c r="A319" s="1">
        <v>105925</v>
      </c>
      <c r="B319" s="1" t="s">
        <v>364</v>
      </c>
      <c r="C319" s="5" t="s">
        <v>15</v>
      </c>
      <c r="D319" s="2">
        <v>43346</v>
      </c>
      <c r="E319" s="2" t="s">
        <v>149</v>
      </c>
      <c r="F319" s="1">
        <v>39302</v>
      </c>
      <c r="G319" s="1" t="s">
        <v>102</v>
      </c>
      <c r="H319" s="1" t="s">
        <v>18</v>
      </c>
      <c r="J319" s="2" t="s">
        <v>57</v>
      </c>
      <c r="K319" s="1" t="s">
        <v>1371</v>
      </c>
      <c r="L319" s="1" t="s">
        <v>1376</v>
      </c>
      <c r="M319" s="1" t="s">
        <v>1377</v>
      </c>
      <c r="N319" s="1" t="str">
        <f t="shared" si="4"/>
        <v>WARLEY RIBEIRO</v>
      </c>
    </row>
    <row r="320" spans="1:14" x14ac:dyDescent="0.3">
      <c r="A320" s="1">
        <v>701724</v>
      </c>
      <c r="B320" s="1" t="s">
        <v>365</v>
      </c>
      <c r="C320" s="5" t="s">
        <v>15</v>
      </c>
      <c r="D320" s="2">
        <v>44025</v>
      </c>
      <c r="E320" s="2" t="s">
        <v>52</v>
      </c>
      <c r="F320" s="1">
        <v>32101</v>
      </c>
      <c r="G320" s="1" t="s">
        <v>23</v>
      </c>
      <c r="H320" s="1" t="s">
        <v>18</v>
      </c>
      <c r="J320" s="2" t="s">
        <v>24</v>
      </c>
      <c r="K320" s="1" t="s">
        <v>25</v>
      </c>
      <c r="L320" s="1" t="s">
        <v>1369</v>
      </c>
      <c r="M320" s="1" t="s">
        <v>1370</v>
      </c>
      <c r="N320" s="1" t="str">
        <f t="shared" si="4"/>
        <v>JUNIO COSTA</v>
      </c>
    </row>
    <row r="321" spans="1:14" x14ac:dyDescent="0.3">
      <c r="A321" s="1">
        <v>705769</v>
      </c>
      <c r="B321" s="1" t="s">
        <v>1484</v>
      </c>
      <c r="C321" s="5" t="s">
        <v>15</v>
      </c>
      <c r="D321" s="2">
        <v>45993</v>
      </c>
      <c r="E321" s="2" t="s">
        <v>31</v>
      </c>
      <c r="F321" s="1">
        <v>25102</v>
      </c>
      <c r="G321" s="1" t="s">
        <v>1153</v>
      </c>
      <c r="H321" s="1" t="s">
        <v>18</v>
      </c>
      <c r="J321" s="2" t="s">
        <v>19</v>
      </c>
      <c r="K321" s="1" t="s">
        <v>1368</v>
      </c>
      <c r="L321" s="1" t="s">
        <v>20</v>
      </c>
      <c r="N321" s="1" t="str">
        <f t="shared" si="4"/>
        <v>ALEX DIAS</v>
      </c>
    </row>
    <row r="322" spans="1:14" x14ac:dyDescent="0.3">
      <c r="A322" s="1">
        <v>701142</v>
      </c>
      <c r="B322" s="1" t="s">
        <v>366</v>
      </c>
      <c r="C322" s="5" t="s">
        <v>15</v>
      </c>
      <c r="D322" s="2">
        <v>43675</v>
      </c>
      <c r="E322" s="2" t="s">
        <v>31</v>
      </c>
      <c r="F322" s="1">
        <v>22102</v>
      </c>
      <c r="G322" s="1" t="s">
        <v>68</v>
      </c>
      <c r="H322" s="1" t="s">
        <v>18</v>
      </c>
      <c r="J322" s="2" t="s">
        <v>142</v>
      </c>
      <c r="K322" s="1" t="s">
        <v>1371</v>
      </c>
      <c r="L322" s="1" t="s">
        <v>1509</v>
      </c>
      <c r="M322" s="1" t="s">
        <v>143</v>
      </c>
      <c r="N322" s="1" t="str">
        <f t="shared" si="4"/>
        <v>TALLES BALIZA</v>
      </c>
    </row>
    <row r="323" spans="1:14" x14ac:dyDescent="0.3">
      <c r="A323" s="1">
        <v>702589</v>
      </c>
      <c r="B323" s="1" t="s">
        <v>367</v>
      </c>
      <c r="C323" s="5" t="s">
        <v>15</v>
      </c>
      <c r="D323" s="2">
        <v>44487</v>
      </c>
      <c r="E323" s="2" t="s">
        <v>60</v>
      </c>
      <c r="F323" s="1">
        <v>22102</v>
      </c>
      <c r="G323" s="1" t="s">
        <v>68</v>
      </c>
      <c r="H323" s="1" t="s">
        <v>18</v>
      </c>
      <c r="J323" s="2" t="s">
        <v>142</v>
      </c>
      <c r="K323" s="1" t="s">
        <v>1371</v>
      </c>
      <c r="L323" s="1" t="s">
        <v>1509</v>
      </c>
      <c r="M323" s="1" t="s">
        <v>143</v>
      </c>
      <c r="N323" s="1" t="str">
        <f t="shared" ref="N323:N386" si="5">IF(M323&lt;&gt;"", M323, IF(L323&lt;&gt;"", L323, K323))</f>
        <v>TALLES BALIZA</v>
      </c>
    </row>
    <row r="324" spans="1:14" x14ac:dyDescent="0.3">
      <c r="A324" s="1">
        <v>705560</v>
      </c>
      <c r="B324" s="1" t="s">
        <v>1317</v>
      </c>
      <c r="C324" s="5" t="s">
        <v>15</v>
      </c>
      <c r="D324" s="2">
        <v>45874</v>
      </c>
      <c r="E324" s="2" t="s">
        <v>31</v>
      </c>
      <c r="F324" s="1">
        <v>25102</v>
      </c>
      <c r="G324" s="1" t="s">
        <v>1153</v>
      </c>
      <c r="H324" s="1" t="s">
        <v>18</v>
      </c>
      <c r="J324" s="2" t="s">
        <v>19</v>
      </c>
      <c r="K324" s="1" t="s">
        <v>1368</v>
      </c>
      <c r="L324" s="1" t="s">
        <v>20</v>
      </c>
      <c r="N324" s="1" t="str">
        <f t="shared" si="5"/>
        <v>ALEX DIAS</v>
      </c>
    </row>
    <row r="325" spans="1:14" x14ac:dyDescent="0.3">
      <c r="A325" s="1">
        <v>701393</v>
      </c>
      <c r="B325" s="1" t="s">
        <v>369</v>
      </c>
      <c r="C325" s="5" t="s">
        <v>15</v>
      </c>
      <c r="D325" s="2">
        <v>40364</v>
      </c>
      <c r="E325" s="2" t="s">
        <v>166</v>
      </c>
      <c r="F325" s="1">
        <v>52104</v>
      </c>
      <c r="G325" s="1" t="s">
        <v>17</v>
      </c>
      <c r="H325" s="1" t="s">
        <v>18</v>
      </c>
      <c r="J325" s="2" t="s">
        <v>19</v>
      </c>
      <c r="K325" s="1" t="s">
        <v>1368</v>
      </c>
      <c r="L325" s="1" t="s">
        <v>20</v>
      </c>
      <c r="N325" s="1" t="str">
        <f t="shared" si="5"/>
        <v>ALEX DIAS</v>
      </c>
    </row>
    <row r="326" spans="1:14" x14ac:dyDescent="0.3">
      <c r="A326" s="1">
        <v>703420</v>
      </c>
      <c r="B326" s="1" t="s">
        <v>370</v>
      </c>
      <c r="C326" s="5" t="s">
        <v>15</v>
      </c>
      <c r="D326" s="2">
        <v>44873</v>
      </c>
      <c r="E326" s="2" t="s">
        <v>371</v>
      </c>
      <c r="F326" s="1">
        <v>39301</v>
      </c>
      <c r="G326" s="1" t="s">
        <v>73</v>
      </c>
      <c r="H326" s="1" t="s">
        <v>18</v>
      </c>
      <c r="J326" s="2" t="s">
        <v>74</v>
      </c>
      <c r="K326" s="1" t="s">
        <v>1371</v>
      </c>
      <c r="L326" s="1" t="s">
        <v>1376</v>
      </c>
      <c r="M326" s="1" t="s">
        <v>75</v>
      </c>
      <c r="N326" s="1" t="str">
        <f t="shared" si="5"/>
        <v>ISAC NONATO</v>
      </c>
    </row>
    <row r="327" spans="1:14" x14ac:dyDescent="0.3">
      <c r="A327" s="1">
        <v>704222</v>
      </c>
      <c r="B327" s="1" t="s">
        <v>372</v>
      </c>
      <c r="C327" s="5" t="s">
        <v>15</v>
      </c>
      <c r="D327" s="2">
        <v>45328</v>
      </c>
      <c r="E327" s="2" t="s">
        <v>31</v>
      </c>
      <c r="F327" s="1">
        <v>25201</v>
      </c>
      <c r="G327" s="1" t="s">
        <v>89</v>
      </c>
      <c r="H327" s="1" t="s">
        <v>18</v>
      </c>
      <c r="J327" s="2" t="s">
        <v>19</v>
      </c>
      <c r="K327" s="1" t="s">
        <v>1368</v>
      </c>
      <c r="L327" s="1" t="s">
        <v>20</v>
      </c>
      <c r="N327" s="1" t="str">
        <f t="shared" si="5"/>
        <v>ALEX DIAS</v>
      </c>
    </row>
    <row r="328" spans="1:14" x14ac:dyDescent="0.3">
      <c r="A328" s="1">
        <v>705092</v>
      </c>
      <c r="B328" s="1" t="s">
        <v>373</v>
      </c>
      <c r="C328" s="5" t="s">
        <v>233</v>
      </c>
      <c r="D328" s="2">
        <v>45670</v>
      </c>
      <c r="E328" s="2" t="s">
        <v>40</v>
      </c>
      <c r="F328" s="1">
        <v>41504</v>
      </c>
      <c r="G328" s="1" t="s">
        <v>1275</v>
      </c>
      <c r="H328" s="1" t="s">
        <v>18</v>
      </c>
      <c r="J328" s="2" t="s">
        <v>19</v>
      </c>
      <c r="K328" s="1" t="s">
        <v>1368</v>
      </c>
      <c r="L328" s="1" t="s">
        <v>20</v>
      </c>
      <c r="N328" s="1" t="str">
        <f t="shared" si="5"/>
        <v>ALEX DIAS</v>
      </c>
    </row>
    <row r="329" spans="1:14" x14ac:dyDescent="0.3">
      <c r="A329" s="1">
        <v>705065</v>
      </c>
      <c r="B329" s="1" t="s">
        <v>374</v>
      </c>
      <c r="C329" s="5" t="s">
        <v>15</v>
      </c>
      <c r="D329" s="2">
        <v>45670</v>
      </c>
      <c r="E329" s="2" t="s">
        <v>362</v>
      </c>
      <c r="F329" s="1">
        <v>25201</v>
      </c>
      <c r="G329" s="1" t="s">
        <v>89</v>
      </c>
      <c r="H329" s="1" t="s">
        <v>18</v>
      </c>
      <c r="J329" s="2" t="s">
        <v>37</v>
      </c>
      <c r="K329" s="1" t="s">
        <v>1368</v>
      </c>
      <c r="L329" s="1" t="s">
        <v>20</v>
      </c>
      <c r="N329" s="1" t="str">
        <f t="shared" si="5"/>
        <v>ALEX DIAS</v>
      </c>
    </row>
    <row r="330" spans="1:14" x14ac:dyDescent="0.3">
      <c r="A330" s="1">
        <v>705688</v>
      </c>
      <c r="B330" s="1" t="s">
        <v>1407</v>
      </c>
      <c r="C330" s="5" t="s">
        <v>15</v>
      </c>
      <c r="D330" s="2">
        <v>45945</v>
      </c>
      <c r="E330" s="2" t="s">
        <v>230</v>
      </c>
      <c r="F330" s="1">
        <v>38101</v>
      </c>
      <c r="G330" s="1" t="s">
        <v>35</v>
      </c>
      <c r="H330" s="1" t="s">
        <v>18</v>
      </c>
      <c r="J330" s="2" t="s">
        <v>36</v>
      </c>
      <c r="K330" s="1" t="s">
        <v>1372</v>
      </c>
      <c r="L330" s="1" t="s">
        <v>1372</v>
      </c>
      <c r="M330" s="1" t="s">
        <v>1373</v>
      </c>
      <c r="N330" s="1" t="str">
        <f t="shared" si="5"/>
        <v>DENIS ACASSIO</v>
      </c>
    </row>
    <row r="331" spans="1:14" x14ac:dyDescent="0.3">
      <c r="A331" s="1">
        <v>100760</v>
      </c>
      <c r="B331" s="1" t="s">
        <v>375</v>
      </c>
      <c r="C331" s="5" t="s">
        <v>15</v>
      </c>
      <c r="D331" s="2">
        <v>42198</v>
      </c>
      <c r="E331" s="2" t="s">
        <v>368</v>
      </c>
      <c r="F331" s="1">
        <v>32101</v>
      </c>
      <c r="G331" s="1" t="s">
        <v>23</v>
      </c>
      <c r="H331" s="1" t="s">
        <v>18</v>
      </c>
      <c r="J331" s="2" t="s">
        <v>24</v>
      </c>
      <c r="K331" s="1" t="s">
        <v>25</v>
      </c>
      <c r="L331" s="1" t="s">
        <v>1369</v>
      </c>
      <c r="M331" s="1" t="s">
        <v>1370</v>
      </c>
      <c r="N331" s="1" t="str">
        <f t="shared" si="5"/>
        <v>JUNIO COSTA</v>
      </c>
    </row>
    <row r="332" spans="1:14" x14ac:dyDescent="0.3">
      <c r="A332" s="1">
        <v>701127</v>
      </c>
      <c r="B332" s="1" t="s">
        <v>376</v>
      </c>
      <c r="C332" s="5" t="s">
        <v>15</v>
      </c>
      <c r="D332" s="2">
        <v>42381</v>
      </c>
      <c r="E332" s="2" t="s">
        <v>116</v>
      </c>
      <c r="F332" s="1">
        <v>34201</v>
      </c>
      <c r="G332" s="1" t="s">
        <v>84</v>
      </c>
      <c r="H332" s="1" t="s">
        <v>18</v>
      </c>
      <c r="J332" s="2" t="s">
        <v>85</v>
      </c>
      <c r="K332" s="1" t="s">
        <v>1371</v>
      </c>
      <c r="L332" s="1" t="s">
        <v>1371</v>
      </c>
      <c r="M332" s="1" t="s">
        <v>1380</v>
      </c>
      <c r="N332" s="1" t="str">
        <f t="shared" si="5"/>
        <v xml:space="preserve">LEONARDO SANTOS </v>
      </c>
    </row>
    <row r="333" spans="1:14" x14ac:dyDescent="0.3">
      <c r="A333" s="1">
        <v>101518</v>
      </c>
      <c r="B333" s="1" t="s">
        <v>377</v>
      </c>
      <c r="C333" s="5" t="s">
        <v>15</v>
      </c>
      <c r="D333" s="2">
        <v>42982</v>
      </c>
      <c r="E333" s="2" t="s">
        <v>1221</v>
      </c>
      <c r="F333" s="1">
        <v>34201</v>
      </c>
      <c r="G333" s="1" t="s">
        <v>84</v>
      </c>
      <c r="H333" s="1" t="s">
        <v>18</v>
      </c>
      <c r="J333" s="2" t="s">
        <v>85</v>
      </c>
      <c r="K333" s="1" t="s">
        <v>1371</v>
      </c>
      <c r="L333" s="1" t="s">
        <v>1371</v>
      </c>
      <c r="M333" s="1" t="s">
        <v>1380</v>
      </c>
      <c r="N333" s="1" t="str">
        <f t="shared" si="5"/>
        <v xml:space="preserve">LEONARDO SANTOS </v>
      </c>
    </row>
    <row r="334" spans="1:14" x14ac:dyDescent="0.3">
      <c r="A334" s="1">
        <v>704965</v>
      </c>
      <c r="B334" s="1" t="s">
        <v>378</v>
      </c>
      <c r="C334" s="5" t="s">
        <v>15</v>
      </c>
      <c r="D334" s="2">
        <v>45629</v>
      </c>
      <c r="E334" s="2" t="s">
        <v>91</v>
      </c>
      <c r="F334" s="1">
        <v>34201</v>
      </c>
      <c r="G334" s="1" t="s">
        <v>84</v>
      </c>
      <c r="H334" s="1" t="s">
        <v>18</v>
      </c>
      <c r="J334" s="2" t="s">
        <v>85</v>
      </c>
      <c r="K334" s="1" t="s">
        <v>1371</v>
      </c>
      <c r="L334" s="1" t="s">
        <v>1371</v>
      </c>
      <c r="M334" s="1" t="s">
        <v>1380</v>
      </c>
      <c r="N334" s="1" t="str">
        <f t="shared" si="5"/>
        <v xml:space="preserve">LEONARDO SANTOS </v>
      </c>
    </row>
    <row r="335" spans="1:14" x14ac:dyDescent="0.3">
      <c r="A335" s="1">
        <v>705095</v>
      </c>
      <c r="B335" s="1" t="s">
        <v>379</v>
      </c>
      <c r="C335" s="5" t="s">
        <v>15</v>
      </c>
      <c r="D335" s="2">
        <v>45670</v>
      </c>
      <c r="E335" s="2" t="s">
        <v>31</v>
      </c>
      <c r="F335" s="1">
        <v>25201</v>
      </c>
      <c r="G335" s="1" t="s">
        <v>89</v>
      </c>
      <c r="H335" s="1" t="s">
        <v>18</v>
      </c>
      <c r="J335" s="2" t="s">
        <v>19</v>
      </c>
      <c r="K335" s="1" t="s">
        <v>1368</v>
      </c>
      <c r="L335" s="1" t="s">
        <v>20</v>
      </c>
      <c r="N335" s="1" t="str">
        <f t="shared" si="5"/>
        <v>ALEX DIAS</v>
      </c>
    </row>
    <row r="336" spans="1:14" x14ac:dyDescent="0.3">
      <c r="A336" s="1">
        <v>704964</v>
      </c>
      <c r="B336" s="1" t="s">
        <v>380</v>
      </c>
      <c r="C336" s="5" t="s">
        <v>15</v>
      </c>
      <c r="D336" s="2">
        <v>45629</v>
      </c>
      <c r="E336" s="2" t="s">
        <v>381</v>
      </c>
      <c r="F336" s="1">
        <v>39302</v>
      </c>
      <c r="G336" s="1" t="s">
        <v>102</v>
      </c>
      <c r="H336" s="1" t="s">
        <v>18</v>
      </c>
      <c r="J336" s="2" t="s">
        <v>57</v>
      </c>
      <c r="K336" s="1" t="s">
        <v>1371</v>
      </c>
      <c r="L336" s="1" t="s">
        <v>1376</v>
      </c>
      <c r="M336" s="1" t="s">
        <v>1377</v>
      </c>
      <c r="N336" s="1" t="str">
        <f t="shared" si="5"/>
        <v>WARLEY RIBEIRO</v>
      </c>
    </row>
    <row r="337" spans="1:14" x14ac:dyDescent="0.3">
      <c r="A337" s="1">
        <v>705719</v>
      </c>
      <c r="B337" s="1" t="s">
        <v>382</v>
      </c>
      <c r="C337" s="5" t="s">
        <v>15</v>
      </c>
      <c r="D337" s="2">
        <v>45972</v>
      </c>
      <c r="E337" s="2" t="s">
        <v>31</v>
      </c>
      <c r="F337" s="1">
        <v>25201</v>
      </c>
      <c r="G337" s="1" t="s">
        <v>89</v>
      </c>
      <c r="H337" s="1" t="s">
        <v>18</v>
      </c>
      <c r="J337" s="2" t="s">
        <v>19</v>
      </c>
      <c r="K337" s="1" t="s">
        <v>1368</v>
      </c>
      <c r="L337" s="1" t="s">
        <v>20</v>
      </c>
      <c r="N337" s="1" t="str">
        <f t="shared" si="5"/>
        <v>ALEX DIAS</v>
      </c>
    </row>
    <row r="338" spans="1:14" x14ac:dyDescent="0.3">
      <c r="A338" s="1">
        <v>703421</v>
      </c>
      <c r="B338" s="1" t="s">
        <v>383</v>
      </c>
      <c r="C338" s="5" t="s">
        <v>15</v>
      </c>
      <c r="D338" s="2">
        <v>44873</v>
      </c>
      <c r="E338" s="2" t="s">
        <v>31</v>
      </c>
      <c r="F338" s="1">
        <v>34201</v>
      </c>
      <c r="G338" s="1" t="s">
        <v>84</v>
      </c>
      <c r="H338" s="1" t="s">
        <v>18</v>
      </c>
      <c r="J338" s="2" t="s">
        <v>85</v>
      </c>
      <c r="K338" s="1" t="s">
        <v>1371</v>
      </c>
      <c r="L338" s="1" t="s">
        <v>1371</v>
      </c>
      <c r="M338" s="1" t="s">
        <v>1380</v>
      </c>
      <c r="N338" s="1" t="str">
        <f t="shared" si="5"/>
        <v xml:space="preserve">LEONARDO SANTOS </v>
      </c>
    </row>
    <row r="339" spans="1:14" x14ac:dyDescent="0.3">
      <c r="A339" s="1">
        <v>705758</v>
      </c>
      <c r="B339" s="1" t="s">
        <v>1485</v>
      </c>
      <c r="C339" s="5" t="s">
        <v>15</v>
      </c>
      <c r="D339" s="2">
        <v>45993</v>
      </c>
      <c r="E339" s="2" t="s">
        <v>238</v>
      </c>
      <c r="F339" s="1">
        <v>37101</v>
      </c>
      <c r="G339" s="1" t="s">
        <v>214</v>
      </c>
      <c r="H339" s="1" t="s">
        <v>18</v>
      </c>
      <c r="J339" s="2" t="s">
        <v>239</v>
      </c>
      <c r="K339" s="1" t="s">
        <v>216</v>
      </c>
      <c r="L339" s="1" t="s">
        <v>216</v>
      </c>
      <c r="N339" s="1" t="str">
        <f t="shared" si="5"/>
        <v>CARSON NEVES</v>
      </c>
    </row>
    <row r="340" spans="1:14" x14ac:dyDescent="0.3">
      <c r="A340" s="1">
        <v>705339</v>
      </c>
      <c r="B340" s="1" t="s">
        <v>1260</v>
      </c>
      <c r="C340" s="5" t="s">
        <v>92</v>
      </c>
      <c r="D340" s="2">
        <v>45784</v>
      </c>
      <c r="E340" s="2" t="s">
        <v>31</v>
      </c>
      <c r="F340" s="1">
        <v>22102</v>
      </c>
      <c r="G340" s="1" t="s">
        <v>68</v>
      </c>
      <c r="H340" s="1" t="s">
        <v>18</v>
      </c>
      <c r="I340" s="2">
        <v>46042</v>
      </c>
      <c r="J340" s="2" t="s">
        <v>81</v>
      </c>
      <c r="K340" s="1" t="s">
        <v>1371</v>
      </c>
      <c r="L340" s="1" t="s">
        <v>1509</v>
      </c>
      <c r="M340" s="1" t="s">
        <v>1379</v>
      </c>
      <c r="N340" s="1" t="str">
        <f t="shared" si="5"/>
        <v xml:space="preserve">EDSON/MARCELO LIMA </v>
      </c>
    </row>
    <row r="341" spans="1:14" x14ac:dyDescent="0.3">
      <c r="A341" s="1">
        <v>701993</v>
      </c>
      <c r="B341" s="1" t="s">
        <v>384</v>
      </c>
      <c r="C341" s="5" t="s">
        <v>15</v>
      </c>
      <c r="D341" s="2">
        <v>44214</v>
      </c>
      <c r="E341" s="2" t="s">
        <v>282</v>
      </c>
      <c r="F341" s="1">
        <v>32101</v>
      </c>
      <c r="G341" s="1" t="s">
        <v>23</v>
      </c>
      <c r="H341" s="1" t="s">
        <v>18</v>
      </c>
      <c r="J341" s="2" t="s">
        <v>24</v>
      </c>
      <c r="K341" s="1" t="s">
        <v>25</v>
      </c>
      <c r="L341" s="1" t="s">
        <v>1369</v>
      </c>
      <c r="M341" s="1" t="s">
        <v>1370</v>
      </c>
      <c r="N341" s="1" t="str">
        <f t="shared" si="5"/>
        <v>JUNIO COSTA</v>
      </c>
    </row>
    <row r="342" spans="1:14" x14ac:dyDescent="0.3">
      <c r="A342" s="1">
        <v>702853</v>
      </c>
      <c r="B342" s="1" t="s">
        <v>386</v>
      </c>
      <c r="C342" s="5" t="s">
        <v>15</v>
      </c>
      <c r="D342" s="2">
        <v>44628</v>
      </c>
      <c r="E342" s="2" t="s">
        <v>387</v>
      </c>
      <c r="F342" s="1">
        <v>37101</v>
      </c>
      <c r="G342" s="1" t="s">
        <v>214</v>
      </c>
      <c r="H342" s="1" t="s">
        <v>18</v>
      </c>
      <c r="J342" s="2" t="s">
        <v>239</v>
      </c>
      <c r="K342" s="1" t="s">
        <v>216</v>
      </c>
      <c r="L342" s="1" t="s">
        <v>216</v>
      </c>
      <c r="N342" s="1" t="str">
        <f t="shared" si="5"/>
        <v>CARSON NEVES</v>
      </c>
    </row>
    <row r="343" spans="1:14" x14ac:dyDescent="0.3">
      <c r="A343" s="1">
        <v>703018</v>
      </c>
      <c r="B343" s="1" t="s">
        <v>388</v>
      </c>
      <c r="C343" s="5" t="s">
        <v>15</v>
      </c>
      <c r="D343" s="2">
        <v>44692</v>
      </c>
      <c r="E343" s="2" t="s">
        <v>146</v>
      </c>
      <c r="F343" s="1">
        <v>39304</v>
      </c>
      <c r="G343" s="1" t="s">
        <v>56</v>
      </c>
      <c r="H343" s="1" t="s">
        <v>18</v>
      </c>
      <c r="J343" s="2" t="s">
        <v>57</v>
      </c>
      <c r="K343" s="1" t="s">
        <v>1371</v>
      </c>
      <c r="L343" s="1" t="s">
        <v>1376</v>
      </c>
      <c r="M343" s="1" t="s">
        <v>1377</v>
      </c>
      <c r="N343" s="1" t="str">
        <f t="shared" si="5"/>
        <v>WARLEY RIBEIRO</v>
      </c>
    </row>
    <row r="344" spans="1:14" x14ac:dyDescent="0.3">
      <c r="A344" s="1">
        <v>704224</v>
      </c>
      <c r="B344" s="1" t="s">
        <v>389</v>
      </c>
      <c r="C344" s="5" t="s">
        <v>15</v>
      </c>
      <c r="D344" s="2">
        <v>45328</v>
      </c>
      <c r="E344" s="2" t="s">
        <v>138</v>
      </c>
      <c r="F344" s="1">
        <v>22102</v>
      </c>
      <c r="G344" s="1" t="s">
        <v>68</v>
      </c>
      <c r="H344" s="1" t="s">
        <v>18</v>
      </c>
      <c r="J344" s="2" t="s">
        <v>81</v>
      </c>
      <c r="K344" s="1" t="s">
        <v>1371</v>
      </c>
      <c r="L344" s="1" t="s">
        <v>1509</v>
      </c>
      <c r="M344" s="1" t="s">
        <v>1379</v>
      </c>
      <c r="N344" s="1" t="str">
        <f t="shared" si="5"/>
        <v xml:space="preserve">EDSON/MARCELO LIMA </v>
      </c>
    </row>
    <row r="345" spans="1:14" x14ac:dyDescent="0.3">
      <c r="A345" s="1">
        <v>705738</v>
      </c>
      <c r="B345" s="1" t="s">
        <v>390</v>
      </c>
      <c r="C345" s="5" t="s">
        <v>15</v>
      </c>
      <c r="D345" s="2">
        <v>45993</v>
      </c>
      <c r="E345" s="2" t="s">
        <v>446</v>
      </c>
      <c r="F345" s="1">
        <v>22101</v>
      </c>
      <c r="G345" s="1" t="s">
        <v>122</v>
      </c>
      <c r="H345" s="1" t="s">
        <v>18</v>
      </c>
      <c r="J345" s="2" t="s">
        <v>123</v>
      </c>
      <c r="K345" s="1" t="s">
        <v>124</v>
      </c>
      <c r="L345" s="1" t="s">
        <v>124</v>
      </c>
      <c r="N345" s="1" t="str">
        <f t="shared" si="5"/>
        <v>MATHEUS FERNANDES</v>
      </c>
    </row>
    <row r="346" spans="1:14" x14ac:dyDescent="0.3">
      <c r="A346" s="1">
        <v>705237</v>
      </c>
      <c r="B346" s="1" t="s">
        <v>1183</v>
      </c>
      <c r="C346" s="5" t="s">
        <v>15</v>
      </c>
      <c r="D346" s="2">
        <v>45754</v>
      </c>
      <c r="E346" s="2" t="s">
        <v>31</v>
      </c>
      <c r="F346" s="1">
        <v>25102</v>
      </c>
      <c r="G346" s="1" t="s">
        <v>1153</v>
      </c>
      <c r="H346" s="1" t="s">
        <v>18</v>
      </c>
      <c r="J346" s="2" t="s">
        <v>19</v>
      </c>
      <c r="K346" s="1" t="s">
        <v>1368</v>
      </c>
      <c r="L346" s="1" t="s">
        <v>20</v>
      </c>
      <c r="N346" s="1" t="str">
        <f t="shared" si="5"/>
        <v>ALEX DIAS</v>
      </c>
    </row>
    <row r="347" spans="1:14" x14ac:dyDescent="0.3">
      <c r="A347" s="1">
        <v>704167</v>
      </c>
      <c r="B347" s="1" t="s">
        <v>391</v>
      </c>
      <c r="C347" s="5" t="s">
        <v>15</v>
      </c>
      <c r="D347" s="2">
        <v>45271</v>
      </c>
      <c r="E347" s="2" t="s">
        <v>406</v>
      </c>
      <c r="F347" s="1">
        <v>12105</v>
      </c>
      <c r="G347" s="1" t="s">
        <v>393</v>
      </c>
      <c r="H347" s="1" t="s">
        <v>18</v>
      </c>
      <c r="J347" s="2" t="s">
        <v>394</v>
      </c>
      <c r="K347" s="1" t="s">
        <v>1386</v>
      </c>
      <c r="L347" s="1" t="s">
        <v>1386</v>
      </c>
      <c r="N347" s="1" t="str">
        <f t="shared" si="5"/>
        <v>JOÃO GORGULHO</v>
      </c>
    </row>
    <row r="348" spans="1:14" x14ac:dyDescent="0.3">
      <c r="A348" s="1">
        <v>705637</v>
      </c>
      <c r="B348" s="1" t="s">
        <v>1408</v>
      </c>
      <c r="C348" s="5" t="s">
        <v>15</v>
      </c>
      <c r="D348" s="2">
        <v>45937</v>
      </c>
      <c r="E348" s="2" t="s">
        <v>31</v>
      </c>
      <c r="F348" s="1">
        <v>25102</v>
      </c>
      <c r="G348" s="1" t="s">
        <v>1153</v>
      </c>
      <c r="H348" s="1" t="s">
        <v>18</v>
      </c>
      <c r="J348" s="2" t="s">
        <v>19</v>
      </c>
      <c r="K348" s="1" t="s">
        <v>1368</v>
      </c>
      <c r="L348" s="1" t="s">
        <v>20</v>
      </c>
      <c r="N348" s="1" t="str">
        <f t="shared" si="5"/>
        <v>ALEX DIAS</v>
      </c>
    </row>
    <row r="349" spans="1:14" x14ac:dyDescent="0.3">
      <c r="A349" s="1">
        <v>705093</v>
      </c>
      <c r="B349" s="1" t="s">
        <v>395</v>
      </c>
      <c r="C349" s="5" t="s">
        <v>15</v>
      </c>
      <c r="D349" s="2">
        <v>45670</v>
      </c>
      <c r="E349" s="2" t="s">
        <v>40</v>
      </c>
      <c r="F349" s="1">
        <v>51219</v>
      </c>
      <c r="G349" s="1" t="s">
        <v>61</v>
      </c>
      <c r="H349" s="1" t="s">
        <v>18</v>
      </c>
      <c r="J349" s="2" t="s">
        <v>19</v>
      </c>
      <c r="K349" s="1" t="s">
        <v>1368</v>
      </c>
      <c r="L349" s="1" t="s">
        <v>20</v>
      </c>
      <c r="N349" s="1" t="str">
        <f t="shared" si="5"/>
        <v>ALEX DIAS</v>
      </c>
    </row>
    <row r="350" spans="1:14" x14ac:dyDescent="0.3">
      <c r="A350" s="1">
        <v>704156</v>
      </c>
      <c r="B350" s="1" t="s">
        <v>396</v>
      </c>
      <c r="C350" s="5" t="s">
        <v>15</v>
      </c>
      <c r="D350" s="2">
        <v>45264</v>
      </c>
      <c r="E350" s="2" t="s">
        <v>336</v>
      </c>
      <c r="F350" s="1">
        <v>38107</v>
      </c>
      <c r="G350" s="1" t="s">
        <v>1503</v>
      </c>
      <c r="H350" s="1" t="s">
        <v>18</v>
      </c>
      <c r="J350" s="2" t="s">
        <v>78</v>
      </c>
      <c r="K350" s="1" t="s">
        <v>1372</v>
      </c>
      <c r="L350" s="1" t="s">
        <v>1372</v>
      </c>
      <c r="N350" s="1" t="str">
        <f t="shared" si="5"/>
        <v xml:space="preserve">LEIDJANE MARTINS </v>
      </c>
    </row>
    <row r="351" spans="1:14" x14ac:dyDescent="0.3">
      <c r="A351" s="1">
        <v>701616</v>
      </c>
      <c r="B351" s="1" t="s">
        <v>397</v>
      </c>
      <c r="C351" s="5" t="s">
        <v>15</v>
      </c>
      <c r="D351" s="2">
        <v>43998</v>
      </c>
      <c r="E351" s="2" t="s">
        <v>160</v>
      </c>
      <c r="F351" s="1">
        <v>32101</v>
      </c>
      <c r="G351" s="1" t="s">
        <v>23</v>
      </c>
      <c r="H351" s="1" t="s">
        <v>18</v>
      </c>
      <c r="J351" s="2" t="s">
        <v>24</v>
      </c>
      <c r="K351" s="1" t="s">
        <v>25</v>
      </c>
      <c r="L351" s="1" t="s">
        <v>1369</v>
      </c>
      <c r="M351" s="1" t="s">
        <v>1370</v>
      </c>
      <c r="N351" s="1" t="str">
        <f t="shared" si="5"/>
        <v>JUNIO COSTA</v>
      </c>
    </row>
    <row r="352" spans="1:14" x14ac:dyDescent="0.3">
      <c r="A352" s="1">
        <v>700483</v>
      </c>
      <c r="B352" s="1" t="s">
        <v>398</v>
      </c>
      <c r="C352" s="5" t="s">
        <v>15</v>
      </c>
      <c r="D352" s="2">
        <v>43346</v>
      </c>
      <c r="E352" s="2" t="s">
        <v>127</v>
      </c>
      <c r="F352" s="1">
        <v>22102</v>
      </c>
      <c r="G352" s="1" t="s">
        <v>68</v>
      </c>
      <c r="H352" s="1" t="s">
        <v>18</v>
      </c>
      <c r="J352" s="2" t="s">
        <v>81</v>
      </c>
      <c r="K352" s="1" t="s">
        <v>1371</v>
      </c>
      <c r="L352" s="1" t="s">
        <v>1509</v>
      </c>
      <c r="M352" s="1" t="s">
        <v>1379</v>
      </c>
      <c r="N352" s="1" t="str">
        <f t="shared" si="5"/>
        <v xml:space="preserve">EDSON/MARCELO LIMA </v>
      </c>
    </row>
    <row r="353" spans="1:14" x14ac:dyDescent="0.3">
      <c r="A353" s="1">
        <v>704191</v>
      </c>
      <c r="B353" s="1" t="s">
        <v>399</v>
      </c>
      <c r="C353" s="5" t="s">
        <v>15</v>
      </c>
      <c r="D353" s="2">
        <v>45300</v>
      </c>
      <c r="E353" s="2" t="s">
        <v>67</v>
      </c>
      <c r="F353" s="1">
        <v>22102</v>
      </c>
      <c r="G353" s="1" t="s">
        <v>68</v>
      </c>
      <c r="H353" s="1" t="s">
        <v>18</v>
      </c>
      <c r="J353" s="2" t="s">
        <v>94</v>
      </c>
      <c r="K353" s="1" t="s">
        <v>1371</v>
      </c>
      <c r="L353" s="1" t="s">
        <v>1378</v>
      </c>
      <c r="M353" s="1" t="s">
        <v>95</v>
      </c>
      <c r="N353" s="1" t="str">
        <f t="shared" si="5"/>
        <v>LUAN ABADIA</v>
      </c>
    </row>
    <row r="354" spans="1:14" x14ac:dyDescent="0.3">
      <c r="A354" s="1">
        <v>705718</v>
      </c>
      <c r="B354" s="1" t="s">
        <v>1451</v>
      </c>
      <c r="C354" s="5" t="s">
        <v>15</v>
      </c>
      <c r="D354" s="2">
        <v>45971</v>
      </c>
      <c r="E354" s="2" t="s">
        <v>31</v>
      </c>
      <c r="F354" s="1">
        <v>25201</v>
      </c>
      <c r="G354" s="1" t="s">
        <v>89</v>
      </c>
      <c r="H354" s="1" t="s">
        <v>18</v>
      </c>
      <c r="J354" s="2" t="s">
        <v>19</v>
      </c>
      <c r="K354" s="1" t="s">
        <v>1368</v>
      </c>
      <c r="L354" s="1" t="s">
        <v>20</v>
      </c>
      <c r="N354" s="1" t="str">
        <f t="shared" si="5"/>
        <v>ALEX DIAS</v>
      </c>
    </row>
    <row r="355" spans="1:14" x14ac:dyDescent="0.3">
      <c r="A355" s="1">
        <v>705015</v>
      </c>
      <c r="B355" s="1" t="s">
        <v>934</v>
      </c>
      <c r="C355" s="5" t="s">
        <v>15</v>
      </c>
      <c r="D355" s="2">
        <v>45635</v>
      </c>
      <c r="E355" s="2" t="s">
        <v>328</v>
      </c>
      <c r="F355" s="1">
        <v>37101</v>
      </c>
      <c r="G355" s="1" t="s">
        <v>214</v>
      </c>
      <c r="H355" s="1" t="s">
        <v>18</v>
      </c>
      <c r="J355" s="2" t="s">
        <v>239</v>
      </c>
      <c r="K355" s="1" t="s">
        <v>216</v>
      </c>
      <c r="L355" s="1" t="s">
        <v>216</v>
      </c>
      <c r="N355" s="1" t="str">
        <f t="shared" si="5"/>
        <v>CARSON NEVES</v>
      </c>
    </row>
    <row r="356" spans="1:14" x14ac:dyDescent="0.3">
      <c r="A356" s="1">
        <v>705045</v>
      </c>
      <c r="B356" s="1" t="s">
        <v>400</v>
      </c>
      <c r="C356" s="5" t="s">
        <v>15</v>
      </c>
      <c r="D356" s="2">
        <v>45635</v>
      </c>
      <c r="E356" s="2" t="s">
        <v>1352</v>
      </c>
      <c r="F356" s="1">
        <v>31102</v>
      </c>
      <c r="G356" s="1" t="s">
        <v>135</v>
      </c>
      <c r="H356" s="1" t="s">
        <v>18</v>
      </c>
      <c r="J356" s="2" t="s">
        <v>136</v>
      </c>
      <c r="K356" s="1" t="s">
        <v>50</v>
      </c>
      <c r="L356" s="1" t="s">
        <v>50</v>
      </c>
      <c r="M356" s="1" t="s">
        <v>1382</v>
      </c>
      <c r="N356" s="1" t="str">
        <f t="shared" si="5"/>
        <v>ADENILTON RODRIGUES</v>
      </c>
    </row>
    <row r="357" spans="1:14" x14ac:dyDescent="0.3">
      <c r="A357" s="1">
        <v>703237</v>
      </c>
      <c r="B357" s="1" t="s">
        <v>401</v>
      </c>
      <c r="C357" s="5" t="s">
        <v>15</v>
      </c>
      <c r="D357" s="2">
        <v>44760</v>
      </c>
      <c r="E357" s="2" t="s">
        <v>1353</v>
      </c>
      <c r="F357" s="1">
        <v>31102</v>
      </c>
      <c r="G357" s="1" t="s">
        <v>135</v>
      </c>
      <c r="H357" s="1" t="s">
        <v>18</v>
      </c>
      <c r="J357" s="2" t="s">
        <v>136</v>
      </c>
      <c r="K357" s="1" t="s">
        <v>50</v>
      </c>
      <c r="L357" s="1" t="s">
        <v>50</v>
      </c>
      <c r="M357" s="1" t="s">
        <v>1382</v>
      </c>
      <c r="N357" s="1" t="str">
        <f t="shared" si="5"/>
        <v>ADENILTON RODRIGUES</v>
      </c>
    </row>
    <row r="358" spans="1:14" x14ac:dyDescent="0.3">
      <c r="A358" s="1">
        <v>704130</v>
      </c>
      <c r="B358" s="1" t="s">
        <v>402</v>
      </c>
      <c r="C358" s="5" t="s">
        <v>15</v>
      </c>
      <c r="D358" s="2">
        <v>45244</v>
      </c>
      <c r="E358" s="2" t="s">
        <v>31</v>
      </c>
      <c r="F358" s="1">
        <v>25201</v>
      </c>
      <c r="G358" s="1" t="s">
        <v>89</v>
      </c>
      <c r="H358" s="1" t="s">
        <v>18</v>
      </c>
      <c r="J358" s="2" t="s">
        <v>19</v>
      </c>
      <c r="K358" s="1" t="s">
        <v>1368</v>
      </c>
      <c r="L358" s="1" t="s">
        <v>20</v>
      </c>
      <c r="N358" s="1" t="str">
        <f t="shared" si="5"/>
        <v>ALEX DIAS</v>
      </c>
    </row>
    <row r="359" spans="1:14" x14ac:dyDescent="0.3">
      <c r="A359" s="1">
        <v>705239</v>
      </c>
      <c r="B359" s="1" t="s">
        <v>1184</v>
      </c>
      <c r="C359" s="5" t="s">
        <v>15</v>
      </c>
      <c r="D359" s="2">
        <v>45754</v>
      </c>
      <c r="E359" s="2" t="s">
        <v>31</v>
      </c>
      <c r="F359" s="1">
        <v>25102</v>
      </c>
      <c r="G359" s="1" t="s">
        <v>1153</v>
      </c>
      <c r="H359" s="1" t="s">
        <v>18</v>
      </c>
      <c r="J359" s="2" t="s">
        <v>19</v>
      </c>
      <c r="K359" s="1" t="s">
        <v>1368</v>
      </c>
      <c r="L359" s="1" t="s">
        <v>20</v>
      </c>
      <c r="N359" s="1" t="str">
        <f t="shared" si="5"/>
        <v>ALEX DIAS</v>
      </c>
    </row>
    <row r="360" spans="1:14" x14ac:dyDescent="0.3">
      <c r="A360" s="1">
        <v>705447</v>
      </c>
      <c r="B360" s="1" t="s">
        <v>1262</v>
      </c>
      <c r="C360" s="5" t="s">
        <v>15</v>
      </c>
      <c r="D360" s="2">
        <v>45797</v>
      </c>
      <c r="E360" s="2" t="s">
        <v>138</v>
      </c>
      <c r="F360" s="1">
        <v>22102</v>
      </c>
      <c r="G360" s="1" t="s">
        <v>68</v>
      </c>
      <c r="H360" s="1" t="s">
        <v>18</v>
      </c>
      <c r="J360" s="2" t="s">
        <v>81</v>
      </c>
      <c r="K360" s="1" t="s">
        <v>1371</v>
      </c>
      <c r="L360" s="1" t="s">
        <v>1509</v>
      </c>
      <c r="M360" s="1" t="s">
        <v>1379</v>
      </c>
      <c r="N360" s="1" t="str">
        <f t="shared" si="5"/>
        <v xml:space="preserve">EDSON/MARCELO LIMA </v>
      </c>
    </row>
    <row r="361" spans="1:14" x14ac:dyDescent="0.3">
      <c r="A361" s="1">
        <v>705411</v>
      </c>
      <c r="B361" s="1" t="s">
        <v>1225</v>
      </c>
      <c r="C361" s="5" t="s">
        <v>15</v>
      </c>
      <c r="D361" s="2">
        <v>45790</v>
      </c>
      <c r="E361" s="2" t="s">
        <v>72</v>
      </c>
      <c r="F361" s="1">
        <v>39304</v>
      </c>
      <c r="G361" s="1" t="s">
        <v>56</v>
      </c>
      <c r="H361" s="1" t="s">
        <v>18</v>
      </c>
      <c r="J361" s="2" t="s">
        <v>74</v>
      </c>
      <c r="K361" s="1" t="s">
        <v>1371</v>
      </c>
      <c r="L361" s="1" t="s">
        <v>1376</v>
      </c>
      <c r="M361" s="1" t="s">
        <v>75</v>
      </c>
      <c r="N361" s="1" t="str">
        <f t="shared" si="5"/>
        <v>ISAC NONATO</v>
      </c>
    </row>
    <row r="362" spans="1:14" x14ac:dyDescent="0.3">
      <c r="A362" s="1">
        <v>702400</v>
      </c>
      <c r="B362" s="1" t="s">
        <v>403</v>
      </c>
      <c r="C362" s="5" t="s">
        <v>15</v>
      </c>
      <c r="D362" s="2">
        <v>44383</v>
      </c>
      <c r="E362" s="2" t="s">
        <v>60</v>
      </c>
      <c r="F362" s="1">
        <v>22102</v>
      </c>
      <c r="G362" s="1" t="s">
        <v>68</v>
      </c>
      <c r="H362" s="1" t="s">
        <v>18</v>
      </c>
      <c r="J362" s="2" t="s">
        <v>167</v>
      </c>
      <c r="K362" s="1" t="s">
        <v>1371</v>
      </c>
      <c r="L362" s="1" t="s">
        <v>1509</v>
      </c>
      <c r="M362" s="1" t="s">
        <v>1383</v>
      </c>
      <c r="N362" s="1" t="str">
        <f t="shared" si="5"/>
        <v>WANDRES/FABIANO</v>
      </c>
    </row>
    <row r="363" spans="1:14" x14ac:dyDescent="0.3">
      <c r="A363" s="1">
        <v>702921</v>
      </c>
      <c r="B363" s="1" t="s">
        <v>404</v>
      </c>
      <c r="C363" s="5" t="s">
        <v>15</v>
      </c>
      <c r="D363" s="2">
        <v>44656</v>
      </c>
      <c r="E363" s="2" t="s">
        <v>219</v>
      </c>
      <c r="F363" s="1">
        <v>32101</v>
      </c>
      <c r="G363" s="1" t="s">
        <v>23</v>
      </c>
      <c r="H363" s="1" t="s">
        <v>18</v>
      </c>
      <c r="J363" s="2" t="s">
        <v>24</v>
      </c>
      <c r="K363" s="1" t="s">
        <v>25</v>
      </c>
      <c r="L363" s="1" t="s">
        <v>1369</v>
      </c>
      <c r="M363" s="1" t="s">
        <v>1370</v>
      </c>
      <c r="N363" s="1" t="str">
        <f t="shared" si="5"/>
        <v>JUNIO COSTA</v>
      </c>
    </row>
    <row r="364" spans="1:14" x14ac:dyDescent="0.3">
      <c r="A364" s="1">
        <v>702172</v>
      </c>
      <c r="B364" s="1" t="s">
        <v>405</v>
      </c>
      <c r="C364" s="5" t="s">
        <v>15</v>
      </c>
      <c r="D364" s="2">
        <v>44320</v>
      </c>
      <c r="E364" s="2" t="s">
        <v>105</v>
      </c>
      <c r="F364" s="1">
        <v>22102</v>
      </c>
      <c r="G364" s="1" t="s">
        <v>68</v>
      </c>
      <c r="H364" s="1" t="s">
        <v>18</v>
      </c>
      <c r="J364" s="2" t="s">
        <v>167</v>
      </c>
      <c r="K364" s="1" t="s">
        <v>1371</v>
      </c>
      <c r="L364" s="1" t="s">
        <v>1509</v>
      </c>
      <c r="M364" s="1" t="s">
        <v>1383</v>
      </c>
      <c r="N364" s="1" t="str">
        <f t="shared" si="5"/>
        <v>WANDRES/FABIANO</v>
      </c>
    </row>
    <row r="365" spans="1:14" x14ac:dyDescent="0.3">
      <c r="A365" s="1">
        <v>701299</v>
      </c>
      <c r="B365" s="1" t="s">
        <v>407</v>
      </c>
      <c r="C365" s="5" t="s">
        <v>15</v>
      </c>
      <c r="D365" s="2">
        <v>43724</v>
      </c>
      <c r="E365" s="2" t="s">
        <v>408</v>
      </c>
      <c r="F365" s="1">
        <v>37101</v>
      </c>
      <c r="G365" s="1" t="s">
        <v>214</v>
      </c>
      <c r="H365" s="1" t="s">
        <v>18</v>
      </c>
      <c r="J365" s="2" t="s">
        <v>239</v>
      </c>
      <c r="K365" s="1" t="s">
        <v>216</v>
      </c>
      <c r="L365" s="1" t="s">
        <v>216</v>
      </c>
      <c r="N365" s="1" t="str">
        <f t="shared" si="5"/>
        <v>CARSON NEVES</v>
      </c>
    </row>
    <row r="366" spans="1:14" x14ac:dyDescent="0.3">
      <c r="A366" s="1">
        <v>705541</v>
      </c>
      <c r="B366" s="1" t="s">
        <v>1298</v>
      </c>
      <c r="C366" s="5" t="s">
        <v>15</v>
      </c>
      <c r="D366" s="2">
        <v>45847</v>
      </c>
      <c r="E366" s="2" t="s">
        <v>567</v>
      </c>
      <c r="F366" s="1">
        <v>33301</v>
      </c>
      <c r="G366" s="1" t="s">
        <v>64</v>
      </c>
      <c r="H366" s="1" t="s">
        <v>18</v>
      </c>
      <c r="J366" s="2" t="s">
        <v>65</v>
      </c>
      <c r="K366" s="1" t="s">
        <v>25</v>
      </c>
      <c r="L366" s="1" t="s">
        <v>1374</v>
      </c>
      <c r="M366" s="1" t="s">
        <v>1375</v>
      </c>
      <c r="N366" s="1" t="str">
        <f t="shared" si="5"/>
        <v>ANDRÉ CUBA</v>
      </c>
    </row>
    <row r="367" spans="1:14" x14ac:dyDescent="0.3">
      <c r="A367" s="1">
        <v>101308</v>
      </c>
      <c r="B367" s="1" t="s">
        <v>409</v>
      </c>
      <c r="C367" s="5" t="s">
        <v>15</v>
      </c>
      <c r="D367" s="2">
        <v>42857</v>
      </c>
      <c r="E367" s="2" t="s">
        <v>410</v>
      </c>
      <c r="F367" s="1">
        <v>14101</v>
      </c>
      <c r="G367" s="1" t="s">
        <v>277</v>
      </c>
      <c r="H367" s="1" t="s">
        <v>18</v>
      </c>
      <c r="J367" s="2" t="s">
        <v>411</v>
      </c>
      <c r="K367" s="1" t="s">
        <v>132</v>
      </c>
      <c r="N367" s="1" t="str">
        <f t="shared" si="5"/>
        <v xml:space="preserve">GISELE NASCENTE </v>
      </c>
    </row>
    <row r="368" spans="1:14" x14ac:dyDescent="0.3">
      <c r="A368" s="1">
        <v>705112</v>
      </c>
      <c r="B368" s="1" t="s">
        <v>412</v>
      </c>
      <c r="C368" s="5" t="s">
        <v>15</v>
      </c>
      <c r="D368" s="2">
        <v>45678</v>
      </c>
      <c r="E368" s="2" t="s">
        <v>31</v>
      </c>
      <c r="F368" s="1">
        <v>52104</v>
      </c>
      <c r="G368" s="1" t="s">
        <v>17</v>
      </c>
      <c r="H368" s="1" t="s">
        <v>18</v>
      </c>
      <c r="J368" s="2" t="s">
        <v>19</v>
      </c>
      <c r="K368" s="1" t="s">
        <v>1368</v>
      </c>
      <c r="L368" s="1" t="s">
        <v>20</v>
      </c>
      <c r="N368" s="1" t="str">
        <f t="shared" si="5"/>
        <v>ALEX DIAS</v>
      </c>
    </row>
    <row r="369" spans="1:14" x14ac:dyDescent="0.3">
      <c r="A369" s="1">
        <v>101621</v>
      </c>
      <c r="B369" s="1" t="s">
        <v>413</v>
      </c>
      <c r="C369" s="5" t="s">
        <v>15</v>
      </c>
      <c r="D369" s="2">
        <v>43010</v>
      </c>
      <c r="E369" s="2" t="s">
        <v>414</v>
      </c>
      <c r="F369" s="1">
        <v>34201</v>
      </c>
      <c r="G369" s="1" t="s">
        <v>84</v>
      </c>
      <c r="H369" s="1" t="s">
        <v>18</v>
      </c>
      <c r="J369" s="2" t="s">
        <v>85</v>
      </c>
      <c r="K369" s="1" t="s">
        <v>1371</v>
      </c>
      <c r="L369" s="1" t="s">
        <v>1371</v>
      </c>
      <c r="M369" s="1" t="s">
        <v>1380</v>
      </c>
      <c r="N369" s="1" t="str">
        <f t="shared" si="5"/>
        <v xml:space="preserve">LEONARDO SANTOS </v>
      </c>
    </row>
    <row r="370" spans="1:14" x14ac:dyDescent="0.3">
      <c r="A370" s="1">
        <v>701218</v>
      </c>
      <c r="B370" s="1" t="s">
        <v>415</v>
      </c>
      <c r="C370" s="5" t="s">
        <v>15</v>
      </c>
      <c r="D370" s="2">
        <v>42887</v>
      </c>
      <c r="E370" s="2" t="s">
        <v>127</v>
      </c>
      <c r="F370" s="1">
        <v>22102</v>
      </c>
      <c r="G370" s="1" t="s">
        <v>68</v>
      </c>
      <c r="H370" s="1" t="s">
        <v>18</v>
      </c>
      <c r="J370" s="2" t="s">
        <v>81</v>
      </c>
      <c r="K370" s="1" t="s">
        <v>1371</v>
      </c>
      <c r="L370" s="1" t="s">
        <v>1509</v>
      </c>
      <c r="M370" s="1" t="s">
        <v>1379</v>
      </c>
      <c r="N370" s="1" t="str">
        <f t="shared" si="5"/>
        <v xml:space="preserve">EDSON/MARCELO LIMA </v>
      </c>
    </row>
    <row r="371" spans="1:14" x14ac:dyDescent="0.3">
      <c r="A371" s="1">
        <v>101931</v>
      </c>
      <c r="B371" s="1" t="s">
        <v>416</v>
      </c>
      <c r="C371" s="5" t="s">
        <v>15</v>
      </c>
      <c r="D371" s="2">
        <v>41143</v>
      </c>
      <c r="E371" s="2" t="s">
        <v>185</v>
      </c>
      <c r="F371" s="1">
        <v>33101</v>
      </c>
      <c r="G371" s="1" t="s">
        <v>186</v>
      </c>
      <c r="H371" s="1" t="s">
        <v>18</v>
      </c>
      <c r="J371" s="2" t="s">
        <v>44</v>
      </c>
      <c r="K371" s="1" t="s">
        <v>25</v>
      </c>
      <c r="L371" s="1" t="s">
        <v>1374</v>
      </c>
      <c r="M371" s="1" t="s">
        <v>1385</v>
      </c>
      <c r="N371" s="1" t="str">
        <f t="shared" si="5"/>
        <v>TALLES RYAN</v>
      </c>
    </row>
    <row r="372" spans="1:14" x14ac:dyDescent="0.3">
      <c r="A372" s="1">
        <v>106037</v>
      </c>
      <c r="B372" s="1" t="s">
        <v>417</v>
      </c>
      <c r="C372" s="5" t="s">
        <v>15</v>
      </c>
      <c r="D372" s="2">
        <v>43577</v>
      </c>
      <c r="E372" s="2" t="s">
        <v>371</v>
      </c>
      <c r="F372" s="1">
        <v>39301</v>
      </c>
      <c r="G372" s="1" t="s">
        <v>73</v>
      </c>
      <c r="H372" s="1" t="s">
        <v>18</v>
      </c>
      <c r="J372" s="2" t="s">
        <v>74</v>
      </c>
      <c r="K372" s="1" t="s">
        <v>1371</v>
      </c>
      <c r="L372" s="1" t="s">
        <v>1376</v>
      </c>
      <c r="M372" s="1" t="s">
        <v>75</v>
      </c>
      <c r="N372" s="1" t="str">
        <f t="shared" si="5"/>
        <v>ISAC NONATO</v>
      </c>
    </row>
    <row r="373" spans="1:14" x14ac:dyDescent="0.3">
      <c r="A373" s="1">
        <v>704436</v>
      </c>
      <c r="B373" s="1" t="s">
        <v>419</v>
      </c>
      <c r="C373" s="5" t="s">
        <v>15</v>
      </c>
      <c r="D373" s="2">
        <v>45398</v>
      </c>
      <c r="E373" s="2" t="s">
        <v>1354</v>
      </c>
      <c r="F373" s="1">
        <v>37101</v>
      </c>
      <c r="G373" s="1" t="s">
        <v>214</v>
      </c>
      <c r="H373" s="1" t="s">
        <v>18</v>
      </c>
      <c r="J373" s="2" t="s">
        <v>239</v>
      </c>
      <c r="K373" s="1" t="s">
        <v>216</v>
      </c>
      <c r="L373" s="1" t="s">
        <v>216</v>
      </c>
      <c r="N373" s="1" t="str">
        <f t="shared" si="5"/>
        <v>CARSON NEVES</v>
      </c>
    </row>
    <row r="374" spans="1:14" x14ac:dyDescent="0.3">
      <c r="A374" s="1">
        <v>705566</v>
      </c>
      <c r="B374" s="1" t="s">
        <v>1318</v>
      </c>
      <c r="C374" s="5" t="s">
        <v>15</v>
      </c>
      <c r="D374" s="2">
        <v>45874</v>
      </c>
      <c r="E374" s="2" t="s">
        <v>31</v>
      </c>
      <c r="F374" s="1">
        <v>25201</v>
      </c>
      <c r="G374" s="1" t="s">
        <v>89</v>
      </c>
      <c r="H374" s="1" t="s">
        <v>18</v>
      </c>
      <c r="J374" s="2" t="s">
        <v>19</v>
      </c>
      <c r="K374" s="1" t="s">
        <v>1368</v>
      </c>
      <c r="L374" s="1" t="s">
        <v>20</v>
      </c>
      <c r="N374" s="1" t="str">
        <f t="shared" si="5"/>
        <v>ALEX DIAS</v>
      </c>
    </row>
    <row r="375" spans="1:14" x14ac:dyDescent="0.3">
      <c r="A375" s="1">
        <v>705469</v>
      </c>
      <c r="B375" s="1" t="s">
        <v>1279</v>
      </c>
      <c r="C375" s="5" t="s">
        <v>15</v>
      </c>
      <c r="D375" s="2">
        <v>45812</v>
      </c>
      <c r="E375" s="2" t="s">
        <v>31</v>
      </c>
      <c r="F375" s="1">
        <v>39301</v>
      </c>
      <c r="G375" s="1" t="s">
        <v>73</v>
      </c>
      <c r="H375" s="1" t="s">
        <v>18</v>
      </c>
      <c r="J375" s="2" t="s">
        <v>74</v>
      </c>
      <c r="K375" s="1" t="s">
        <v>1371</v>
      </c>
      <c r="L375" s="1" t="s">
        <v>1376</v>
      </c>
      <c r="M375" s="1" t="s">
        <v>75</v>
      </c>
      <c r="N375" s="1" t="str">
        <f t="shared" si="5"/>
        <v>ISAC NONATO</v>
      </c>
    </row>
    <row r="376" spans="1:14" x14ac:dyDescent="0.3">
      <c r="A376" s="1">
        <v>100888</v>
      </c>
      <c r="B376" s="1" t="s">
        <v>420</v>
      </c>
      <c r="C376" s="5" t="s">
        <v>15</v>
      </c>
      <c r="D376" s="2">
        <v>42458</v>
      </c>
      <c r="E376" s="2" t="s">
        <v>127</v>
      </c>
      <c r="F376" s="1">
        <v>22102</v>
      </c>
      <c r="G376" s="1" t="s">
        <v>68</v>
      </c>
      <c r="H376" s="1" t="s">
        <v>18</v>
      </c>
      <c r="J376" s="2" t="s">
        <v>81</v>
      </c>
      <c r="K376" s="1" t="s">
        <v>1371</v>
      </c>
      <c r="L376" s="1" t="s">
        <v>1509</v>
      </c>
      <c r="M376" s="1" t="s">
        <v>1379</v>
      </c>
      <c r="N376" s="1" t="str">
        <f t="shared" si="5"/>
        <v xml:space="preserve">EDSON/MARCELO LIMA </v>
      </c>
    </row>
    <row r="377" spans="1:14" x14ac:dyDescent="0.3">
      <c r="A377" s="1">
        <v>701496</v>
      </c>
      <c r="B377" s="1" t="s">
        <v>421</v>
      </c>
      <c r="C377" s="5" t="s">
        <v>15</v>
      </c>
      <c r="D377" s="2">
        <v>43881</v>
      </c>
      <c r="E377" s="2" t="s">
        <v>199</v>
      </c>
      <c r="F377" s="1">
        <v>22102</v>
      </c>
      <c r="G377" s="1" t="s">
        <v>68</v>
      </c>
      <c r="H377" s="1" t="s">
        <v>18</v>
      </c>
      <c r="J377" s="2" t="s">
        <v>94</v>
      </c>
      <c r="K377" s="1" t="s">
        <v>1371</v>
      </c>
      <c r="L377" s="1" t="s">
        <v>1378</v>
      </c>
      <c r="M377" s="1" t="s">
        <v>95</v>
      </c>
      <c r="N377" s="1" t="str">
        <f t="shared" si="5"/>
        <v>LUAN ABADIA</v>
      </c>
    </row>
    <row r="378" spans="1:14" x14ac:dyDescent="0.3">
      <c r="A378" s="1">
        <v>705746</v>
      </c>
      <c r="B378" s="1" t="s">
        <v>947</v>
      </c>
      <c r="C378" s="5" t="s">
        <v>15</v>
      </c>
      <c r="D378" s="2">
        <v>45993</v>
      </c>
      <c r="E378" s="2" t="s">
        <v>31</v>
      </c>
      <c r="F378" s="1">
        <v>22102</v>
      </c>
      <c r="G378" s="1" t="s">
        <v>68</v>
      </c>
      <c r="H378" s="1" t="s">
        <v>18</v>
      </c>
      <c r="J378" s="2" t="s">
        <v>81</v>
      </c>
      <c r="K378" s="1" t="s">
        <v>1371</v>
      </c>
      <c r="L378" s="1" t="s">
        <v>1509</v>
      </c>
      <c r="M378" s="1" t="s">
        <v>1379</v>
      </c>
      <c r="N378" s="1" t="str">
        <f t="shared" si="5"/>
        <v xml:space="preserve">EDSON/MARCELO LIMA </v>
      </c>
    </row>
    <row r="379" spans="1:14" x14ac:dyDescent="0.3">
      <c r="A379" s="1">
        <v>705698</v>
      </c>
      <c r="B379" s="1" t="s">
        <v>424</v>
      </c>
      <c r="C379" s="5" t="s">
        <v>15</v>
      </c>
      <c r="D379" s="2">
        <v>45971</v>
      </c>
      <c r="E379" s="2" t="s">
        <v>91</v>
      </c>
      <c r="F379" s="1">
        <v>34201</v>
      </c>
      <c r="G379" s="1" t="s">
        <v>84</v>
      </c>
      <c r="H379" s="1" t="s">
        <v>18</v>
      </c>
      <c r="J379" s="2" t="s">
        <v>85</v>
      </c>
      <c r="K379" s="1" t="s">
        <v>1371</v>
      </c>
      <c r="L379" s="1" t="s">
        <v>1371</v>
      </c>
      <c r="M379" s="1" t="s">
        <v>1380</v>
      </c>
      <c r="N379" s="1" t="str">
        <f t="shared" si="5"/>
        <v xml:space="preserve">LEONARDO SANTOS </v>
      </c>
    </row>
    <row r="380" spans="1:14" x14ac:dyDescent="0.3">
      <c r="A380" s="1">
        <v>705053</v>
      </c>
      <c r="B380" s="1" t="s">
        <v>950</v>
      </c>
      <c r="C380" s="5" t="s">
        <v>15</v>
      </c>
      <c r="D380" s="2">
        <v>45643</v>
      </c>
      <c r="E380" s="2" t="s">
        <v>31</v>
      </c>
      <c r="F380" s="1">
        <v>22102</v>
      </c>
      <c r="G380" s="1" t="s">
        <v>68</v>
      </c>
      <c r="H380" s="1" t="s">
        <v>18</v>
      </c>
      <c r="J380" s="2" t="s">
        <v>81</v>
      </c>
      <c r="K380" s="1" t="s">
        <v>1371</v>
      </c>
      <c r="L380" s="1" t="s">
        <v>1509</v>
      </c>
      <c r="M380" s="1" t="s">
        <v>1379</v>
      </c>
      <c r="N380" s="1" t="str">
        <f t="shared" si="5"/>
        <v xml:space="preserve">EDSON/MARCELO LIMA </v>
      </c>
    </row>
    <row r="381" spans="1:14" x14ac:dyDescent="0.3">
      <c r="A381" s="1">
        <v>705600</v>
      </c>
      <c r="B381" s="1" t="s">
        <v>1319</v>
      </c>
      <c r="C381" s="5" t="s">
        <v>15</v>
      </c>
      <c r="D381" s="2">
        <v>45888</v>
      </c>
      <c r="E381" s="2" t="s">
        <v>31</v>
      </c>
      <c r="F381" s="1">
        <v>39301</v>
      </c>
      <c r="G381" s="1" t="s">
        <v>73</v>
      </c>
      <c r="H381" s="1" t="s">
        <v>18</v>
      </c>
      <c r="J381" s="2" t="s">
        <v>74</v>
      </c>
      <c r="K381" s="1" t="s">
        <v>1371</v>
      </c>
      <c r="L381" s="1" t="s">
        <v>1376</v>
      </c>
      <c r="M381" s="1" t="s">
        <v>75</v>
      </c>
      <c r="N381" s="1" t="str">
        <f t="shared" si="5"/>
        <v>ISAC NONATO</v>
      </c>
    </row>
    <row r="382" spans="1:14" x14ac:dyDescent="0.3">
      <c r="A382" s="1">
        <v>705763</v>
      </c>
      <c r="B382" s="1" t="s">
        <v>1486</v>
      </c>
      <c r="C382" s="5" t="s">
        <v>15</v>
      </c>
      <c r="D382" s="2">
        <v>45993</v>
      </c>
      <c r="E382" s="2" t="s">
        <v>31</v>
      </c>
      <c r="F382" s="1">
        <v>25102</v>
      </c>
      <c r="G382" s="1" t="s">
        <v>1153</v>
      </c>
      <c r="H382" s="1" t="s">
        <v>18</v>
      </c>
      <c r="J382" s="2" t="s">
        <v>19</v>
      </c>
      <c r="K382" s="1" t="s">
        <v>1368</v>
      </c>
      <c r="L382" s="1" t="s">
        <v>20</v>
      </c>
      <c r="N382" s="1" t="str">
        <f t="shared" si="5"/>
        <v>ALEX DIAS</v>
      </c>
    </row>
    <row r="383" spans="1:14" x14ac:dyDescent="0.3">
      <c r="A383" s="1">
        <v>704358</v>
      </c>
      <c r="B383" s="1" t="s">
        <v>425</v>
      </c>
      <c r="C383" s="5" t="s">
        <v>15</v>
      </c>
      <c r="D383" s="2">
        <v>45384</v>
      </c>
      <c r="E383" s="2" t="s">
        <v>1215</v>
      </c>
      <c r="F383" s="1">
        <v>33101</v>
      </c>
      <c r="G383" s="1" t="s">
        <v>186</v>
      </c>
      <c r="H383" s="1" t="s">
        <v>18</v>
      </c>
      <c r="J383" s="2" t="s">
        <v>44</v>
      </c>
      <c r="K383" s="1" t="s">
        <v>25</v>
      </c>
      <c r="L383" s="1" t="s">
        <v>1374</v>
      </c>
      <c r="M383" s="1" t="s">
        <v>1385</v>
      </c>
      <c r="N383" s="1" t="str">
        <f t="shared" si="5"/>
        <v>TALLES RYAN</v>
      </c>
    </row>
    <row r="384" spans="1:14" x14ac:dyDescent="0.3">
      <c r="A384" s="1">
        <v>705760</v>
      </c>
      <c r="B384" s="1" t="s">
        <v>1487</v>
      </c>
      <c r="C384" s="5" t="s">
        <v>15</v>
      </c>
      <c r="D384" s="2">
        <v>45993</v>
      </c>
      <c r="E384" s="2" t="s">
        <v>31</v>
      </c>
      <c r="F384" s="1">
        <v>25102</v>
      </c>
      <c r="G384" s="1" t="s">
        <v>1153</v>
      </c>
      <c r="H384" s="1" t="s">
        <v>18</v>
      </c>
      <c r="J384" s="2" t="s">
        <v>19</v>
      </c>
      <c r="K384" s="1" t="s">
        <v>1368</v>
      </c>
      <c r="L384" s="1" t="s">
        <v>20</v>
      </c>
      <c r="N384" s="1" t="str">
        <f t="shared" si="5"/>
        <v>ALEX DIAS</v>
      </c>
    </row>
    <row r="385" spans="1:14" x14ac:dyDescent="0.3">
      <c r="A385" s="1">
        <v>702915</v>
      </c>
      <c r="B385" s="1" t="s">
        <v>426</v>
      </c>
      <c r="C385" s="5" t="s">
        <v>15</v>
      </c>
      <c r="D385" s="2">
        <v>44656</v>
      </c>
      <c r="E385" s="2" t="s">
        <v>427</v>
      </c>
      <c r="F385" s="1">
        <v>39302</v>
      </c>
      <c r="G385" s="1" t="s">
        <v>102</v>
      </c>
      <c r="H385" s="1" t="s">
        <v>18</v>
      </c>
      <c r="J385" s="2" t="s">
        <v>57</v>
      </c>
      <c r="K385" s="1" t="s">
        <v>1371</v>
      </c>
      <c r="L385" s="1" t="s">
        <v>1376</v>
      </c>
      <c r="M385" s="1" t="s">
        <v>1377</v>
      </c>
      <c r="N385" s="1" t="str">
        <f t="shared" si="5"/>
        <v>WARLEY RIBEIRO</v>
      </c>
    </row>
    <row r="386" spans="1:14" x14ac:dyDescent="0.3">
      <c r="A386" s="1">
        <v>705194</v>
      </c>
      <c r="B386" s="1" t="s">
        <v>1162</v>
      </c>
      <c r="C386" s="5" t="s">
        <v>15</v>
      </c>
      <c r="D386" s="2">
        <v>45727</v>
      </c>
      <c r="E386" s="2" t="s">
        <v>166</v>
      </c>
      <c r="F386" s="1">
        <v>22102</v>
      </c>
      <c r="G386" s="1" t="s">
        <v>68</v>
      </c>
      <c r="H386" s="1" t="s">
        <v>18</v>
      </c>
      <c r="J386" s="2" t="s">
        <v>94</v>
      </c>
      <c r="K386" s="1" t="s">
        <v>1371</v>
      </c>
      <c r="L386" s="1" t="s">
        <v>1378</v>
      </c>
      <c r="M386" s="1" t="s">
        <v>95</v>
      </c>
      <c r="N386" s="1" t="str">
        <f t="shared" si="5"/>
        <v>LUAN ABADIA</v>
      </c>
    </row>
    <row r="387" spans="1:14" x14ac:dyDescent="0.3">
      <c r="A387" s="1">
        <v>705790</v>
      </c>
      <c r="B387" s="1" t="s">
        <v>1523</v>
      </c>
      <c r="C387" s="5" t="s">
        <v>15</v>
      </c>
      <c r="D387" s="2">
        <v>46029</v>
      </c>
      <c r="E387" s="2" t="s">
        <v>31</v>
      </c>
      <c r="F387" s="1">
        <v>25102</v>
      </c>
      <c r="G387" s="1" t="s">
        <v>1153</v>
      </c>
      <c r="H387" s="1" t="s">
        <v>18</v>
      </c>
      <c r="J387" s="2" t="s">
        <v>19</v>
      </c>
      <c r="K387" s="1" t="s">
        <v>1368</v>
      </c>
      <c r="L387" s="1" t="s">
        <v>20</v>
      </c>
      <c r="N387" s="1" t="str">
        <f t="shared" ref="N387:N450" si="6">IF(M387&lt;&gt;"", M387, IF(L387&lt;&gt;"", L387, K387))</f>
        <v>ALEX DIAS</v>
      </c>
    </row>
    <row r="388" spans="1:14" x14ac:dyDescent="0.3">
      <c r="A388" s="1">
        <v>703615</v>
      </c>
      <c r="B388" s="1" t="s">
        <v>429</v>
      </c>
      <c r="C388" s="5" t="s">
        <v>15</v>
      </c>
      <c r="D388" s="2">
        <v>44991</v>
      </c>
      <c r="E388" s="2" t="s">
        <v>31</v>
      </c>
      <c r="F388" s="1">
        <v>22102</v>
      </c>
      <c r="G388" s="1" t="s">
        <v>68</v>
      </c>
      <c r="H388" s="1" t="s">
        <v>18</v>
      </c>
      <c r="J388" s="2" t="s">
        <v>167</v>
      </c>
      <c r="K388" s="1" t="s">
        <v>1371</v>
      </c>
      <c r="L388" s="1" t="s">
        <v>1509</v>
      </c>
      <c r="M388" s="1" t="s">
        <v>1383</v>
      </c>
      <c r="N388" s="1" t="str">
        <f t="shared" si="6"/>
        <v>WANDRES/FABIANO</v>
      </c>
    </row>
    <row r="389" spans="1:14" x14ac:dyDescent="0.3">
      <c r="A389" s="1">
        <v>701407</v>
      </c>
      <c r="B389" s="1" t="s">
        <v>430</v>
      </c>
      <c r="C389" s="5" t="s">
        <v>15</v>
      </c>
      <c r="D389" s="2">
        <v>43773</v>
      </c>
      <c r="E389" s="2" t="s">
        <v>105</v>
      </c>
      <c r="F389" s="1">
        <v>22102</v>
      </c>
      <c r="G389" s="1" t="s">
        <v>68</v>
      </c>
      <c r="H389" s="1" t="s">
        <v>18</v>
      </c>
      <c r="J389" s="2" t="s">
        <v>142</v>
      </c>
      <c r="K389" s="1" t="s">
        <v>1371</v>
      </c>
      <c r="L389" s="1" t="s">
        <v>1509</v>
      </c>
      <c r="M389" s="1" t="s">
        <v>143</v>
      </c>
      <c r="N389" s="1" t="str">
        <f t="shared" si="6"/>
        <v>TALLES BALIZA</v>
      </c>
    </row>
    <row r="390" spans="1:14" x14ac:dyDescent="0.3">
      <c r="A390" s="1">
        <v>703541</v>
      </c>
      <c r="B390" s="1" t="s">
        <v>431</v>
      </c>
      <c r="C390" s="5" t="s">
        <v>15</v>
      </c>
      <c r="D390" s="2">
        <v>44907</v>
      </c>
      <c r="E390" s="2" t="s">
        <v>138</v>
      </c>
      <c r="F390" s="1">
        <v>22102</v>
      </c>
      <c r="G390" s="1" t="s">
        <v>68</v>
      </c>
      <c r="H390" s="1" t="s">
        <v>18</v>
      </c>
      <c r="J390" s="2" t="s">
        <v>94</v>
      </c>
      <c r="K390" s="1" t="s">
        <v>1371</v>
      </c>
      <c r="L390" s="1" t="s">
        <v>1378</v>
      </c>
      <c r="M390" s="1" t="s">
        <v>95</v>
      </c>
      <c r="N390" s="1" t="str">
        <f t="shared" si="6"/>
        <v>LUAN ABADIA</v>
      </c>
    </row>
    <row r="391" spans="1:14" x14ac:dyDescent="0.3">
      <c r="A391" s="1">
        <v>705058</v>
      </c>
      <c r="B391" s="1" t="s">
        <v>1163</v>
      </c>
      <c r="C391" s="5" t="s">
        <v>15</v>
      </c>
      <c r="D391" s="2">
        <v>45643</v>
      </c>
      <c r="E391" s="2" t="s">
        <v>93</v>
      </c>
      <c r="F391" s="1">
        <v>22102</v>
      </c>
      <c r="G391" s="1" t="s">
        <v>68</v>
      </c>
      <c r="H391" s="1" t="s">
        <v>18</v>
      </c>
      <c r="J391" s="2" t="s">
        <v>94</v>
      </c>
      <c r="K391" s="1" t="s">
        <v>1371</v>
      </c>
      <c r="L391" s="1" t="s">
        <v>1378</v>
      </c>
      <c r="M391" s="1" t="s">
        <v>95</v>
      </c>
      <c r="N391" s="1" t="str">
        <f t="shared" si="6"/>
        <v>LUAN ABADIA</v>
      </c>
    </row>
    <row r="392" spans="1:14" x14ac:dyDescent="0.3">
      <c r="A392" s="1">
        <v>703316</v>
      </c>
      <c r="B392" s="1" t="s">
        <v>432</v>
      </c>
      <c r="C392" s="5" t="s">
        <v>15</v>
      </c>
      <c r="D392" s="2">
        <v>44824</v>
      </c>
      <c r="E392" s="2" t="s">
        <v>138</v>
      </c>
      <c r="F392" s="1">
        <v>22102</v>
      </c>
      <c r="G392" s="1" t="s">
        <v>68</v>
      </c>
      <c r="H392" s="1" t="s">
        <v>18</v>
      </c>
      <c r="J392" s="2" t="s">
        <v>81</v>
      </c>
      <c r="K392" s="1" t="s">
        <v>1371</v>
      </c>
      <c r="L392" s="1" t="s">
        <v>1509</v>
      </c>
      <c r="M392" s="1" t="s">
        <v>1379</v>
      </c>
      <c r="N392" s="1" t="str">
        <f t="shared" si="6"/>
        <v xml:space="preserve">EDSON/MARCELO LIMA </v>
      </c>
    </row>
    <row r="393" spans="1:14" x14ac:dyDescent="0.3">
      <c r="A393" s="1">
        <v>705742</v>
      </c>
      <c r="B393" s="1" t="s">
        <v>1488</v>
      </c>
      <c r="C393" s="5" t="s">
        <v>15</v>
      </c>
      <c r="D393" s="2">
        <v>45993</v>
      </c>
      <c r="E393" s="2" t="s">
        <v>16</v>
      </c>
      <c r="F393" s="1">
        <v>22102</v>
      </c>
      <c r="G393" s="1" t="s">
        <v>68</v>
      </c>
      <c r="H393" s="1" t="s">
        <v>18</v>
      </c>
      <c r="J393" s="2" t="s">
        <v>94</v>
      </c>
      <c r="K393" s="1" t="s">
        <v>1371</v>
      </c>
      <c r="L393" s="1" t="s">
        <v>1378</v>
      </c>
      <c r="M393" s="1" t="s">
        <v>95</v>
      </c>
      <c r="N393" s="1" t="str">
        <f t="shared" si="6"/>
        <v>LUAN ABADIA</v>
      </c>
    </row>
    <row r="394" spans="1:14" x14ac:dyDescent="0.3">
      <c r="A394" s="1">
        <v>702544</v>
      </c>
      <c r="B394" s="1" t="s">
        <v>434</v>
      </c>
      <c r="C394" s="5" t="s">
        <v>15</v>
      </c>
      <c r="D394" s="2">
        <v>44452</v>
      </c>
      <c r="E394" s="2" t="s">
        <v>109</v>
      </c>
      <c r="F394" s="1">
        <v>32101</v>
      </c>
      <c r="G394" s="1" t="s">
        <v>23</v>
      </c>
      <c r="H394" s="1" t="s">
        <v>18</v>
      </c>
      <c r="J394" s="2" t="s">
        <v>24</v>
      </c>
      <c r="K394" s="1" t="s">
        <v>25</v>
      </c>
      <c r="L394" s="1" t="s">
        <v>1369</v>
      </c>
      <c r="M394" s="1" t="s">
        <v>1370</v>
      </c>
      <c r="N394" s="1" t="str">
        <f t="shared" si="6"/>
        <v>JUNIO COSTA</v>
      </c>
    </row>
    <row r="395" spans="1:14" x14ac:dyDescent="0.3">
      <c r="A395" s="1">
        <v>701017</v>
      </c>
      <c r="B395" s="1" t="s">
        <v>435</v>
      </c>
      <c r="C395" s="5" t="s">
        <v>15</v>
      </c>
      <c r="D395" s="2">
        <v>42500</v>
      </c>
      <c r="E395" s="2" t="s">
        <v>105</v>
      </c>
      <c r="F395" s="1">
        <v>22102</v>
      </c>
      <c r="G395" s="1" t="s">
        <v>68</v>
      </c>
      <c r="H395" s="1" t="s">
        <v>18</v>
      </c>
      <c r="J395" s="2" t="s">
        <v>81</v>
      </c>
      <c r="K395" s="1" t="s">
        <v>1371</v>
      </c>
      <c r="L395" s="1" t="s">
        <v>1509</v>
      </c>
      <c r="M395" s="1" t="s">
        <v>1379</v>
      </c>
      <c r="N395" s="1" t="str">
        <f t="shared" si="6"/>
        <v xml:space="preserve">EDSON/MARCELO LIMA </v>
      </c>
    </row>
    <row r="396" spans="1:14" x14ac:dyDescent="0.3">
      <c r="A396" s="1">
        <v>703946</v>
      </c>
      <c r="B396" s="1" t="s">
        <v>436</v>
      </c>
      <c r="C396" s="5" t="s">
        <v>15</v>
      </c>
      <c r="D396" s="2">
        <v>45089</v>
      </c>
      <c r="E396" s="2" t="s">
        <v>16</v>
      </c>
      <c r="F396" s="1">
        <v>37101</v>
      </c>
      <c r="G396" s="1" t="s">
        <v>214</v>
      </c>
      <c r="H396" s="1" t="s">
        <v>18</v>
      </c>
      <c r="J396" s="2" t="s">
        <v>239</v>
      </c>
      <c r="K396" s="1" t="s">
        <v>216</v>
      </c>
      <c r="L396" s="1" t="s">
        <v>216</v>
      </c>
      <c r="N396" s="1" t="str">
        <f t="shared" si="6"/>
        <v>CARSON NEVES</v>
      </c>
    </row>
    <row r="397" spans="1:14" x14ac:dyDescent="0.3">
      <c r="A397" s="1">
        <v>705622</v>
      </c>
      <c r="B397" s="1" t="s">
        <v>1355</v>
      </c>
      <c r="C397" s="5" t="s">
        <v>15</v>
      </c>
      <c r="D397" s="2">
        <v>45916</v>
      </c>
      <c r="E397" s="2" t="s">
        <v>1356</v>
      </c>
      <c r="F397" s="1">
        <v>39308</v>
      </c>
      <c r="G397" s="1" t="s">
        <v>256</v>
      </c>
      <c r="H397" s="1" t="s">
        <v>18</v>
      </c>
      <c r="J397" s="2" t="s">
        <v>257</v>
      </c>
      <c r="K397" s="1" t="s">
        <v>666</v>
      </c>
      <c r="L397" s="1" t="s">
        <v>258</v>
      </c>
      <c r="N397" s="1" t="str">
        <f t="shared" si="6"/>
        <v>MATHEUS ALMEIDA</v>
      </c>
    </row>
    <row r="398" spans="1:14" x14ac:dyDescent="0.3">
      <c r="A398" s="1">
        <v>704845</v>
      </c>
      <c r="B398" s="1" t="s">
        <v>437</v>
      </c>
      <c r="C398" s="5" t="s">
        <v>15</v>
      </c>
      <c r="D398" s="2">
        <v>45573</v>
      </c>
      <c r="E398" s="2" t="s">
        <v>16</v>
      </c>
      <c r="F398" s="1">
        <v>22102</v>
      </c>
      <c r="G398" s="1" t="s">
        <v>68</v>
      </c>
      <c r="H398" s="1" t="s">
        <v>18</v>
      </c>
      <c r="J398" s="2" t="s">
        <v>81</v>
      </c>
      <c r="K398" s="1" t="s">
        <v>1371</v>
      </c>
      <c r="L398" s="1" t="s">
        <v>1509</v>
      </c>
      <c r="M398" s="1" t="s">
        <v>1379</v>
      </c>
      <c r="N398" s="1" t="str">
        <f t="shared" si="6"/>
        <v xml:space="preserve">EDSON/MARCELO LIMA </v>
      </c>
    </row>
    <row r="399" spans="1:14" x14ac:dyDescent="0.3">
      <c r="A399" s="1">
        <v>1718</v>
      </c>
      <c r="B399" s="1" t="s">
        <v>438</v>
      </c>
      <c r="C399" s="5" t="s">
        <v>15</v>
      </c>
      <c r="D399" s="2">
        <v>40555</v>
      </c>
      <c r="E399" s="2" t="s">
        <v>166</v>
      </c>
      <c r="F399" s="1">
        <v>51219</v>
      </c>
      <c r="G399" s="1" t="s">
        <v>61</v>
      </c>
      <c r="H399" s="1" t="s">
        <v>18</v>
      </c>
      <c r="J399" s="2" t="s">
        <v>19</v>
      </c>
      <c r="K399" s="1" t="s">
        <v>1368</v>
      </c>
      <c r="L399" s="1" t="s">
        <v>20</v>
      </c>
      <c r="N399" s="1" t="str">
        <f t="shared" si="6"/>
        <v>ALEX DIAS</v>
      </c>
    </row>
    <row r="400" spans="1:14" x14ac:dyDescent="0.3">
      <c r="A400" s="1">
        <v>700877</v>
      </c>
      <c r="B400" s="1" t="s">
        <v>439</v>
      </c>
      <c r="C400" s="5" t="s">
        <v>15</v>
      </c>
      <c r="D400" s="2">
        <v>43529</v>
      </c>
      <c r="E400" s="2" t="s">
        <v>146</v>
      </c>
      <c r="F400" s="1">
        <v>39304</v>
      </c>
      <c r="G400" s="1" t="s">
        <v>56</v>
      </c>
      <c r="H400" s="1" t="s">
        <v>18</v>
      </c>
      <c r="J400" s="2" t="s">
        <v>57</v>
      </c>
      <c r="K400" s="1" t="s">
        <v>1371</v>
      </c>
      <c r="L400" s="1" t="s">
        <v>1376</v>
      </c>
      <c r="M400" s="1" t="s">
        <v>1377</v>
      </c>
      <c r="N400" s="1" t="str">
        <f t="shared" si="6"/>
        <v>WARLEY RIBEIRO</v>
      </c>
    </row>
    <row r="401" spans="1:14" x14ac:dyDescent="0.3">
      <c r="A401" s="1">
        <v>705581</v>
      </c>
      <c r="B401" s="1" t="s">
        <v>1320</v>
      </c>
      <c r="C401" s="5" t="s">
        <v>15</v>
      </c>
      <c r="D401" s="2">
        <v>45881</v>
      </c>
      <c r="E401" s="2" t="s">
        <v>270</v>
      </c>
      <c r="F401" s="1">
        <v>39302</v>
      </c>
      <c r="G401" s="1" t="s">
        <v>102</v>
      </c>
      <c r="H401" s="1" t="s">
        <v>18</v>
      </c>
      <c r="J401" s="2" t="s">
        <v>57</v>
      </c>
      <c r="K401" s="1" t="s">
        <v>1371</v>
      </c>
      <c r="L401" s="1" t="s">
        <v>1376</v>
      </c>
      <c r="M401" s="1" t="s">
        <v>1377</v>
      </c>
      <c r="N401" s="1" t="str">
        <f t="shared" si="6"/>
        <v>WARLEY RIBEIRO</v>
      </c>
    </row>
    <row r="402" spans="1:14" x14ac:dyDescent="0.3">
      <c r="A402" s="1">
        <v>704237</v>
      </c>
      <c r="B402" s="1" t="s">
        <v>440</v>
      </c>
      <c r="C402" s="5" t="s">
        <v>15</v>
      </c>
      <c r="D402" s="2">
        <v>45328</v>
      </c>
      <c r="E402" s="2" t="s">
        <v>80</v>
      </c>
      <c r="F402" s="1">
        <v>22102</v>
      </c>
      <c r="G402" s="1" t="s">
        <v>68</v>
      </c>
      <c r="H402" s="1" t="s">
        <v>18</v>
      </c>
      <c r="J402" s="2" t="s">
        <v>81</v>
      </c>
      <c r="K402" s="1" t="s">
        <v>1371</v>
      </c>
      <c r="L402" s="1" t="s">
        <v>1509</v>
      </c>
      <c r="M402" s="1" t="s">
        <v>1379</v>
      </c>
      <c r="N402" s="1" t="str">
        <f t="shared" si="6"/>
        <v xml:space="preserve">EDSON/MARCELO LIMA </v>
      </c>
    </row>
    <row r="403" spans="1:14" x14ac:dyDescent="0.3">
      <c r="A403" s="1">
        <v>705153</v>
      </c>
      <c r="B403" s="1" t="s">
        <v>1150</v>
      </c>
      <c r="C403" s="5" t="s">
        <v>15</v>
      </c>
      <c r="D403" s="2">
        <v>45705</v>
      </c>
      <c r="E403" s="2" t="s">
        <v>91</v>
      </c>
      <c r="F403" s="1">
        <v>34201</v>
      </c>
      <c r="G403" s="1" t="s">
        <v>84</v>
      </c>
      <c r="H403" s="1" t="s">
        <v>18</v>
      </c>
      <c r="J403" s="2" t="s">
        <v>85</v>
      </c>
      <c r="K403" s="1" t="s">
        <v>1371</v>
      </c>
      <c r="L403" s="1" t="s">
        <v>1371</v>
      </c>
      <c r="M403" s="1" t="s">
        <v>1380</v>
      </c>
      <c r="N403" s="1" t="str">
        <f t="shared" si="6"/>
        <v xml:space="preserve">LEONARDO SANTOS </v>
      </c>
    </row>
    <row r="404" spans="1:14" x14ac:dyDescent="0.3">
      <c r="A404" s="1">
        <v>705645</v>
      </c>
      <c r="B404" s="1" t="s">
        <v>1409</v>
      </c>
      <c r="C404" s="5" t="s">
        <v>15</v>
      </c>
      <c r="D404" s="2">
        <v>45937</v>
      </c>
      <c r="E404" s="2" t="s">
        <v>31</v>
      </c>
      <c r="F404" s="1">
        <v>25102</v>
      </c>
      <c r="G404" s="1" t="s">
        <v>1153</v>
      </c>
      <c r="H404" s="1" t="s">
        <v>18</v>
      </c>
      <c r="J404" s="2" t="s">
        <v>19</v>
      </c>
      <c r="K404" s="1" t="s">
        <v>1368</v>
      </c>
      <c r="L404" s="1" t="s">
        <v>20</v>
      </c>
      <c r="N404" s="1" t="str">
        <f t="shared" si="6"/>
        <v>ALEX DIAS</v>
      </c>
    </row>
    <row r="405" spans="1:14" x14ac:dyDescent="0.3">
      <c r="A405" s="1">
        <v>702658</v>
      </c>
      <c r="B405" s="1" t="s">
        <v>441</v>
      </c>
      <c r="C405" s="5" t="s">
        <v>15</v>
      </c>
      <c r="D405" s="2">
        <v>44509</v>
      </c>
      <c r="E405" s="2" t="s">
        <v>188</v>
      </c>
      <c r="F405" s="1">
        <v>22102</v>
      </c>
      <c r="G405" s="1" t="s">
        <v>68</v>
      </c>
      <c r="H405" s="1" t="s">
        <v>18</v>
      </c>
      <c r="J405" s="2" t="s">
        <v>81</v>
      </c>
      <c r="K405" s="1" t="s">
        <v>1371</v>
      </c>
      <c r="L405" s="1" t="s">
        <v>1509</v>
      </c>
      <c r="M405" s="1" t="s">
        <v>1379</v>
      </c>
      <c r="N405" s="1" t="str">
        <f t="shared" si="6"/>
        <v xml:space="preserve">EDSON/MARCELO LIMA </v>
      </c>
    </row>
    <row r="406" spans="1:14" x14ac:dyDescent="0.3">
      <c r="A406" s="1">
        <v>702838</v>
      </c>
      <c r="B406" s="1" t="s">
        <v>442</v>
      </c>
      <c r="C406" s="5" t="s">
        <v>15</v>
      </c>
      <c r="D406" s="2">
        <v>44628</v>
      </c>
      <c r="E406" s="2" t="s">
        <v>31</v>
      </c>
      <c r="F406" s="1">
        <v>22102</v>
      </c>
      <c r="G406" s="1" t="s">
        <v>68</v>
      </c>
      <c r="H406" s="1" t="s">
        <v>18</v>
      </c>
      <c r="J406" s="2" t="s">
        <v>167</v>
      </c>
      <c r="K406" s="1" t="s">
        <v>1371</v>
      </c>
      <c r="L406" s="1" t="s">
        <v>1509</v>
      </c>
      <c r="M406" s="1" t="s">
        <v>1383</v>
      </c>
      <c r="N406" s="1" t="str">
        <f t="shared" si="6"/>
        <v>WANDRES/FABIANO</v>
      </c>
    </row>
    <row r="407" spans="1:14" x14ac:dyDescent="0.3">
      <c r="A407" s="1">
        <v>702839</v>
      </c>
      <c r="B407" s="1" t="s">
        <v>443</v>
      </c>
      <c r="C407" s="5" t="s">
        <v>15</v>
      </c>
      <c r="D407" s="2">
        <v>44628</v>
      </c>
      <c r="E407" s="2" t="s">
        <v>31</v>
      </c>
      <c r="F407" s="1">
        <v>22102</v>
      </c>
      <c r="G407" s="1" t="s">
        <v>68</v>
      </c>
      <c r="H407" s="1" t="s">
        <v>18</v>
      </c>
      <c r="J407" s="2" t="s">
        <v>167</v>
      </c>
      <c r="K407" s="1" t="s">
        <v>1371</v>
      </c>
      <c r="L407" s="1" t="s">
        <v>1509</v>
      </c>
      <c r="M407" s="1" t="s">
        <v>1383</v>
      </c>
      <c r="N407" s="1" t="str">
        <f t="shared" si="6"/>
        <v>WANDRES/FABIANO</v>
      </c>
    </row>
    <row r="408" spans="1:14" x14ac:dyDescent="0.3">
      <c r="A408" s="1">
        <v>705104</v>
      </c>
      <c r="B408" s="1" t="s">
        <v>444</v>
      </c>
      <c r="C408" s="5" t="s">
        <v>15</v>
      </c>
      <c r="D408" s="2">
        <v>45678</v>
      </c>
      <c r="E408" s="2" t="s">
        <v>31</v>
      </c>
      <c r="F408" s="1">
        <v>52104</v>
      </c>
      <c r="G408" s="1" t="s">
        <v>17</v>
      </c>
      <c r="H408" s="1" t="s">
        <v>18</v>
      </c>
      <c r="J408" s="2" t="s">
        <v>19</v>
      </c>
      <c r="K408" s="1" t="s">
        <v>1368</v>
      </c>
      <c r="L408" s="1" t="s">
        <v>20</v>
      </c>
      <c r="N408" s="1" t="str">
        <f t="shared" si="6"/>
        <v>ALEX DIAS</v>
      </c>
    </row>
    <row r="409" spans="1:14" x14ac:dyDescent="0.3">
      <c r="A409" s="1">
        <v>705130</v>
      </c>
      <c r="B409" s="1" t="s">
        <v>1144</v>
      </c>
      <c r="C409" s="5" t="s">
        <v>15</v>
      </c>
      <c r="D409" s="2">
        <v>45698</v>
      </c>
      <c r="E409" s="2" t="s">
        <v>31</v>
      </c>
      <c r="F409" s="1">
        <v>22102</v>
      </c>
      <c r="G409" s="1" t="s">
        <v>68</v>
      </c>
      <c r="H409" s="1" t="s">
        <v>18</v>
      </c>
      <c r="J409" s="2" t="s">
        <v>94</v>
      </c>
      <c r="K409" s="1" t="s">
        <v>1371</v>
      </c>
      <c r="L409" s="1" t="s">
        <v>1378</v>
      </c>
      <c r="M409" s="1" t="s">
        <v>95</v>
      </c>
      <c r="N409" s="1" t="str">
        <f t="shared" si="6"/>
        <v>LUAN ABADIA</v>
      </c>
    </row>
    <row r="410" spans="1:14" x14ac:dyDescent="0.3">
      <c r="A410" s="1">
        <v>702903</v>
      </c>
      <c r="B410" s="1" t="s">
        <v>445</v>
      </c>
      <c r="C410" s="5" t="s">
        <v>15</v>
      </c>
      <c r="D410" s="2">
        <v>44656</v>
      </c>
      <c r="E410" s="2" t="s">
        <v>199</v>
      </c>
      <c r="F410" s="1">
        <v>22102</v>
      </c>
      <c r="G410" s="1" t="s">
        <v>68</v>
      </c>
      <c r="H410" s="1" t="s">
        <v>18</v>
      </c>
      <c r="J410" s="2" t="s">
        <v>81</v>
      </c>
      <c r="K410" s="1" t="s">
        <v>1371</v>
      </c>
      <c r="L410" s="1" t="s">
        <v>1509</v>
      </c>
      <c r="M410" s="1" t="s">
        <v>1379</v>
      </c>
      <c r="N410" s="1" t="str">
        <f t="shared" si="6"/>
        <v xml:space="preserve">EDSON/MARCELO LIMA </v>
      </c>
    </row>
    <row r="411" spans="1:14" x14ac:dyDescent="0.3">
      <c r="A411" s="1">
        <v>701982</v>
      </c>
      <c r="B411" s="1" t="s">
        <v>1504</v>
      </c>
      <c r="C411" s="5" t="s">
        <v>15</v>
      </c>
      <c r="D411" s="2">
        <v>44172</v>
      </c>
      <c r="E411" s="2" t="s">
        <v>446</v>
      </c>
      <c r="F411" s="1">
        <v>15101</v>
      </c>
      <c r="G411" s="1" t="s">
        <v>447</v>
      </c>
      <c r="H411" s="1" t="s">
        <v>18</v>
      </c>
      <c r="J411" s="2" t="s">
        <v>448</v>
      </c>
      <c r="K411" s="1" t="s">
        <v>449</v>
      </c>
      <c r="L411" s="1" t="s">
        <v>449</v>
      </c>
      <c r="N411" s="1" t="str">
        <f t="shared" si="6"/>
        <v xml:space="preserve">RAFAEL VIRGENS </v>
      </c>
    </row>
    <row r="412" spans="1:14" x14ac:dyDescent="0.3">
      <c r="A412" s="1">
        <v>704953</v>
      </c>
      <c r="B412" s="1" t="s">
        <v>450</v>
      </c>
      <c r="C412" s="5" t="s">
        <v>15</v>
      </c>
      <c r="D412" s="2">
        <v>45607</v>
      </c>
      <c r="E412" s="2" t="s">
        <v>138</v>
      </c>
      <c r="F412" s="1">
        <v>22102</v>
      </c>
      <c r="G412" s="1" t="s">
        <v>68</v>
      </c>
      <c r="H412" s="1" t="s">
        <v>18</v>
      </c>
      <c r="J412" s="2" t="s">
        <v>81</v>
      </c>
      <c r="K412" s="1" t="s">
        <v>1371</v>
      </c>
      <c r="L412" s="1" t="s">
        <v>1509</v>
      </c>
      <c r="M412" s="1" t="s">
        <v>1379</v>
      </c>
      <c r="N412" s="1" t="str">
        <f t="shared" si="6"/>
        <v xml:space="preserve">EDSON/MARCELO LIMA </v>
      </c>
    </row>
    <row r="413" spans="1:14" x14ac:dyDescent="0.3">
      <c r="A413" s="1">
        <v>702980</v>
      </c>
      <c r="B413" s="1" t="s">
        <v>451</v>
      </c>
      <c r="C413" s="5" t="s">
        <v>15</v>
      </c>
      <c r="D413" s="2">
        <v>44684</v>
      </c>
      <c r="E413" s="2" t="s">
        <v>109</v>
      </c>
      <c r="F413" s="1">
        <v>32101</v>
      </c>
      <c r="G413" s="1" t="s">
        <v>23</v>
      </c>
      <c r="H413" s="1" t="s">
        <v>18</v>
      </c>
      <c r="J413" s="2" t="s">
        <v>24</v>
      </c>
      <c r="K413" s="1" t="s">
        <v>25</v>
      </c>
      <c r="L413" s="1" t="s">
        <v>1369</v>
      </c>
      <c r="M413" s="1" t="s">
        <v>1370</v>
      </c>
      <c r="N413" s="1" t="str">
        <f t="shared" si="6"/>
        <v>JUNIO COSTA</v>
      </c>
    </row>
    <row r="414" spans="1:14" x14ac:dyDescent="0.3">
      <c r="A414" s="1">
        <v>704187</v>
      </c>
      <c r="B414" s="1" t="s">
        <v>452</v>
      </c>
      <c r="C414" s="5" t="s">
        <v>15</v>
      </c>
      <c r="D414" s="2">
        <v>45300</v>
      </c>
      <c r="E414" s="2" t="s">
        <v>67</v>
      </c>
      <c r="F414" s="1">
        <v>22102</v>
      </c>
      <c r="G414" s="1" t="s">
        <v>68</v>
      </c>
      <c r="H414" s="1" t="s">
        <v>18</v>
      </c>
      <c r="J414" s="2" t="s">
        <v>94</v>
      </c>
      <c r="K414" s="1" t="s">
        <v>1371</v>
      </c>
      <c r="L414" s="1" t="s">
        <v>1378</v>
      </c>
      <c r="M414" s="1" t="s">
        <v>95</v>
      </c>
      <c r="N414" s="1" t="str">
        <f t="shared" si="6"/>
        <v>LUAN ABADIA</v>
      </c>
    </row>
    <row r="415" spans="1:14" x14ac:dyDescent="0.3">
      <c r="A415" s="1">
        <v>705016</v>
      </c>
      <c r="B415" s="1" t="s">
        <v>453</v>
      </c>
      <c r="C415" s="5" t="s">
        <v>15</v>
      </c>
      <c r="D415" s="2">
        <v>45635</v>
      </c>
      <c r="E415" s="2" t="s">
        <v>121</v>
      </c>
      <c r="F415" s="1">
        <v>22101</v>
      </c>
      <c r="G415" s="1" t="s">
        <v>122</v>
      </c>
      <c r="H415" s="1" t="s">
        <v>18</v>
      </c>
      <c r="J415" s="2" t="s">
        <v>123</v>
      </c>
      <c r="K415" s="1" t="s">
        <v>124</v>
      </c>
      <c r="L415" s="1" t="s">
        <v>124</v>
      </c>
      <c r="N415" s="1" t="str">
        <f t="shared" si="6"/>
        <v>MATHEUS FERNANDES</v>
      </c>
    </row>
    <row r="416" spans="1:14" x14ac:dyDescent="0.3">
      <c r="A416" s="1">
        <v>704712</v>
      </c>
      <c r="B416" s="1" t="s">
        <v>977</v>
      </c>
      <c r="C416" s="5" t="s">
        <v>15</v>
      </c>
      <c r="D416" s="2">
        <v>45518</v>
      </c>
      <c r="E416" s="2" t="s">
        <v>433</v>
      </c>
      <c r="F416" s="1">
        <v>22102</v>
      </c>
      <c r="G416" s="1" t="s">
        <v>68</v>
      </c>
      <c r="H416" s="1" t="s">
        <v>18</v>
      </c>
      <c r="J416" s="2" t="s">
        <v>81</v>
      </c>
      <c r="K416" s="1" t="s">
        <v>1371</v>
      </c>
      <c r="L416" s="1" t="s">
        <v>1509</v>
      </c>
      <c r="M416" s="1" t="s">
        <v>1379</v>
      </c>
      <c r="N416" s="1" t="str">
        <f t="shared" si="6"/>
        <v xml:space="preserve">EDSON/MARCELO LIMA </v>
      </c>
    </row>
    <row r="417" spans="1:14" x14ac:dyDescent="0.3">
      <c r="A417" s="1">
        <v>101622</v>
      </c>
      <c r="B417" s="1" t="s">
        <v>455</v>
      </c>
      <c r="C417" s="5" t="s">
        <v>15</v>
      </c>
      <c r="D417" s="2">
        <v>43010</v>
      </c>
      <c r="E417" s="2" t="s">
        <v>146</v>
      </c>
      <c r="F417" s="1">
        <v>52104</v>
      </c>
      <c r="G417" s="1" t="s">
        <v>17</v>
      </c>
      <c r="H417" s="1" t="s">
        <v>18</v>
      </c>
      <c r="J417" s="2" t="s">
        <v>37</v>
      </c>
      <c r="K417" s="1" t="s">
        <v>1368</v>
      </c>
      <c r="L417" s="1" t="s">
        <v>20</v>
      </c>
      <c r="N417" s="1" t="str">
        <f t="shared" si="6"/>
        <v>ALEX DIAS</v>
      </c>
    </row>
    <row r="418" spans="1:14" x14ac:dyDescent="0.3">
      <c r="A418" s="1">
        <v>705312</v>
      </c>
      <c r="B418" s="1" t="s">
        <v>1226</v>
      </c>
      <c r="C418" s="5" t="s">
        <v>15</v>
      </c>
      <c r="D418" s="2">
        <v>45784</v>
      </c>
      <c r="E418" s="2" t="s">
        <v>31</v>
      </c>
      <c r="F418" s="1">
        <v>25102</v>
      </c>
      <c r="G418" s="1" t="s">
        <v>1153</v>
      </c>
      <c r="H418" s="1" t="s">
        <v>18</v>
      </c>
      <c r="J418" s="2" t="s">
        <v>19</v>
      </c>
      <c r="K418" s="1" t="s">
        <v>1368</v>
      </c>
      <c r="L418" s="1" t="s">
        <v>20</v>
      </c>
      <c r="N418" s="1" t="str">
        <f t="shared" si="6"/>
        <v>ALEX DIAS</v>
      </c>
    </row>
    <row r="419" spans="1:14" x14ac:dyDescent="0.3">
      <c r="A419" s="1">
        <v>702936</v>
      </c>
      <c r="B419" s="1" t="s">
        <v>456</v>
      </c>
      <c r="C419" s="5" t="s">
        <v>15</v>
      </c>
      <c r="D419" s="2">
        <v>44663</v>
      </c>
      <c r="E419" s="2" t="s">
        <v>149</v>
      </c>
      <c r="F419" s="1">
        <v>39302</v>
      </c>
      <c r="G419" s="1" t="s">
        <v>102</v>
      </c>
      <c r="H419" s="1" t="s">
        <v>18</v>
      </c>
      <c r="J419" s="2" t="s">
        <v>57</v>
      </c>
      <c r="K419" s="1" t="s">
        <v>1371</v>
      </c>
      <c r="L419" s="1" t="s">
        <v>1376</v>
      </c>
      <c r="M419" s="1" t="s">
        <v>1377</v>
      </c>
      <c r="N419" s="1" t="str">
        <f t="shared" si="6"/>
        <v>WARLEY RIBEIRO</v>
      </c>
    </row>
    <row r="420" spans="1:14" x14ac:dyDescent="0.3">
      <c r="A420" s="1">
        <v>705608</v>
      </c>
      <c r="B420" s="1" t="s">
        <v>982</v>
      </c>
      <c r="C420" s="5" t="s">
        <v>15</v>
      </c>
      <c r="D420" s="2">
        <v>45902</v>
      </c>
      <c r="E420" s="2" t="s">
        <v>31</v>
      </c>
      <c r="F420" s="1">
        <v>25102</v>
      </c>
      <c r="G420" s="1" t="s">
        <v>1153</v>
      </c>
      <c r="H420" s="1" t="s">
        <v>18</v>
      </c>
      <c r="J420" s="2" t="s">
        <v>19</v>
      </c>
      <c r="K420" s="1" t="s">
        <v>1368</v>
      </c>
      <c r="L420" s="1" t="s">
        <v>20</v>
      </c>
      <c r="N420" s="1" t="str">
        <f t="shared" si="6"/>
        <v>ALEX DIAS</v>
      </c>
    </row>
    <row r="421" spans="1:14" x14ac:dyDescent="0.3">
      <c r="A421" s="1">
        <v>705625</v>
      </c>
      <c r="B421" s="1" t="s">
        <v>1410</v>
      </c>
      <c r="C421" s="5" t="s">
        <v>15</v>
      </c>
      <c r="D421" s="2">
        <v>45937</v>
      </c>
      <c r="E421" s="2" t="s">
        <v>175</v>
      </c>
      <c r="F421" s="1">
        <v>31102</v>
      </c>
      <c r="G421" s="1" t="s">
        <v>135</v>
      </c>
      <c r="H421" s="1" t="s">
        <v>18</v>
      </c>
      <c r="J421" s="2" t="s">
        <v>136</v>
      </c>
      <c r="K421" s="1" t="s">
        <v>50</v>
      </c>
      <c r="L421" s="1" t="s">
        <v>50</v>
      </c>
      <c r="M421" s="1" t="s">
        <v>1382</v>
      </c>
      <c r="N421" s="1" t="str">
        <f t="shared" si="6"/>
        <v>ADENILTON RODRIGUES</v>
      </c>
    </row>
    <row r="422" spans="1:14" x14ac:dyDescent="0.3">
      <c r="A422" s="1">
        <v>705379</v>
      </c>
      <c r="B422" s="1" t="s">
        <v>1227</v>
      </c>
      <c r="C422" s="5" t="s">
        <v>15</v>
      </c>
      <c r="D422" s="2">
        <v>45784</v>
      </c>
      <c r="E422" s="2" t="s">
        <v>22</v>
      </c>
      <c r="F422" s="1">
        <v>34101</v>
      </c>
      <c r="G422" s="1" t="s">
        <v>43</v>
      </c>
      <c r="H422" s="1" t="s">
        <v>18</v>
      </c>
      <c r="J422" s="2" t="s">
        <v>237</v>
      </c>
      <c r="K422" s="1" t="s">
        <v>25</v>
      </c>
      <c r="L422" s="1" t="s">
        <v>1374</v>
      </c>
      <c r="M422" s="1" t="s">
        <v>1384</v>
      </c>
      <c r="N422" s="1" t="str">
        <f t="shared" si="6"/>
        <v xml:space="preserve">MARCOS VINICIUS </v>
      </c>
    </row>
    <row r="423" spans="1:14" x14ac:dyDescent="0.3">
      <c r="A423" s="1">
        <v>702020</v>
      </c>
      <c r="B423" s="1" t="s">
        <v>458</v>
      </c>
      <c r="C423" s="5" t="s">
        <v>15</v>
      </c>
      <c r="D423" s="2">
        <v>44242</v>
      </c>
      <c r="E423" s="2" t="s">
        <v>459</v>
      </c>
      <c r="F423" s="1">
        <v>34101</v>
      </c>
      <c r="G423" s="1" t="s">
        <v>43</v>
      </c>
      <c r="H423" s="1" t="s">
        <v>18</v>
      </c>
      <c r="J423" s="2" t="s">
        <v>237</v>
      </c>
      <c r="K423" s="1" t="s">
        <v>25</v>
      </c>
      <c r="L423" s="1" t="s">
        <v>1374</v>
      </c>
      <c r="M423" s="1" t="s">
        <v>1384</v>
      </c>
      <c r="N423" s="1" t="str">
        <f t="shared" si="6"/>
        <v xml:space="preserve">MARCOS VINICIUS </v>
      </c>
    </row>
    <row r="424" spans="1:14" x14ac:dyDescent="0.3">
      <c r="A424" s="1">
        <v>703719</v>
      </c>
      <c r="B424" s="1" t="s">
        <v>460</v>
      </c>
      <c r="C424" s="5" t="s">
        <v>15</v>
      </c>
      <c r="D424" s="2">
        <v>45026</v>
      </c>
      <c r="E424" s="2" t="s">
        <v>188</v>
      </c>
      <c r="F424" s="1">
        <v>22102</v>
      </c>
      <c r="G424" s="1" t="s">
        <v>68</v>
      </c>
      <c r="H424" s="1" t="s">
        <v>18</v>
      </c>
      <c r="J424" s="2" t="s">
        <v>94</v>
      </c>
      <c r="K424" s="1" t="s">
        <v>1371</v>
      </c>
      <c r="L424" s="1" t="s">
        <v>1378</v>
      </c>
      <c r="M424" s="1" t="s">
        <v>95</v>
      </c>
      <c r="N424" s="1" t="str">
        <f t="shared" si="6"/>
        <v>LUAN ABADIA</v>
      </c>
    </row>
    <row r="425" spans="1:14" x14ac:dyDescent="0.3">
      <c r="A425" s="1">
        <v>705704</v>
      </c>
      <c r="B425" s="1" t="s">
        <v>1452</v>
      </c>
      <c r="C425" s="5" t="s">
        <v>15</v>
      </c>
      <c r="D425" s="2">
        <v>45971</v>
      </c>
      <c r="E425" s="2" t="s">
        <v>31</v>
      </c>
      <c r="F425" s="1">
        <v>25102</v>
      </c>
      <c r="G425" s="1" t="s">
        <v>1153</v>
      </c>
      <c r="H425" s="1" t="s">
        <v>18</v>
      </c>
      <c r="J425" s="2" t="s">
        <v>19</v>
      </c>
      <c r="K425" s="1" t="s">
        <v>1368</v>
      </c>
      <c r="L425" s="1" t="s">
        <v>20</v>
      </c>
      <c r="N425" s="1" t="str">
        <f t="shared" si="6"/>
        <v>ALEX DIAS</v>
      </c>
    </row>
    <row r="426" spans="1:14" x14ac:dyDescent="0.3">
      <c r="A426" s="1">
        <v>700440</v>
      </c>
      <c r="B426" s="1" t="s">
        <v>991</v>
      </c>
      <c r="C426" s="5" t="s">
        <v>15</v>
      </c>
      <c r="D426" s="2">
        <v>43326</v>
      </c>
      <c r="E426" s="2" t="s">
        <v>326</v>
      </c>
      <c r="F426" s="1">
        <v>32101</v>
      </c>
      <c r="G426" s="1" t="s">
        <v>23</v>
      </c>
      <c r="H426" s="1" t="s">
        <v>18</v>
      </c>
      <c r="J426" s="2" t="s">
        <v>24</v>
      </c>
      <c r="K426" s="1" t="s">
        <v>25</v>
      </c>
      <c r="L426" s="1" t="s">
        <v>1369</v>
      </c>
      <c r="M426" s="1" t="s">
        <v>1370</v>
      </c>
      <c r="N426" s="1" t="str">
        <f t="shared" si="6"/>
        <v>JUNIO COSTA</v>
      </c>
    </row>
    <row r="427" spans="1:14" x14ac:dyDescent="0.3">
      <c r="A427" s="1">
        <v>702394</v>
      </c>
      <c r="B427" s="1" t="s">
        <v>461</v>
      </c>
      <c r="C427" s="5" t="s">
        <v>15</v>
      </c>
      <c r="D427" s="2">
        <v>44383</v>
      </c>
      <c r="E427" s="2" t="s">
        <v>230</v>
      </c>
      <c r="F427" s="1">
        <v>38101</v>
      </c>
      <c r="G427" s="1" t="s">
        <v>35</v>
      </c>
      <c r="H427" s="1" t="s">
        <v>18</v>
      </c>
      <c r="J427" s="2" t="s">
        <v>36</v>
      </c>
      <c r="K427" s="1" t="s">
        <v>1372</v>
      </c>
      <c r="L427" s="1" t="s">
        <v>1372</v>
      </c>
      <c r="M427" s="1" t="s">
        <v>1373</v>
      </c>
      <c r="N427" s="1" t="str">
        <f t="shared" si="6"/>
        <v>DENIS ACASSIO</v>
      </c>
    </row>
    <row r="428" spans="1:14" x14ac:dyDescent="0.3">
      <c r="A428" s="1">
        <v>100155</v>
      </c>
      <c r="B428" s="1" t="s">
        <v>462</v>
      </c>
      <c r="C428" s="5" t="s">
        <v>15</v>
      </c>
      <c r="D428" s="2">
        <v>41367</v>
      </c>
      <c r="E428" s="2" t="s">
        <v>31</v>
      </c>
      <c r="F428" s="1">
        <v>38101</v>
      </c>
      <c r="G428" s="1" t="s">
        <v>35</v>
      </c>
      <c r="H428" s="1" t="s">
        <v>18</v>
      </c>
      <c r="J428" s="2" t="s">
        <v>36</v>
      </c>
      <c r="K428" s="1" t="s">
        <v>1372</v>
      </c>
      <c r="L428" s="1" t="s">
        <v>1372</v>
      </c>
      <c r="M428" s="1" t="s">
        <v>1373</v>
      </c>
      <c r="N428" s="1" t="str">
        <f t="shared" si="6"/>
        <v>DENIS ACASSIO</v>
      </c>
    </row>
    <row r="429" spans="1:14" x14ac:dyDescent="0.3">
      <c r="A429" s="1">
        <v>705632</v>
      </c>
      <c r="B429" s="1" t="s">
        <v>1411</v>
      </c>
      <c r="C429" s="5" t="s">
        <v>15</v>
      </c>
      <c r="D429" s="2">
        <v>45937</v>
      </c>
      <c r="E429" s="2" t="s">
        <v>31</v>
      </c>
      <c r="F429" s="1">
        <v>25201</v>
      </c>
      <c r="G429" s="1" t="s">
        <v>89</v>
      </c>
      <c r="H429" s="1" t="s">
        <v>18</v>
      </c>
      <c r="J429" s="2" t="s">
        <v>19</v>
      </c>
      <c r="K429" s="1" t="s">
        <v>1368</v>
      </c>
      <c r="L429" s="1" t="s">
        <v>20</v>
      </c>
      <c r="N429" s="1" t="str">
        <f t="shared" si="6"/>
        <v>ALEX DIAS</v>
      </c>
    </row>
    <row r="430" spans="1:14" x14ac:dyDescent="0.3">
      <c r="A430" s="1">
        <v>700862</v>
      </c>
      <c r="B430" s="1" t="s">
        <v>463</v>
      </c>
      <c r="C430" s="5" t="s">
        <v>15</v>
      </c>
      <c r="D430" s="2">
        <v>43507</v>
      </c>
      <c r="E430" s="2" t="s">
        <v>230</v>
      </c>
      <c r="F430" s="1">
        <v>38101</v>
      </c>
      <c r="G430" s="1" t="s">
        <v>35</v>
      </c>
      <c r="H430" s="1" t="s">
        <v>18</v>
      </c>
      <c r="J430" s="2" t="s">
        <v>36</v>
      </c>
      <c r="K430" s="1" t="s">
        <v>1372</v>
      </c>
      <c r="L430" s="1" t="s">
        <v>1372</v>
      </c>
      <c r="M430" s="1" t="s">
        <v>1373</v>
      </c>
      <c r="N430" s="1" t="str">
        <f t="shared" si="6"/>
        <v>DENIS ACASSIO</v>
      </c>
    </row>
    <row r="431" spans="1:14" x14ac:dyDescent="0.3">
      <c r="A431" s="1">
        <v>704883</v>
      </c>
      <c r="B431" s="1" t="s">
        <v>464</v>
      </c>
      <c r="C431" s="5" t="s">
        <v>15</v>
      </c>
      <c r="D431" s="2">
        <v>45586</v>
      </c>
      <c r="E431" s="2" t="s">
        <v>77</v>
      </c>
      <c r="F431" s="1">
        <v>38107</v>
      </c>
      <c r="G431" s="1" t="s">
        <v>1503</v>
      </c>
      <c r="H431" s="1" t="s">
        <v>18</v>
      </c>
      <c r="J431" s="2" t="s">
        <v>78</v>
      </c>
      <c r="K431" s="1" t="s">
        <v>1372</v>
      </c>
      <c r="L431" s="1" t="s">
        <v>1372</v>
      </c>
      <c r="N431" s="1" t="str">
        <f t="shared" si="6"/>
        <v xml:space="preserve">LEIDJANE MARTINS </v>
      </c>
    </row>
    <row r="432" spans="1:14" x14ac:dyDescent="0.3">
      <c r="A432" s="1">
        <v>704880</v>
      </c>
      <c r="B432" s="1" t="s">
        <v>465</v>
      </c>
      <c r="C432" s="5" t="s">
        <v>15</v>
      </c>
      <c r="D432" s="2">
        <v>45586</v>
      </c>
      <c r="E432" s="2" t="s">
        <v>77</v>
      </c>
      <c r="F432" s="1">
        <v>38107</v>
      </c>
      <c r="G432" s="1" t="s">
        <v>1503</v>
      </c>
      <c r="H432" s="1" t="s">
        <v>18</v>
      </c>
      <c r="J432" s="2" t="s">
        <v>78</v>
      </c>
      <c r="K432" s="1" t="s">
        <v>1372</v>
      </c>
      <c r="L432" s="1" t="s">
        <v>1372</v>
      </c>
      <c r="N432" s="1" t="str">
        <f t="shared" si="6"/>
        <v xml:space="preserve">LEIDJANE MARTINS </v>
      </c>
    </row>
    <row r="433" spans="1:14" x14ac:dyDescent="0.3">
      <c r="A433" s="1">
        <v>704933</v>
      </c>
      <c r="B433" s="1" t="s">
        <v>466</v>
      </c>
      <c r="C433" s="5" t="s">
        <v>15</v>
      </c>
      <c r="D433" s="2">
        <v>45607</v>
      </c>
      <c r="E433" s="2" t="s">
        <v>31</v>
      </c>
      <c r="F433" s="1">
        <v>52202</v>
      </c>
      <c r="G433" s="1" t="s">
        <v>32</v>
      </c>
      <c r="H433" s="1" t="s">
        <v>18</v>
      </c>
      <c r="J433" s="2" t="s">
        <v>33</v>
      </c>
      <c r="K433" s="1" t="s">
        <v>1368</v>
      </c>
      <c r="L433" s="1" t="s">
        <v>20</v>
      </c>
      <c r="N433" s="1" t="str">
        <f t="shared" si="6"/>
        <v>ALEX DIAS</v>
      </c>
    </row>
    <row r="434" spans="1:14" x14ac:dyDescent="0.3">
      <c r="A434" s="1">
        <v>702406</v>
      </c>
      <c r="B434" s="1" t="s">
        <v>467</v>
      </c>
      <c r="C434" s="5" t="s">
        <v>15</v>
      </c>
      <c r="D434" s="2">
        <v>44383</v>
      </c>
      <c r="E434" s="2" t="s">
        <v>127</v>
      </c>
      <c r="F434" s="1">
        <v>22102</v>
      </c>
      <c r="G434" s="1" t="s">
        <v>68</v>
      </c>
      <c r="H434" s="1" t="s">
        <v>18</v>
      </c>
      <c r="J434" s="2" t="s">
        <v>81</v>
      </c>
      <c r="K434" s="1" t="s">
        <v>1371</v>
      </c>
      <c r="L434" s="1" t="s">
        <v>1509</v>
      </c>
      <c r="M434" s="1" t="s">
        <v>1379</v>
      </c>
      <c r="N434" s="1" t="str">
        <f t="shared" si="6"/>
        <v xml:space="preserve">EDSON/MARCELO LIMA </v>
      </c>
    </row>
    <row r="435" spans="1:14" x14ac:dyDescent="0.3">
      <c r="A435" s="1">
        <v>701126</v>
      </c>
      <c r="B435" s="1" t="s">
        <v>468</v>
      </c>
      <c r="C435" s="5" t="s">
        <v>15</v>
      </c>
      <c r="D435" s="2">
        <v>42380</v>
      </c>
      <c r="E435" s="2" t="s">
        <v>1299</v>
      </c>
      <c r="F435" s="1">
        <v>33101</v>
      </c>
      <c r="G435" s="1" t="s">
        <v>186</v>
      </c>
      <c r="H435" s="1" t="s">
        <v>18</v>
      </c>
      <c r="J435" s="2" t="s">
        <v>44</v>
      </c>
      <c r="K435" s="1" t="s">
        <v>25</v>
      </c>
      <c r="L435" s="1" t="s">
        <v>1374</v>
      </c>
      <c r="M435" s="1" t="s">
        <v>1385</v>
      </c>
      <c r="N435" s="1" t="str">
        <f t="shared" si="6"/>
        <v>TALLES RYAN</v>
      </c>
    </row>
    <row r="436" spans="1:14" x14ac:dyDescent="0.3">
      <c r="A436" s="1">
        <v>704893</v>
      </c>
      <c r="B436" s="1" t="s">
        <v>469</v>
      </c>
      <c r="C436" s="5" t="s">
        <v>15</v>
      </c>
      <c r="D436" s="2">
        <v>45601</v>
      </c>
      <c r="E436" s="2" t="s">
        <v>31</v>
      </c>
      <c r="F436" s="1">
        <v>52202</v>
      </c>
      <c r="G436" s="1" t="s">
        <v>32</v>
      </c>
      <c r="H436" s="1" t="s">
        <v>18</v>
      </c>
      <c r="J436" s="2" t="s">
        <v>33</v>
      </c>
      <c r="K436" s="1" t="s">
        <v>1368</v>
      </c>
      <c r="L436" s="1" t="s">
        <v>20</v>
      </c>
      <c r="N436" s="1" t="str">
        <f t="shared" si="6"/>
        <v>ALEX DIAS</v>
      </c>
    </row>
    <row r="437" spans="1:14" x14ac:dyDescent="0.3">
      <c r="A437" s="1">
        <v>704440</v>
      </c>
      <c r="B437" s="1" t="s">
        <v>471</v>
      </c>
      <c r="C437" s="5" t="s">
        <v>15</v>
      </c>
      <c r="D437" s="2">
        <v>45419</v>
      </c>
      <c r="E437" s="2" t="s">
        <v>433</v>
      </c>
      <c r="F437" s="1">
        <v>38107</v>
      </c>
      <c r="G437" s="1" t="s">
        <v>1503</v>
      </c>
      <c r="H437" s="1" t="s">
        <v>18</v>
      </c>
      <c r="J437" s="2" t="s">
        <v>78</v>
      </c>
      <c r="K437" s="1" t="s">
        <v>1372</v>
      </c>
      <c r="L437" s="1" t="s">
        <v>1372</v>
      </c>
      <c r="N437" s="1" t="str">
        <f t="shared" si="6"/>
        <v xml:space="preserve">LEIDJANE MARTINS </v>
      </c>
    </row>
    <row r="438" spans="1:14" x14ac:dyDescent="0.3">
      <c r="A438" s="1">
        <v>705116</v>
      </c>
      <c r="B438" s="1" t="s">
        <v>472</v>
      </c>
      <c r="C438" s="5" t="s">
        <v>15</v>
      </c>
      <c r="D438" s="2">
        <v>45678</v>
      </c>
      <c r="E438" s="2" t="s">
        <v>31</v>
      </c>
      <c r="F438" s="1">
        <v>52104</v>
      </c>
      <c r="G438" s="1" t="s">
        <v>17</v>
      </c>
      <c r="H438" s="1" t="s">
        <v>18</v>
      </c>
      <c r="J438" s="2" t="s">
        <v>19</v>
      </c>
      <c r="K438" s="1" t="s">
        <v>1368</v>
      </c>
      <c r="L438" s="1" t="s">
        <v>20</v>
      </c>
      <c r="N438" s="1" t="str">
        <f t="shared" si="6"/>
        <v>ALEX DIAS</v>
      </c>
    </row>
    <row r="439" spans="1:14" x14ac:dyDescent="0.3">
      <c r="A439" s="1">
        <v>704936</v>
      </c>
      <c r="B439" s="1" t="s">
        <v>473</v>
      </c>
      <c r="C439" s="5" t="s">
        <v>15</v>
      </c>
      <c r="D439" s="2">
        <v>45608</v>
      </c>
      <c r="E439" s="2" t="s">
        <v>22</v>
      </c>
      <c r="F439" s="1">
        <v>32101</v>
      </c>
      <c r="G439" s="1" t="s">
        <v>23</v>
      </c>
      <c r="H439" s="1" t="s">
        <v>18</v>
      </c>
      <c r="J439" s="2" t="s">
        <v>24</v>
      </c>
      <c r="K439" s="1" t="s">
        <v>25</v>
      </c>
      <c r="L439" s="1" t="s">
        <v>1369</v>
      </c>
      <c r="M439" s="1" t="s">
        <v>1370</v>
      </c>
      <c r="N439" s="1" t="str">
        <f t="shared" si="6"/>
        <v>JUNIO COSTA</v>
      </c>
    </row>
    <row r="440" spans="1:14" x14ac:dyDescent="0.3">
      <c r="A440" s="1">
        <v>705638</v>
      </c>
      <c r="B440" s="1" t="s">
        <v>1412</v>
      </c>
      <c r="C440" s="5" t="s">
        <v>15</v>
      </c>
      <c r="D440" s="2">
        <v>45937</v>
      </c>
      <c r="E440" s="2" t="s">
        <v>446</v>
      </c>
      <c r="F440" s="1">
        <v>22101</v>
      </c>
      <c r="G440" s="1" t="s">
        <v>122</v>
      </c>
      <c r="H440" s="1" t="s">
        <v>18</v>
      </c>
      <c r="J440" s="2" t="s">
        <v>123</v>
      </c>
      <c r="K440" s="1" t="s">
        <v>124</v>
      </c>
      <c r="L440" s="1" t="s">
        <v>124</v>
      </c>
      <c r="N440" s="1" t="str">
        <f t="shared" si="6"/>
        <v>MATHEUS FERNANDES</v>
      </c>
    </row>
    <row r="441" spans="1:14" x14ac:dyDescent="0.3">
      <c r="A441" s="1">
        <v>702887</v>
      </c>
      <c r="B441" s="1" t="s">
        <v>475</v>
      </c>
      <c r="C441" s="5" t="s">
        <v>15</v>
      </c>
      <c r="D441" s="2">
        <v>44634</v>
      </c>
      <c r="E441" s="2" t="s">
        <v>476</v>
      </c>
      <c r="F441" s="1">
        <v>21101</v>
      </c>
      <c r="G441" s="1" t="s">
        <v>196</v>
      </c>
      <c r="H441" s="1" t="s">
        <v>18</v>
      </c>
      <c r="J441" s="2" t="s">
        <v>197</v>
      </c>
      <c r="K441" s="1" t="s">
        <v>1508</v>
      </c>
      <c r="N441" s="1" t="str">
        <f t="shared" si="6"/>
        <v xml:space="preserve">CARLOS OLIVEIRA </v>
      </c>
    </row>
    <row r="442" spans="1:14" x14ac:dyDescent="0.3">
      <c r="A442" s="1">
        <v>705741</v>
      </c>
      <c r="B442" s="1" t="s">
        <v>1489</v>
      </c>
      <c r="C442" s="5" t="s">
        <v>15</v>
      </c>
      <c r="D442" s="2">
        <v>45993</v>
      </c>
      <c r="E442" s="2" t="s">
        <v>67</v>
      </c>
      <c r="F442" s="1">
        <v>22101</v>
      </c>
      <c r="G442" s="1" t="s">
        <v>122</v>
      </c>
      <c r="H442" s="1" t="s">
        <v>18</v>
      </c>
      <c r="J442" s="2" t="s">
        <v>123</v>
      </c>
      <c r="K442" s="1" t="s">
        <v>124</v>
      </c>
      <c r="L442" s="1" t="s">
        <v>124</v>
      </c>
      <c r="N442" s="1" t="str">
        <f t="shared" si="6"/>
        <v>MATHEUS FERNANDES</v>
      </c>
    </row>
    <row r="443" spans="1:14" x14ac:dyDescent="0.3">
      <c r="A443" s="1">
        <v>106026</v>
      </c>
      <c r="B443" s="1" t="s">
        <v>477</v>
      </c>
      <c r="C443" s="5" t="s">
        <v>15</v>
      </c>
      <c r="D443" s="2">
        <v>43556</v>
      </c>
      <c r="E443" s="2" t="s">
        <v>179</v>
      </c>
      <c r="F443" s="1">
        <v>32101</v>
      </c>
      <c r="G443" s="1" t="s">
        <v>23</v>
      </c>
      <c r="H443" s="1" t="s">
        <v>18</v>
      </c>
      <c r="J443" s="2" t="s">
        <v>24</v>
      </c>
      <c r="K443" s="1" t="s">
        <v>25</v>
      </c>
      <c r="L443" s="1" t="s">
        <v>1369</v>
      </c>
      <c r="M443" s="1" t="s">
        <v>1370</v>
      </c>
      <c r="N443" s="1" t="str">
        <f t="shared" si="6"/>
        <v>JUNIO COSTA</v>
      </c>
    </row>
    <row r="444" spans="1:14" x14ac:dyDescent="0.3">
      <c r="A444" s="1">
        <v>703500</v>
      </c>
      <c r="B444" s="1" t="s">
        <v>478</v>
      </c>
      <c r="C444" s="5" t="s">
        <v>15</v>
      </c>
      <c r="D444" s="2">
        <v>44887</v>
      </c>
      <c r="E444" s="2" t="s">
        <v>97</v>
      </c>
      <c r="F444" s="1">
        <v>32101</v>
      </c>
      <c r="G444" s="1" t="s">
        <v>23</v>
      </c>
      <c r="H444" s="1" t="s">
        <v>18</v>
      </c>
      <c r="J444" s="2" t="s">
        <v>24</v>
      </c>
      <c r="K444" s="1" t="s">
        <v>25</v>
      </c>
      <c r="L444" s="1" t="s">
        <v>1369</v>
      </c>
      <c r="M444" s="1" t="s">
        <v>1370</v>
      </c>
      <c r="N444" s="1" t="str">
        <f t="shared" si="6"/>
        <v>JUNIO COSTA</v>
      </c>
    </row>
    <row r="445" spans="1:14" x14ac:dyDescent="0.3">
      <c r="A445" s="1">
        <v>704576</v>
      </c>
      <c r="B445" s="1" t="s">
        <v>479</v>
      </c>
      <c r="C445" s="5" t="s">
        <v>92</v>
      </c>
      <c r="D445" s="2">
        <v>45448</v>
      </c>
      <c r="E445" s="2" t="s">
        <v>31</v>
      </c>
      <c r="F445" s="1">
        <v>52104</v>
      </c>
      <c r="G445" s="1" t="s">
        <v>17</v>
      </c>
      <c r="H445" s="1" t="s">
        <v>18</v>
      </c>
      <c r="I445" s="2">
        <v>46044</v>
      </c>
      <c r="J445" s="2" t="s">
        <v>19</v>
      </c>
      <c r="K445" s="1" t="s">
        <v>1368</v>
      </c>
      <c r="L445" s="1" t="s">
        <v>20</v>
      </c>
      <c r="N445" s="1" t="str">
        <f t="shared" si="6"/>
        <v>ALEX DIAS</v>
      </c>
    </row>
    <row r="446" spans="1:14" x14ac:dyDescent="0.3">
      <c r="A446" s="1">
        <v>705690</v>
      </c>
      <c r="B446" s="1" t="s">
        <v>1453</v>
      </c>
      <c r="C446" s="5" t="s">
        <v>15</v>
      </c>
      <c r="D446" s="2">
        <v>45966</v>
      </c>
      <c r="E446" s="2" t="s">
        <v>111</v>
      </c>
      <c r="F446" s="1">
        <v>22102</v>
      </c>
      <c r="G446" s="1" t="s">
        <v>68</v>
      </c>
      <c r="H446" s="1" t="s">
        <v>18</v>
      </c>
      <c r="J446" s="2" t="s">
        <v>81</v>
      </c>
      <c r="K446" s="1" t="s">
        <v>1371</v>
      </c>
      <c r="L446" s="1" t="s">
        <v>1509</v>
      </c>
      <c r="M446" s="1" t="s">
        <v>1379</v>
      </c>
      <c r="N446" s="1" t="str">
        <f t="shared" si="6"/>
        <v xml:space="preserve">EDSON/MARCELO LIMA </v>
      </c>
    </row>
    <row r="447" spans="1:14" x14ac:dyDescent="0.3">
      <c r="A447" s="1">
        <v>100318</v>
      </c>
      <c r="B447" s="1" t="s">
        <v>1505</v>
      </c>
      <c r="C447" s="5" t="s">
        <v>15</v>
      </c>
      <c r="D447" s="2">
        <v>41792</v>
      </c>
      <c r="E447" s="2" t="s">
        <v>245</v>
      </c>
      <c r="F447" s="1">
        <v>37101</v>
      </c>
      <c r="G447" s="1" t="s">
        <v>214</v>
      </c>
      <c r="H447" s="1" t="s">
        <v>18</v>
      </c>
      <c r="J447" s="2" t="s">
        <v>215</v>
      </c>
      <c r="K447" s="1" t="s">
        <v>216</v>
      </c>
      <c r="L447" s="1" t="s">
        <v>216</v>
      </c>
      <c r="N447" s="1" t="str">
        <f t="shared" si="6"/>
        <v>CARSON NEVES</v>
      </c>
    </row>
    <row r="448" spans="1:14" x14ac:dyDescent="0.3">
      <c r="A448" s="1">
        <v>703504</v>
      </c>
      <c r="B448" s="1" t="s">
        <v>480</v>
      </c>
      <c r="C448" s="5" t="s">
        <v>15</v>
      </c>
      <c r="D448" s="2">
        <v>44887</v>
      </c>
      <c r="E448" s="2" t="s">
        <v>160</v>
      </c>
      <c r="F448" s="1">
        <v>32101</v>
      </c>
      <c r="G448" s="1" t="s">
        <v>23</v>
      </c>
      <c r="H448" s="1" t="s">
        <v>18</v>
      </c>
      <c r="J448" s="2" t="s">
        <v>24</v>
      </c>
      <c r="K448" s="1" t="s">
        <v>25</v>
      </c>
      <c r="L448" s="1" t="s">
        <v>1369</v>
      </c>
      <c r="M448" s="1" t="s">
        <v>1370</v>
      </c>
      <c r="N448" s="1" t="str">
        <f t="shared" si="6"/>
        <v>JUNIO COSTA</v>
      </c>
    </row>
    <row r="449" spans="1:14" x14ac:dyDescent="0.3">
      <c r="A449" s="1">
        <v>705800</v>
      </c>
      <c r="B449" s="1" t="s">
        <v>1524</v>
      </c>
      <c r="C449" s="5" t="s">
        <v>15</v>
      </c>
      <c r="D449" s="2">
        <v>46035</v>
      </c>
      <c r="E449" s="2" t="s">
        <v>31</v>
      </c>
      <c r="F449" s="1">
        <v>25102</v>
      </c>
      <c r="G449" s="1" t="s">
        <v>1153</v>
      </c>
      <c r="H449" s="1" t="s">
        <v>18</v>
      </c>
      <c r="J449" s="2" t="s">
        <v>19</v>
      </c>
      <c r="K449" s="1" t="s">
        <v>1368</v>
      </c>
      <c r="L449" s="1" t="s">
        <v>20</v>
      </c>
      <c r="N449" s="1" t="str">
        <f t="shared" si="6"/>
        <v>ALEX DIAS</v>
      </c>
    </row>
    <row r="450" spans="1:14" x14ac:dyDescent="0.3">
      <c r="A450" s="1">
        <v>705198</v>
      </c>
      <c r="B450" s="1" t="s">
        <v>1164</v>
      </c>
      <c r="C450" s="5" t="s">
        <v>15</v>
      </c>
      <c r="D450" s="2">
        <v>45727</v>
      </c>
      <c r="E450" s="2" t="s">
        <v>93</v>
      </c>
      <c r="F450" s="1">
        <v>22102</v>
      </c>
      <c r="G450" s="1" t="s">
        <v>68</v>
      </c>
      <c r="H450" s="1" t="s">
        <v>18</v>
      </c>
      <c r="J450" s="2" t="s">
        <v>69</v>
      </c>
      <c r="K450" s="1" t="s">
        <v>1371</v>
      </c>
      <c r="L450" s="1" t="s">
        <v>1378</v>
      </c>
      <c r="N450" s="1" t="str">
        <f t="shared" si="6"/>
        <v xml:space="preserve">JOÃO KOMURA </v>
      </c>
    </row>
    <row r="451" spans="1:14" x14ac:dyDescent="0.3">
      <c r="A451" s="1">
        <v>705605</v>
      </c>
      <c r="B451" s="1" t="s">
        <v>1357</v>
      </c>
      <c r="C451" s="5" t="s">
        <v>15</v>
      </c>
      <c r="D451" s="2">
        <v>45902</v>
      </c>
      <c r="E451" s="2" t="s">
        <v>31</v>
      </c>
      <c r="F451" s="1">
        <v>25201</v>
      </c>
      <c r="G451" s="1" t="s">
        <v>89</v>
      </c>
      <c r="H451" s="1" t="s">
        <v>18</v>
      </c>
      <c r="J451" s="2" t="s">
        <v>19</v>
      </c>
      <c r="K451" s="1" t="s">
        <v>1368</v>
      </c>
      <c r="L451" s="1" t="s">
        <v>20</v>
      </c>
      <c r="N451" s="1" t="str">
        <f t="shared" ref="N451:N514" si="7">IF(M451&lt;&gt;"", M451, IF(L451&lt;&gt;"", L451, K451))</f>
        <v>ALEX DIAS</v>
      </c>
    </row>
    <row r="452" spans="1:14" x14ac:dyDescent="0.3">
      <c r="A452" s="1">
        <v>705578</v>
      </c>
      <c r="B452" s="1" t="s">
        <v>1321</v>
      </c>
      <c r="C452" s="5" t="s">
        <v>15</v>
      </c>
      <c r="D452" s="2">
        <v>45881</v>
      </c>
      <c r="E452" s="2" t="s">
        <v>31</v>
      </c>
      <c r="F452" s="1">
        <v>39301</v>
      </c>
      <c r="G452" s="1" t="s">
        <v>73</v>
      </c>
      <c r="H452" s="1" t="s">
        <v>18</v>
      </c>
      <c r="J452" s="2" t="s">
        <v>74</v>
      </c>
      <c r="K452" s="1" t="s">
        <v>1371</v>
      </c>
      <c r="L452" s="1" t="s">
        <v>1376</v>
      </c>
      <c r="M452" s="1" t="s">
        <v>75</v>
      </c>
      <c r="N452" s="1" t="str">
        <f t="shared" si="7"/>
        <v>ISAC NONATO</v>
      </c>
    </row>
    <row r="453" spans="1:14" x14ac:dyDescent="0.3">
      <c r="A453" s="1">
        <v>700691</v>
      </c>
      <c r="B453" s="1" t="s">
        <v>1506</v>
      </c>
      <c r="C453" s="5" t="s">
        <v>15</v>
      </c>
      <c r="D453" s="2">
        <v>43389</v>
      </c>
      <c r="E453" s="2" t="s">
        <v>138</v>
      </c>
      <c r="F453" s="1">
        <v>52104</v>
      </c>
      <c r="G453" s="1" t="s">
        <v>17</v>
      </c>
      <c r="H453" s="1" t="s">
        <v>18</v>
      </c>
      <c r="J453" s="2" t="s">
        <v>37</v>
      </c>
      <c r="K453" s="1" t="s">
        <v>1368</v>
      </c>
      <c r="L453" s="1" t="s">
        <v>20</v>
      </c>
      <c r="N453" s="1" t="str">
        <f t="shared" si="7"/>
        <v>ALEX DIAS</v>
      </c>
    </row>
    <row r="454" spans="1:14" x14ac:dyDescent="0.3">
      <c r="A454" s="1">
        <v>703938</v>
      </c>
      <c r="B454" s="1" t="s">
        <v>481</v>
      </c>
      <c r="C454" s="5" t="s">
        <v>15</v>
      </c>
      <c r="D454" s="2">
        <v>45089</v>
      </c>
      <c r="E454" s="2" t="s">
        <v>138</v>
      </c>
      <c r="F454" s="1">
        <v>52104</v>
      </c>
      <c r="G454" s="1" t="s">
        <v>17</v>
      </c>
      <c r="H454" s="1" t="s">
        <v>18</v>
      </c>
      <c r="J454" s="2" t="s">
        <v>19</v>
      </c>
      <c r="K454" s="1" t="s">
        <v>1368</v>
      </c>
      <c r="L454" s="1" t="s">
        <v>20</v>
      </c>
      <c r="N454" s="1" t="str">
        <f t="shared" si="7"/>
        <v>ALEX DIAS</v>
      </c>
    </row>
    <row r="455" spans="1:14" x14ac:dyDescent="0.3">
      <c r="A455" s="1">
        <v>705601</v>
      </c>
      <c r="B455" s="1" t="s">
        <v>1358</v>
      </c>
      <c r="C455" s="5" t="s">
        <v>15</v>
      </c>
      <c r="D455" s="2">
        <v>45902</v>
      </c>
      <c r="E455" s="2" t="s">
        <v>1359</v>
      </c>
      <c r="F455" s="1">
        <v>38101</v>
      </c>
      <c r="G455" s="1" t="s">
        <v>35</v>
      </c>
      <c r="H455" s="1" t="s">
        <v>18</v>
      </c>
      <c r="J455" s="2" t="s">
        <v>36</v>
      </c>
      <c r="K455" s="1" t="s">
        <v>1372</v>
      </c>
      <c r="L455" s="1" t="s">
        <v>1372</v>
      </c>
      <c r="M455" s="1" t="s">
        <v>1373</v>
      </c>
      <c r="N455" s="1" t="str">
        <f t="shared" si="7"/>
        <v>DENIS ACASSIO</v>
      </c>
    </row>
    <row r="456" spans="1:14" x14ac:dyDescent="0.3">
      <c r="A456" s="1">
        <v>704872</v>
      </c>
      <c r="B456" s="1" t="s">
        <v>482</v>
      </c>
      <c r="C456" s="5" t="s">
        <v>15</v>
      </c>
      <c r="D456" s="2">
        <v>45573</v>
      </c>
      <c r="E456" s="2" t="s">
        <v>446</v>
      </c>
      <c r="F456" s="1">
        <v>32101</v>
      </c>
      <c r="G456" s="1" t="s">
        <v>23</v>
      </c>
      <c r="H456" s="1" t="s">
        <v>18</v>
      </c>
      <c r="J456" s="2" t="s">
        <v>24</v>
      </c>
      <c r="K456" s="1" t="s">
        <v>25</v>
      </c>
      <c r="L456" s="1" t="s">
        <v>1369</v>
      </c>
      <c r="M456" s="1" t="s">
        <v>1370</v>
      </c>
      <c r="N456" s="1" t="str">
        <f t="shared" si="7"/>
        <v>JUNIO COSTA</v>
      </c>
    </row>
    <row r="457" spans="1:14" x14ac:dyDescent="0.3">
      <c r="A457" s="1">
        <v>704836</v>
      </c>
      <c r="B457" s="1" t="s">
        <v>483</v>
      </c>
      <c r="C457" s="5" t="s">
        <v>15</v>
      </c>
      <c r="D457" s="2">
        <v>45566</v>
      </c>
      <c r="E457" s="2" t="s">
        <v>27</v>
      </c>
      <c r="F457" s="1">
        <v>39302</v>
      </c>
      <c r="G457" s="1" t="s">
        <v>102</v>
      </c>
      <c r="H457" s="1" t="s">
        <v>18</v>
      </c>
      <c r="J457" s="2" t="s">
        <v>57</v>
      </c>
      <c r="K457" s="1" t="s">
        <v>1371</v>
      </c>
      <c r="L457" s="1" t="s">
        <v>1376</v>
      </c>
      <c r="M457" s="1" t="s">
        <v>1377</v>
      </c>
      <c r="N457" s="1" t="str">
        <f t="shared" si="7"/>
        <v>WARLEY RIBEIRO</v>
      </c>
    </row>
    <row r="458" spans="1:14" x14ac:dyDescent="0.3">
      <c r="A458" s="1">
        <v>100753</v>
      </c>
      <c r="B458" s="1" t="s">
        <v>484</v>
      </c>
      <c r="C458" s="5" t="s">
        <v>15</v>
      </c>
      <c r="D458" s="2">
        <v>42179</v>
      </c>
      <c r="E458" s="2" t="s">
        <v>141</v>
      </c>
      <c r="F458" s="1">
        <v>22102</v>
      </c>
      <c r="G458" s="1" t="s">
        <v>68</v>
      </c>
      <c r="H458" s="1" t="s">
        <v>18</v>
      </c>
      <c r="J458" s="2" t="s">
        <v>81</v>
      </c>
      <c r="K458" s="1" t="s">
        <v>1371</v>
      </c>
      <c r="L458" s="1" t="s">
        <v>1509</v>
      </c>
      <c r="M458" s="1" t="s">
        <v>1379</v>
      </c>
      <c r="N458" s="1" t="str">
        <f t="shared" si="7"/>
        <v xml:space="preserve">EDSON/MARCELO LIMA </v>
      </c>
    </row>
    <row r="459" spans="1:14" x14ac:dyDescent="0.3">
      <c r="A459" s="1">
        <v>702692</v>
      </c>
      <c r="B459" s="1" t="s">
        <v>485</v>
      </c>
      <c r="C459" s="5" t="s">
        <v>15</v>
      </c>
      <c r="D459" s="2">
        <v>44537</v>
      </c>
      <c r="E459" s="2" t="s">
        <v>255</v>
      </c>
      <c r="F459" s="1">
        <v>39501</v>
      </c>
      <c r="G459" s="1" t="s">
        <v>28</v>
      </c>
      <c r="H459" s="1" t="s">
        <v>18</v>
      </c>
      <c r="J459" s="2" t="s">
        <v>29</v>
      </c>
      <c r="K459" s="1" t="s">
        <v>1368</v>
      </c>
      <c r="L459" s="1" t="s">
        <v>1368</v>
      </c>
      <c r="N459" s="1" t="str">
        <f t="shared" si="7"/>
        <v>JOSÉ GOUVEA</v>
      </c>
    </row>
    <row r="460" spans="1:14" x14ac:dyDescent="0.3">
      <c r="A460" s="1">
        <v>705367</v>
      </c>
      <c r="B460" s="1" t="s">
        <v>1228</v>
      </c>
      <c r="C460" s="5" t="s">
        <v>15</v>
      </c>
      <c r="D460" s="2">
        <v>45784</v>
      </c>
      <c r="E460" s="2" t="s">
        <v>55</v>
      </c>
      <c r="F460" s="1">
        <v>39304</v>
      </c>
      <c r="G460" s="1" t="s">
        <v>56</v>
      </c>
      <c r="H460" s="1" t="s">
        <v>18</v>
      </c>
      <c r="J460" s="2" t="s">
        <v>57</v>
      </c>
      <c r="K460" s="1" t="s">
        <v>1371</v>
      </c>
      <c r="L460" s="1" t="s">
        <v>1376</v>
      </c>
      <c r="M460" s="1" t="s">
        <v>1377</v>
      </c>
      <c r="N460" s="1" t="str">
        <f t="shared" si="7"/>
        <v>WARLEY RIBEIRO</v>
      </c>
    </row>
    <row r="461" spans="1:14" x14ac:dyDescent="0.3">
      <c r="A461" s="1">
        <v>700067</v>
      </c>
      <c r="B461" s="1" t="s">
        <v>486</v>
      </c>
      <c r="C461" s="5" t="s">
        <v>15</v>
      </c>
      <c r="D461" s="2">
        <v>39114</v>
      </c>
      <c r="E461" s="2" t="s">
        <v>158</v>
      </c>
      <c r="F461" s="1">
        <v>15101</v>
      </c>
      <c r="G461" s="1" t="s">
        <v>447</v>
      </c>
      <c r="H461" s="1" t="s">
        <v>18</v>
      </c>
      <c r="J461" s="2" t="s">
        <v>448</v>
      </c>
      <c r="K461" s="1" t="s">
        <v>449</v>
      </c>
      <c r="L461" s="1" t="s">
        <v>449</v>
      </c>
      <c r="N461" s="1" t="str">
        <f t="shared" si="7"/>
        <v xml:space="preserve">RAFAEL VIRGENS </v>
      </c>
    </row>
    <row r="462" spans="1:14" x14ac:dyDescent="0.3">
      <c r="A462" s="1">
        <v>704124</v>
      </c>
      <c r="B462" s="1" t="s">
        <v>487</v>
      </c>
      <c r="C462" s="5" t="s">
        <v>15</v>
      </c>
      <c r="D462" s="2">
        <v>45238</v>
      </c>
      <c r="E462" s="2" t="s">
        <v>31</v>
      </c>
      <c r="F462" s="1">
        <v>52104</v>
      </c>
      <c r="G462" s="1" t="s">
        <v>17</v>
      </c>
      <c r="H462" s="1" t="s">
        <v>18</v>
      </c>
      <c r="J462" s="2" t="s">
        <v>19</v>
      </c>
      <c r="K462" s="1" t="s">
        <v>1368</v>
      </c>
      <c r="L462" s="1" t="s">
        <v>20</v>
      </c>
      <c r="N462" s="1" t="str">
        <f t="shared" si="7"/>
        <v>ALEX DIAS</v>
      </c>
    </row>
    <row r="463" spans="1:14" x14ac:dyDescent="0.3">
      <c r="A463" s="1">
        <v>703843</v>
      </c>
      <c r="B463" s="1" t="s">
        <v>488</v>
      </c>
      <c r="C463" s="5" t="s">
        <v>15</v>
      </c>
      <c r="D463" s="2">
        <v>45054</v>
      </c>
      <c r="E463" s="2" t="s">
        <v>446</v>
      </c>
      <c r="F463" s="1">
        <v>22101</v>
      </c>
      <c r="G463" s="1" t="s">
        <v>122</v>
      </c>
      <c r="H463" s="1" t="s">
        <v>18</v>
      </c>
      <c r="J463" s="2" t="s">
        <v>123</v>
      </c>
      <c r="K463" s="1" t="s">
        <v>124</v>
      </c>
      <c r="L463" s="1" t="s">
        <v>124</v>
      </c>
      <c r="N463" s="1" t="str">
        <f t="shared" si="7"/>
        <v>MATHEUS FERNANDES</v>
      </c>
    </row>
    <row r="464" spans="1:14" x14ac:dyDescent="0.3">
      <c r="A464" s="1">
        <v>700103</v>
      </c>
      <c r="B464" s="1" t="s">
        <v>489</v>
      </c>
      <c r="C464" s="5" t="s">
        <v>15</v>
      </c>
      <c r="D464" s="2">
        <v>43164</v>
      </c>
      <c r="E464" s="2" t="s">
        <v>60</v>
      </c>
      <c r="F464" s="1">
        <v>52104</v>
      </c>
      <c r="G464" s="1" t="s">
        <v>17</v>
      </c>
      <c r="H464" s="1" t="s">
        <v>18</v>
      </c>
      <c r="J464" s="2" t="s">
        <v>37</v>
      </c>
      <c r="K464" s="1" t="s">
        <v>1368</v>
      </c>
      <c r="L464" s="1" t="s">
        <v>20</v>
      </c>
      <c r="N464" s="1" t="str">
        <f t="shared" si="7"/>
        <v>ALEX DIAS</v>
      </c>
    </row>
    <row r="465" spans="1:14" x14ac:dyDescent="0.3">
      <c r="A465" s="1">
        <v>702152</v>
      </c>
      <c r="B465" s="1" t="s">
        <v>490</v>
      </c>
      <c r="C465" s="5" t="s">
        <v>15</v>
      </c>
      <c r="D465" s="2">
        <v>44299</v>
      </c>
      <c r="E465" s="2" t="s">
        <v>166</v>
      </c>
      <c r="F465" s="1">
        <v>22102</v>
      </c>
      <c r="G465" s="1" t="s">
        <v>68</v>
      </c>
      <c r="H465" s="1" t="s">
        <v>18</v>
      </c>
      <c r="J465" s="2" t="s">
        <v>167</v>
      </c>
      <c r="K465" s="1" t="s">
        <v>1371</v>
      </c>
      <c r="L465" s="1" t="s">
        <v>1509</v>
      </c>
      <c r="M465" s="1" t="s">
        <v>1383</v>
      </c>
      <c r="N465" s="1" t="str">
        <f t="shared" si="7"/>
        <v>WANDRES/FABIANO</v>
      </c>
    </row>
    <row r="466" spans="1:14" x14ac:dyDescent="0.3">
      <c r="A466" s="1">
        <v>704377</v>
      </c>
      <c r="B466" s="1" t="s">
        <v>491</v>
      </c>
      <c r="C466" s="5" t="s">
        <v>15</v>
      </c>
      <c r="D466" s="2">
        <v>45384</v>
      </c>
      <c r="E466" s="2" t="s">
        <v>138</v>
      </c>
      <c r="F466" s="1">
        <v>52104</v>
      </c>
      <c r="G466" s="1" t="s">
        <v>17</v>
      </c>
      <c r="H466" s="1" t="s">
        <v>18</v>
      </c>
      <c r="J466" s="2" t="s">
        <v>19</v>
      </c>
      <c r="K466" s="1" t="s">
        <v>1368</v>
      </c>
      <c r="L466" s="1" t="s">
        <v>20</v>
      </c>
      <c r="N466" s="1" t="str">
        <f t="shared" si="7"/>
        <v>ALEX DIAS</v>
      </c>
    </row>
    <row r="467" spans="1:14" x14ac:dyDescent="0.3">
      <c r="A467" s="1">
        <v>705781</v>
      </c>
      <c r="B467" s="1" t="s">
        <v>1525</v>
      </c>
      <c r="C467" s="5" t="s">
        <v>15</v>
      </c>
      <c r="D467" s="2">
        <v>46029</v>
      </c>
      <c r="E467" s="2" t="s">
        <v>31</v>
      </c>
      <c r="F467" s="1">
        <v>25201</v>
      </c>
      <c r="G467" s="1" t="s">
        <v>89</v>
      </c>
      <c r="H467" s="1" t="s">
        <v>18</v>
      </c>
      <c r="J467" s="2" t="s">
        <v>19</v>
      </c>
      <c r="K467" s="1" t="s">
        <v>1368</v>
      </c>
      <c r="L467" s="1" t="s">
        <v>20</v>
      </c>
      <c r="N467" s="1" t="str">
        <f t="shared" si="7"/>
        <v>ALEX DIAS</v>
      </c>
    </row>
    <row r="468" spans="1:14" x14ac:dyDescent="0.3">
      <c r="A468" s="1">
        <v>703003</v>
      </c>
      <c r="B468" s="1" t="s">
        <v>492</v>
      </c>
      <c r="C468" s="5" t="s">
        <v>15</v>
      </c>
      <c r="D468" s="2">
        <v>44691</v>
      </c>
      <c r="E468" s="2" t="s">
        <v>16</v>
      </c>
      <c r="F468" s="1">
        <v>38101</v>
      </c>
      <c r="G468" s="1" t="s">
        <v>35</v>
      </c>
      <c r="H468" s="1" t="s">
        <v>18</v>
      </c>
      <c r="J468" s="2" t="s">
        <v>36</v>
      </c>
      <c r="K468" s="1" t="s">
        <v>1372</v>
      </c>
      <c r="L468" s="1" t="s">
        <v>1372</v>
      </c>
      <c r="M468" s="1" t="s">
        <v>1373</v>
      </c>
      <c r="N468" s="1" t="str">
        <f t="shared" si="7"/>
        <v>DENIS ACASSIO</v>
      </c>
    </row>
    <row r="469" spans="1:14" x14ac:dyDescent="0.3">
      <c r="A469" s="1">
        <v>703154</v>
      </c>
      <c r="B469" s="1" t="s">
        <v>493</v>
      </c>
      <c r="C469" s="5" t="s">
        <v>15</v>
      </c>
      <c r="D469" s="2">
        <v>44746</v>
      </c>
      <c r="E469" s="2" t="s">
        <v>138</v>
      </c>
      <c r="F469" s="1">
        <v>22102</v>
      </c>
      <c r="G469" s="1" t="s">
        <v>68</v>
      </c>
      <c r="H469" s="1" t="s">
        <v>18</v>
      </c>
      <c r="J469" s="2" t="s">
        <v>81</v>
      </c>
      <c r="K469" s="1" t="s">
        <v>1371</v>
      </c>
      <c r="L469" s="1" t="s">
        <v>1509</v>
      </c>
      <c r="M469" s="1" t="s">
        <v>1379</v>
      </c>
      <c r="N469" s="1" t="str">
        <f t="shared" si="7"/>
        <v xml:space="preserve">EDSON/MARCELO LIMA </v>
      </c>
    </row>
    <row r="470" spans="1:14" x14ac:dyDescent="0.3">
      <c r="A470" s="1">
        <v>704564</v>
      </c>
      <c r="B470" s="1" t="s">
        <v>494</v>
      </c>
      <c r="C470" s="5" t="s">
        <v>15</v>
      </c>
      <c r="D470" s="2">
        <v>45433</v>
      </c>
      <c r="E470" s="2" t="s">
        <v>217</v>
      </c>
      <c r="F470" s="1">
        <v>39302</v>
      </c>
      <c r="G470" s="1" t="s">
        <v>102</v>
      </c>
      <c r="H470" s="1" t="s">
        <v>18</v>
      </c>
      <c r="J470" s="2" t="s">
        <v>57</v>
      </c>
      <c r="K470" s="1" t="s">
        <v>1371</v>
      </c>
      <c r="L470" s="1" t="s">
        <v>1376</v>
      </c>
      <c r="M470" s="1" t="s">
        <v>1377</v>
      </c>
      <c r="N470" s="1" t="str">
        <f t="shared" si="7"/>
        <v>WARLEY RIBEIRO</v>
      </c>
    </row>
    <row r="471" spans="1:14" x14ac:dyDescent="0.3">
      <c r="A471" s="1">
        <v>705507</v>
      </c>
      <c r="B471" s="1" t="s">
        <v>1300</v>
      </c>
      <c r="C471" s="5" t="s">
        <v>15</v>
      </c>
      <c r="D471" s="2">
        <v>45847</v>
      </c>
      <c r="E471" s="2" t="s">
        <v>138</v>
      </c>
      <c r="F471" s="1">
        <v>22102</v>
      </c>
      <c r="G471" s="1" t="s">
        <v>68</v>
      </c>
      <c r="H471" s="1" t="s">
        <v>18</v>
      </c>
      <c r="J471" s="2" t="s">
        <v>81</v>
      </c>
      <c r="K471" s="1" t="s">
        <v>1371</v>
      </c>
      <c r="L471" s="1" t="s">
        <v>1509</v>
      </c>
      <c r="M471" s="1" t="s">
        <v>1379</v>
      </c>
      <c r="N471" s="1" t="str">
        <f t="shared" si="7"/>
        <v xml:space="preserve">EDSON/MARCELO LIMA </v>
      </c>
    </row>
    <row r="472" spans="1:14" x14ac:dyDescent="0.3">
      <c r="A472" s="1">
        <v>705775</v>
      </c>
      <c r="B472" s="1" t="s">
        <v>1025</v>
      </c>
      <c r="C472" s="5" t="s">
        <v>15</v>
      </c>
      <c r="D472" s="2">
        <v>45993</v>
      </c>
      <c r="E472" s="2" t="s">
        <v>129</v>
      </c>
      <c r="F472" s="1">
        <v>31104</v>
      </c>
      <c r="G472" s="1" t="s">
        <v>130</v>
      </c>
      <c r="H472" s="1" t="s">
        <v>18</v>
      </c>
      <c r="J472" s="2" t="s">
        <v>131</v>
      </c>
      <c r="K472" s="1" t="s">
        <v>132</v>
      </c>
      <c r="L472" s="1" t="s">
        <v>132</v>
      </c>
      <c r="M472" s="1" t="s">
        <v>1381</v>
      </c>
      <c r="N472" s="1" t="str">
        <f t="shared" si="7"/>
        <v>MARCOS OLIVEIRA</v>
      </c>
    </row>
    <row r="473" spans="1:14" x14ac:dyDescent="0.3">
      <c r="A473" s="1">
        <v>701027</v>
      </c>
      <c r="B473" s="1" t="s">
        <v>495</v>
      </c>
      <c r="C473" s="5" t="s">
        <v>15</v>
      </c>
      <c r="D473" s="2">
        <v>43605</v>
      </c>
      <c r="E473" s="2" t="s">
        <v>255</v>
      </c>
      <c r="F473" s="1">
        <v>52104</v>
      </c>
      <c r="G473" s="1" t="s">
        <v>17</v>
      </c>
      <c r="H473" s="1" t="s">
        <v>18</v>
      </c>
      <c r="J473" s="2" t="s">
        <v>19</v>
      </c>
      <c r="K473" s="1" t="s">
        <v>1368</v>
      </c>
      <c r="L473" s="1" t="s">
        <v>20</v>
      </c>
      <c r="N473" s="1" t="str">
        <f t="shared" si="7"/>
        <v>ALEX DIAS</v>
      </c>
    </row>
    <row r="474" spans="1:14" x14ac:dyDescent="0.3">
      <c r="A474" s="1">
        <v>705715</v>
      </c>
      <c r="B474" s="1" t="s">
        <v>1454</v>
      </c>
      <c r="C474" s="5" t="s">
        <v>15</v>
      </c>
      <c r="D474" s="2">
        <v>45971</v>
      </c>
      <c r="E474" s="2" t="s">
        <v>31</v>
      </c>
      <c r="F474" s="1">
        <v>25102</v>
      </c>
      <c r="G474" s="1" t="s">
        <v>1153</v>
      </c>
      <c r="H474" s="1" t="s">
        <v>18</v>
      </c>
      <c r="J474" s="2" t="s">
        <v>19</v>
      </c>
      <c r="K474" s="1" t="s">
        <v>1368</v>
      </c>
      <c r="L474" s="1" t="s">
        <v>20</v>
      </c>
      <c r="N474" s="1" t="str">
        <f t="shared" si="7"/>
        <v>ALEX DIAS</v>
      </c>
    </row>
    <row r="475" spans="1:14" x14ac:dyDescent="0.3">
      <c r="A475" s="1">
        <v>705546</v>
      </c>
      <c r="B475" s="1" t="s">
        <v>1322</v>
      </c>
      <c r="C475" s="5" t="s">
        <v>15</v>
      </c>
      <c r="D475" s="2">
        <v>45874</v>
      </c>
      <c r="E475" s="2" t="s">
        <v>1179</v>
      </c>
      <c r="F475" s="1">
        <v>21101</v>
      </c>
      <c r="G475" s="1" t="s">
        <v>196</v>
      </c>
      <c r="H475" s="1" t="s">
        <v>18</v>
      </c>
      <c r="J475" s="2" t="s">
        <v>197</v>
      </c>
      <c r="K475" s="1" t="s">
        <v>1508</v>
      </c>
      <c r="N475" s="1" t="str">
        <f t="shared" si="7"/>
        <v xml:space="preserve">CARLOS OLIVEIRA </v>
      </c>
    </row>
    <row r="476" spans="1:14" x14ac:dyDescent="0.3">
      <c r="A476" s="1">
        <v>705751</v>
      </c>
      <c r="B476" s="1" t="s">
        <v>1490</v>
      </c>
      <c r="C476" s="5" t="s">
        <v>15</v>
      </c>
      <c r="D476" s="2">
        <v>45993</v>
      </c>
      <c r="E476" s="2" t="s">
        <v>31</v>
      </c>
      <c r="F476" s="1">
        <v>25102</v>
      </c>
      <c r="G476" s="1" t="s">
        <v>1153</v>
      </c>
      <c r="H476" s="1" t="s">
        <v>18</v>
      </c>
      <c r="J476" s="2" t="s">
        <v>19</v>
      </c>
      <c r="K476" s="1" t="s">
        <v>1368</v>
      </c>
      <c r="L476" s="1" t="s">
        <v>20</v>
      </c>
      <c r="N476" s="1" t="str">
        <f t="shared" si="7"/>
        <v>ALEX DIAS</v>
      </c>
    </row>
    <row r="477" spans="1:14" x14ac:dyDescent="0.3">
      <c r="A477" s="1">
        <v>704144</v>
      </c>
      <c r="B477" s="1" t="s">
        <v>497</v>
      </c>
      <c r="C477" s="5" t="s">
        <v>233</v>
      </c>
      <c r="D477" s="2">
        <v>45264</v>
      </c>
      <c r="E477" s="2" t="s">
        <v>138</v>
      </c>
      <c r="F477" s="1">
        <v>22102</v>
      </c>
      <c r="G477" s="1" t="s">
        <v>68</v>
      </c>
      <c r="H477" s="1" t="s">
        <v>18</v>
      </c>
      <c r="J477" s="2" t="s">
        <v>81</v>
      </c>
      <c r="K477" s="1" t="s">
        <v>1371</v>
      </c>
      <c r="L477" s="1" t="s">
        <v>1509</v>
      </c>
      <c r="M477" s="1" t="s">
        <v>1379</v>
      </c>
      <c r="N477" s="1" t="str">
        <f t="shared" si="7"/>
        <v xml:space="preserve">EDSON/MARCELO LIMA </v>
      </c>
    </row>
    <row r="478" spans="1:14" x14ac:dyDescent="0.3">
      <c r="A478" s="1">
        <v>704974</v>
      </c>
      <c r="B478" s="1" t="s">
        <v>498</v>
      </c>
      <c r="C478" s="5" t="s">
        <v>15</v>
      </c>
      <c r="D478" s="2">
        <v>45629</v>
      </c>
      <c r="E478" s="2" t="s">
        <v>93</v>
      </c>
      <c r="F478" s="1">
        <v>22102</v>
      </c>
      <c r="G478" s="1" t="s">
        <v>68</v>
      </c>
      <c r="H478" s="1" t="s">
        <v>18</v>
      </c>
      <c r="J478" s="2" t="s">
        <v>94</v>
      </c>
      <c r="K478" s="1" t="s">
        <v>1371</v>
      </c>
      <c r="L478" s="1" t="s">
        <v>1378</v>
      </c>
      <c r="M478" s="1" t="s">
        <v>95</v>
      </c>
      <c r="N478" s="1" t="str">
        <f t="shared" si="7"/>
        <v>LUAN ABADIA</v>
      </c>
    </row>
    <row r="479" spans="1:14" x14ac:dyDescent="0.3">
      <c r="A479" s="1">
        <v>705230</v>
      </c>
      <c r="B479" s="1" t="s">
        <v>1185</v>
      </c>
      <c r="C479" s="5" t="s">
        <v>15</v>
      </c>
      <c r="D479" s="2">
        <v>45755</v>
      </c>
      <c r="E479" s="2" t="s">
        <v>446</v>
      </c>
      <c r="F479" s="1">
        <v>22101</v>
      </c>
      <c r="G479" s="1" t="s">
        <v>122</v>
      </c>
      <c r="H479" s="1" t="s">
        <v>18</v>
      </c>
      <c r="J479" s="2" t="s">
        <v>123</v>
      </c>
      <c r="K479" s="1" t="s">
        <v>124</v>
      </c>
      <c r="L479" s="1" t="s">
        <v>124</v>
      </c>
      <c r="N479" s="1" t="str">
        <f t="shared" si="7"/>
        <v>MATHEUS FERNANDES</v>
      </c>
    </row>
    <row r="480" spans="1:14" x14ac:dyDescent="0.3">
      <c r="A480" s="1">
        <v>705640</v>
      </c>
      <c r="B480" s="1" t="s">
        <v>499</v>
      </c>
      <c r="C480" s="5" t="s">
        <v>15</v>
      </c>
      <c r="D480" s="2">
        <v>45937</v>
      </c>
      <c r="E480" s="2" t="s">
        <v>302</v>
      </c>
      <c r="F480" s="1">
        <v>39301</v>
      </c>
      <c r="G480" s="1" t="s">
        <v>73</v>
      </c>
      <c r="H480" s="1" t="s">
        <v>18</v>
      </c>
      <c r="J480" s="2" t="s">
        <v>74</v>
      </c>
      <c r="K480" s="1" t="s">
        <v>1371</v>
      </c>
      <c r="L480" s="1" t="s">
        <v>1376</v>
      </c>
      <c r="M480" s="1" t="s">
        <v>75</v>
      </c>
      <c r="N480" s="1" t="str">
        <f t="shared" si="7"/>
        <v>ISAC NONATO</v>
      </c>
    </row>
    <row r="481" spans="1:14" x14ac:dyDescent="0.3">
      <c r="A481" s="1">
        <v>705749</v>
      </c>
      <c r="B481" s="1" t="s">
        <v>1491</v>
      </c>
      <c r="C481" s="5" t="s">
        <v>15</v>
      </c>
      <c r="D481" s="2">
        <v>45993</v>
      </c>
      <c r="E481" s="2" t="s">
        <v>336</v>
      </c>
      <c r="F481" s="1">
        <v>25102</v>
      </c>
      <c r="G481" s="1" t="s">
        <v>1153</v>
      </c>
      <c r="H481" s="1" t="s">
        <v>18</v>
      </c>
      <c r="J481" s="2" t="s">
        <v>19</v>
      </c>
      <c r="K481" s="1" t="s">
        <v>1368</v>
      </c>
      <c r="L481" s="1" t="s">
        <v>20</v>
      </c>
      <c r="N481" s="1" t="str">
        <f t="shared" si="7"/>
        <v>ALEX DIAS</v>
      </c>
    </row>
    <row r="482" spans="1:14" x14ac:dyDescent="0.3">
      <c r="A482" s="1">
        <v>703456</v>
      </c>
      <c r="B482" s="1" t="s">
        <v>500</v>
      </c>
      <c r="C482" s="5" t="s">
        <v>15</v>
      </c>
      <c r="D482" s="2">
        <v>44881</v>
      </c>
      <c r="E482" s="2" t="s">
        <v>91</v>
      </c>
      <c r="F482" s="1">
        <v>34201</v>
      </c>
      <c r="G482" s="1" t="s">
        <v>84</v>
      </c>
      <c r="H482" s="1" t="s">
        <v>18</v>
      </c>
      <c r="J482" s="2" t="s">
        <v>85</v>
      </c>
      <c r="K482" s="1" t="s">
        <v>1371</v>
      </c>
      <c r="L482" s="1" t="s">
        <v>1371</v>
      </c>
      <c r="M482" s="1" t="s">
        <v>1380</v>
      </c>
      <c r="N482" s="1" t="str">
        <f t="shared" si="7"/>
        <v xml:space="preserve">LEONARDO SANTOS </v>
      </c>
    </row>
    <row r="483" spans="1:14" x14ac:dyDescent="0.3">
      <c r="A483" s="1">
        <v>704529</v>
      </c>
      <c r="B483" s="1" t="s">
        <v>501</v>
      </c>
      <c r="C483" s="5" t="s">
        <v>15</v>
      </c>
      <c r="D483" s="2">
        <v>45420</v>
      </c>
      <c r="E483" s="2" t="s">
        <v>55</v>
      </c>
      <c r="F483" s="1">
        <v>39304</v>
      </c>
      <c r="G483" s="1" t="s">
        <v>56</v>
      </c>
      <c r="H483" s="1" t="s">
        <v>18</v>
      </c>
      <c r="J483" s="2" t="s">
        <v>57</v>
      </c>
      <c r="K483" s="1" t="s">
        <v>1371</v>
      </c>
      <c r="L483" s="1" t="s">
        <v>1376</v>
      </c>
      <c r="M483" s="1" t="s">
        <v>1377</v>
      </c>
      <c r="N483" s="1" t="str">
        <f t="shared" si="7"/>
        <v>WARLEY RIBEIRO</v>
      </c>
    </row>
    <row r="484" spans="1:14" x14ac:dyDescent="0.3">
      <c r="A484" s="1">
        <v>703706</v>
      </c>
      <c r="B484" s="1" t="s">
        <v>502</v>
      </c>
      <c r="C484" s="5" t="s">
        <v>15</v>
      </c>
      <c r="D484" s="2">
        <v>45019</v>
      </c>
      <c r="E484" s="2" t="s">
        <v>276</v>
      </c>
      <c r="F484" s="1">
        <v>14101</v>
      </c>
      <c r="G484" s="1" t="s">
        <v>277</v>
      </c>
      <c r="H484" s="1" t="s">
        <v>18</v>
      </c>
      <c r="J484" s="2" t="s">
        <v>278</v>
      </c>
      <c r="K484" s="1" t="s">
        <v>1372</v>
      </c>
      <c r="L484" s="1" t="s">
        <v>1372</v>
      </c>
      <c r="N484" s="1" t="str">
        <f t="shared" si="7"/>
        <v xml:space="preserve">LEIDJANE MARTINS </v>
      </c>
    </row>
    <row r="485" spans="1:14" x14ac:dyDescent="0.3">
      <c r="A485" s="1">
        <v>704795</v>
      </c>
      <c r="B485" s="1" t="s">
        <v>503</v>
      </c>
      <c r="C485" s="5" t="s">
        <v>15</v>
      </c>
      <c r="D485" s="2">
        <v>45572</v>
      </c>
      <c r="E485" s="2" t="s">
        <v>31</v>
      </c>
      <c r="F485" s="1">
        <v>52104</v>
      </c>
      <c r="G485" s="1" t="s">
        <v>17</v>
      </c>
      <c r="H485" s="1" t="s">
        <v>18</v>
      </c>
      <c r="J485" s="2" t="s">
        <v>19</v>
      </c>
      <c r="K485" s="1" t="s">
        <v>1368</v>
      </c>
      <c r="L485" s="1" t="s">
        <v>20</v>
      </c>
      <c r="N485" s="1" t="str">
        <f t="shared" si="7"/>
        <v>ALEX DIAS</v>
      </c>
    </row>
    <row r="486" spans="1:14" x14ac:dyDescent="0.3">
      <c r="A486" s="1">
        <v>705224</v>
      </c>
      <c r="B486" s="1" t="s">
        <v>1165</v>
      </c>
      <c r="C486" s="5" t="s">
        <v>15</v>
      </c>
      <c r="D486" s="2">
        <v>45734</v>
      </c>
      <c r="E486" s="2" t="s">
        <v>31</v>
      </c>
      <c r="F486" s="1">
        <v>22102</v>
      </c>
      <c r="G486" s="1" t="s">
        <v>68</v>
      </c>
      <c r="H486" s="1" t="s">
        <v>18</v>
      </c>
      <c r="J486" s="2" t="s">
        <v>167</v>
      </c>
      <c r="K486" s="1" t="s">
        <v>1371</v>
      </c>
      <c r="L486" s="1" t="s">
        <v>1509</v>
      </c>
      <c r="M486" s="1" t="s">
        <v>1383</v>
      </c>
      <c r="N486" s="1" t="str">
        <f t="shared" si="7"/>
        <v>WANDRES/FABIANO</v>
      </c>
    </row>
    <row r="487" spans="1:14" x14ac:dyDescent="0.3">
      <c r="A487" s="1">
        <v>705301</v>
      </c>
      <c r="B487" s="1" t="s">
        <v>1209</v>
      </c>
      <c r="C487" s="5" t="s">
        <v>15</v>
      </c>
      <c r="D487" s="2">
        <v>45762</v>
      </c>
      <c r="E487" s="2" t="s">
        <v>31</v>
      </c>
      <c r="F487" s="1">
        <v>22102</v>
      </c>
      <c r="G487" s="1" t="s">
        <v>68</v>
      </c>
      <c r="H487" s="1" t="s">
        <v>18</v>
      </c>
      <c r="J487" s="2" t="s">
        <v>81</v>
      </c>
      <c r="K487" s="1" t="s">
        <v>1371</v>
      </c>
      <c r="L487" s="1" t="s">
        <v>1509</v>
      </c>
      <c r="M487" s="1" t="s">
        <v>1379</v>
      </c>
      <c r="N487" s="1" t="str">
        <f t="shared" si="7"/>
        <v xml:space="preserve">EDSON/MARCELO LIMA </v>
      </c>
    </row>
    <row r="488" spans="1:14" x14ac:dyDescent="0.3">
      <c r="A488" s="1">
        <v>705793</v>
      </c>
      <c r="B488" s="1" t="s">
        <v>1526</v>
      </c>
      <c r="C488" s="5" t="s">
        <v>15</v>
      </c>
      <c r="D488" s="2">
        <v>46029</v>
      </c>
      <c r="E488" s="2" t="s">
        <v>31</v>
      </c>
      <c r="F488" s="1">
        <v>25102</v>
      </c>
      <c r="G488" s="1" t="s">
        <v>1153</v>
      </c>
      <c r="H488" s="1" t="s">
        <v>18</v>
      </c>
      <c r="J488" s="2" t="s">
        <v>19</v>
      </c>
      <c r="K488" s="1" t="s">
        <v>1368</v>
      </c>
      <c r="L488" s="1" t="s">
        <v>20</v>
      </c>
      <c r="N488" s="1" t="str">
        <f t="shared" si="7"/>
        <v>ALEX DIAS</v>
      </c>
    </row>
    <row r="489" spans="1:14" x14ac:dyDescent="0.3">
      <c r="A489" s="1">
        <v>703495</v>
      </c>
      <c r="B489" s="1" t="s">
        <v>505</v>
      </c>
      <c r="C489" s="5" t="s">
        <v>15</v>
      </c>
      <c r="D489" s="2">
        <v>44887</v>
      </c>
      <c r="E489" s="2" t="s">
        <v>31</v>
      </c>
      <c r="F489" s="1">
        <v>52104</v>
      </c>
      <c r="G489" s="1" t="s">
        <v>17</v>
      </c>
      <c r="H489" s="1" t="s">
        <v>18</v>
      </c>
      <c r="J489" s="2" t="s">
        <v>19</v>
      </c>
      <c r="K489" s="1" t="s">
        <v>1368</v>
      </c>
      <c r="L489" s="1" t="s">
        <v>20</v>
      </c>
      <c r="N489" s="1" t="str">
        <f t="shared" si="7"/>
        <v>ALEX DIAS</v>
      </c>
    </row>
    <row r="490" spans="1:14" x14ac:dyDescent="0.3">
      <c r="A490" s="1">
        <v>705066</v>
      </c>
      <c r="B490" s="1" t="s">
        <v>506</v>
      </c>
      <c r="C490" s="5" t="s">
        <v>15</v>
      </c>
      <c r="D490" s="2">
        <v>45670</v>
      </c>
      <c r="E490" s="2" t="s">
        <v>31</v>
      </c>
      <c r="F490" s="1">
        <v>25201</v>
      </c>
      <c r="G490" s="1" t="s">
        <v>89</v>
      </c>
      <c r="H490" s="1" t="s">
        <v>18</v>
      </c>
      <c r="J490" s="2" t="s">
        <v>37</v>
      </c>
      <c r="K490" s="1" t="s">
        <v>1368</v>
      </c>
      <c r="L490" s="1" t="s">
        <v>20</v>
      </c>
      <c r="N490" s="1" t="str">
        <f t="shared" si="7"/>
        <v>ALEX DIAS</v>
      </c>
    </row>
    <row r="491" spans="1:14" x14ac:dyDescent="0.3">
      <c r="A491" s="1">
        <v>701476</v>
      </c>
      <c r="B491" s="1" t="s">
        <v>509</v>
      </c>
      <c r="C491" s="5" t="s">
        <v>15</v>
      </c>
      <c r="D491" s="2">
        <v>41400</v>
      </c>
      <c r="E491" s="2" t="s">
        <v>105</v>
      </c>
      <c r="F491" s="1">
        <v>22102</v>
      </c>
      <c r="G491" s="1" t="s">
        <v>68</v>
      </c>
      <c r="H491" s="1" t="s">
        <v>18</v>
      </c>
      <c r="J491" s="2" t="s">
        <v>167</v>
      </c>
      <c r="K491" s="1" t="s">
        <v>1371</v>
      </c>
      <c r="L491" s="1" t="s">
        <v>1509</v>
      </c>
      <c r="M491" s="1" t="s">
        <v>1383</v>
      </c>
      <c r="N491" s="1" t="str">
        <f t="shared" si="7"/>
        <v>WANDRES/FABIANO</v>
      </c>
    </row>
    <row r="492" spans="1:14" x14ac:dyDescent="0.3">
      <c r="A492" s="1">
        <v>705796</v>
      </c>
      <c r="B492" s="1" t="s">
        <v>1527</v>
      </c>
      <c r="C492" s="5" t="s">
        <v>15</v>
      </c>
      <c r="D492" s="2">
        <v>46029</v>
      </c>
      <c r="E492" s="2" t="s">
        <v>31</v>
      </c>
      <c r="F492" s="1">
        <v>52202</v>
      </c>
      <c r="G492" s="1" t="s">
        <v>32</v>
      </c>
      <c r="H492" s="1" t="s">
        <v>18</v>
      </c>
      <c r="J492" s="2" t="s">
        <v>33</v>
      </c>
      <c r="K492" s="1" t="s">
        <v>1368</v>
      </c>
      <c r="L492" s="1" t="s">
        <v>20</v>
      </c>
      <c r="N492" s="1" t="str">
        <f t="shared" si="7"/>
        <v>ALEX DIAS</v>
      </c>
    </row>
    <row r="493" spans="1:14" x14ac:dyDescent="0.3">
      <c r="A493" s="1">
        <v>101347</v>
      </c>
      <c r="B493" s="1" t="s">
        <v>510</v>
      </c>
      <c r="C493" s="5" t="s">
        <v>15</v>
      </c>
      <c r="D493" s="2">
        <v>42905</v>
      </c>
      <c r="E493" s="2" t="s">
        <v>276</v>
      </c>
      <c r="F493" s="1">
        <v>14101</v>
      </c>
      <c r="G493" s="1" t="s">
        <v>277</v>
      </c>
      <c r="H493" s="1" t="s">
        <v>18</v>
      </c>
      <c r="J493" s="2" t="s">
        <v>278</v>
      </c>
      <c r="K493" s="1" t="s">
        <v>1372</v>
      </c>
      <c r="L493" s="1" t="s">
        <v>1372</v>
      </c>
      <c r="N493" s="1" t="str">
        <f t="shared" si="7"/>
        <v xml:space="preserve">LEIDJANE MARTINS </v>
      </c>
    </row>
    <row r="494" spans="1:14" x14ac:dyDescent="0.3">
      <c r="A494" s="1">
        <v>704132</v>
      </c>
      <c r="B494" s="1" t="s">
        <v>511</v>
      </c>
      <c r="C494" s="5" t="s">
        <v>15</v>
      </c>
      <c r="D494" s="2">
        <v>45244</v>
      </c>
      <c r="E494" s="2" t="s">
        <v>127</v>
      </c>
      <c r="F494" s="1">
        <v>22102</v>
      </c>
      <c r="G494" s="1" t="s">
        <v>68</v>
      </c>
      <c r="H494" s="1" t="s">
        <v>18</v>
      </c>
      <c r="J494" s="2" t="s">
        <v>94</v>
      </c>
      <c r="K494" s="1" t="s">
        <v>1371</v>
      </c>
      <c r="L494" s="1" t="s">
        <v>1378</v>
      </c>
      <c r="M494" s="1" t="s">
        <v>95</v>
      </c>
      <c r="N494" s="1" t="str">
        <f t="shared" si="7"/>
        <v>LUAN ABADIA</v>
      </c>
    </row>
    <row r="495" spans="1:14" x14ac:dyDescent="0.3">
      <c r="A495" s="1">
        <v>703009</v>
      </c>
      <c r="B495" s="1" t="s">
        <v>1042</v>
      </c>
      <c r="C495" s="5" t="s">
        <v>15</v>
      </c>
      <c r="D495" s="2">
        <v>44691</v>
      </c>
      <c r="E495" s="2" t="s">
        <v>457</v>
      </c>
      <c r="F495" s="1">
        <v>22102</v>
      </c>
      <c r="G495" s="1" t="s">
        <v>68</v>
      </c>
      <c r="H495" s="1" t="s">
        <v>18</v>
      </c>
      <c r="J495" s="2" t="s">
        <v>81</v>
      </c>
      <c r="K495" s="1" t="s">
        <v>1371</v>
      </c>
      <c r="L495" s="1" t="s">
        <v>1509</v>
      </c>
      <c r="M495" s="1" t="s">
        <v>1379</v>
      </c>
      <c r="N495" s="1" t="str">
        <f t="shared" si="7"/>
        <v xml:space="preserve">EDSON/MARCELO LIMA </v>
      </c>
    </row>
    <row r="496" spans="1:14" x14ac:dyDescent="0.3">
      <c r="A496" s="1">
        <v>704940</v>
      </c>
      <c r="B496" s="1" t="s">
        <v>512</v>
      </c>
      <c r="C496" s="5" t="s">
        <v>15</v>
      </c>
      <c r="D496" s="2">
        <v>45607</v>
      </c>
      <c r="E496" s="2" t="s">
        <v>31</v>
      </c>
      <c r="F496" s="1">
        <v>22102</v>
      </c>
      <c r="G496" s="1" t="s">
        <v>68</v>
      </c>
      <c r="H496" s="1" t="s">
        <v>18</v>
      </c>
      <c r="J496" s="2" t="s">
        <v>81</v>
      </c>
      <c r="K496" s="1" t="s">
        <v>1371</v>
      </c>
      <c r="L496" s="1" t="s">
        <v>1509</v>
      </c>
      <c r="M496" s="1" t="s">
        <v>1379</v>
      </c>
      <c r="N496" s="1" t="str">
        <f t="shared" si="7"/>
        <v xml:space="preserve">EDSON/MARCELO LIMA </v>
      </c>
    </row>
    <row r="497" spans="1:14" x14ac:dyDescent="0.3">
      <c r="A497" s="1">
        <v>705222</v>
      </c>
      <c r="B497" s="1" t="s">
        <v>1166</v>
      </c>
      <c r="C497" s="5" t="s">
        <v>15</v>
      </c>
      <c r="D497" s="2">
        <v>45734</v>
      </c>
      <c r="E497" s="2" t="s">
        <v>31</v>
      </c>
      <c r="F497" s="1">
        <v>22101</v>
      </c>
      <c r="G497" s="1" t="s">
        <v>122</v>
      </c>
      <c r="H497" s="1" t="s">
        <v>18</v>
      </c>
      <c r="J497" s="2" t="s">
        <v>167</v>
      </c>
      <c r="K497" s="1" t="s">
        <v>1371</v>
      </c>
      <c r="L497" s="1" t="s">
        <v>1509</v>
      </c>
      <c r="M497" s="1" t="s">
        <v>1383</v>
      </c>
      <c r="N497" s="1" t="str">
        <f t="shared" si="7"/>
        <v>WANDRES/FABIANO</v>
      </c>
    </row>
    <row r="498" spans="1:14" x14ac:dyDescent="0.3">
      <c r="A498" s="1">
        <v>704359</v>
      </c>
      <c r="B498" s="1" t="s">
        <v>513</v>
      </c>
      <c r="C498" s="5" t="s">
        <v>15</v>
      </c>
      <c r="D498" s="2">
        <v>45384</v>
      </c>
      <c r="E498" s="2" t="s">
        <v>91</v>
      </c>
      <c r="F498" s="1">
        <v>34201</v>
      </c>
      <c r="G498" s="1" t="s">
        <v>84</v>
      </c>
      <c r="H498" s="1" t="s">
        <v>18</v>
      </c>
      <c r="J498" s="2" t="s">
        <v>85</v>
      </c>
      <c r="K498" s="1" t="s">
        <v>1371</v>
      </c>
      <c r="L498" s="1" t="s">
        <v>1371</v>
      </c>
      <c r="M498" s="1" t="s">
        <v>1380</v>
      </c>
      <c r="N498" s="1" t="str">
        <f t="shared" si="7"/>
        <v xml:space="preserve">LEONARDO SANTOS </v>
      </c>
    </row>
    <row r="499" spans="1:14" x14ac:dyDescent="0.3">
      <c r="A499" s="1">
        <v>705743</v>
      </c>
      <c r="B499" s="1" t="s">
        <v>1043</v>
      </c>
      <c r="C499" s="5" t="s">
        <v>92</v>
      </c>
      <c r="D499" s="2">
        <v>45993</v>
      </c>
      <c r="E499" s="2" t="s">
        <v>31</v>
      </c>
      <c r="F499" s="1">
        <v>22102</v>
      </c>
      <c r="G499" s="1" t="s">
        <v>68</v>
      </c>
      <c r="H499" s="1" t="s">
        <v>18</v>
      </c>
      <c r="I499" s="2">
        <v>46031</v>
      </c>
      <c r="J499" s="2" t="s">
        <v>81</v>
      </c>
      <c r="K499" s="1" t="s">
        <v>1371</v>
      </c>
      <c r="L499" s="1" t="s">
        <v>1509</v>
      </c>
      <c r="M499" s="1" t="s">
        <v>1379</v>
      </c>
      <c r="N499" s="1" t="str">
        <f t="shared" si="7"/>
        <v xml:space="preserve">EDSON/MARCELO LIMA </v>
      </c>
    </row>
    <row r="500" spans="1:14" x14ac:dyDescent="0.3">
      <c r="A500" s="1">
        <v>701016</v>
      </c>
      <c r="B500" s="1" t="s">
        <v>514</v>
      </c>
      <c r="C500" s="5" t="s">
        <v>15</v>
      </c>
      <c r="D500" s="2">
        <v>41764</v>
      </c>
      <c r="E500" s="2" t="s">
        <v>515</v>
      </c>
      <c r="F500" s="1">
        <v>22102</v>
      </c>
      <c r="G500" s="1" t="s">
        <v>68</v>
      </c>
      <c r="H500" s="1" t="s">
        <v>18</v>
      </c>
      <c r="J500" s="2" t="s">
        <v>81</v>
      </c>
      <c r="K500" s="1" t="s">
        <v>1371</v>
      </c>
      <c r="L500" s="1" t="s">
        <v>1509</v>
      </c>
      <c r="M500" s="1" t="s">
        <v>1379</v>
      </c>
      <c r="N500" s="1" t="str">
        <f t="shared" si="7"/>
        <v xml:space="preserve">EDSON/MARCELO LIMA </v>
      </c>
    </row>
    <row r="501" spans="1:14" x14ac:dyDescent="0.3">
      <c r="A501" s="1">
        <v>704692</v>
      </c>
      <c r="B501" s="1" t="s">
        <v>1047</v>
      </c>
      <c r="C501" s="5" t="s">
        <v>15</v>
      </c>
      <c r="D501" s="2">
        <v>45510</v>
      </c>
      <c r="E501" s="2" t="s">
        <v>31</v>
      </c>
      <c r="F501" s="1">
        <v>22102</v>
      </c>
      <c r="G501" s="1" t="s">
        <v>68</v>
      </c>
      <c r="H501" s="1" t="s">
        <v>18</v>
      </c>
      <c r="J501" s="2" t="s">
        <v>81</v>
      </c>
      <c r="K501" s="1" t="s">
        <v>1371</v>
      </c>
      <c r="L501" s="1" t="s">
        <v>1509</v>
      </c>
      <c r="M501" s="1" t="s">
        <v>1379</v>
      </c>
      <c r="N501" s="1" t="str">
        <f t="shared" si="7"/>
        <v xml:space="preserve">EDSON/MARCELO LIMA </v>
      </c>
    </row>
    <row r="502" spans="1:14" x14ac:dyDescent="0.3">
      <c r="A502" s="1">
        <v>703285</v>
      </c>
      <c r="B502" s="1" t="s">
        <v>516</v>
      </c>
      <c r="C502" s="5" t="s">
        <v>15</v>
      </c>
      <c r="D502" s="2">
        <v>44788</v>
      </c>
      <c r="E502" s="2" t="s">
        <v>185</v>
      </c>
      <c r="F502" s="1">
        <v>33101</v>
      </c>
      <c r="G502" s="1" t="s">
        <v>186</v>
      </c>
      <c r="H502" s="1" t="s">
        <v>18</v>
      </c>
      <c r="J502" s="2" t="s">
        <v>44</v>
      </c>
      <c r="K502" s="1" t="s">
        <v>25</v>
      </c>
      <c r="L502" s="1" t="s">
        <v>1374</v>
      </c>
      <c r="M502" s="1" t="s">
        <v>1385</v>
      </c>
      <c r="N502" s="1" t="str">
        <f t="shared" si="7"/>
        <v>TALLES RYAN</v>
      </c>
    </row>
    <row r="503" spans="1:14" x14ac:dyDescent="0.3">
      <c r="A503" s="1">
        <v>101445</v>
      </c>
      <c r="B503" s="1" t="s">
        <v>517</v>
      </c>
      <c r="C503" s="5" t="s">
        <v>15</v>
      </c>
      <c r="D503" s="2">
        <v>42954</v>
      </c>
      <c r="E503" s="2" t="s">
        <v>160</v>
      </c>
      <c r="F503" s="1">
        <v>32101</v>
      </c>
      <c r="G503" s="1" t="s">
        <v>23</v>
      </c>
      <c r="H503" s="1" t="s">
        <v>18</v>
      </c>
      <c r="J503" s="2" t="s">
        <v>24</v>
      </c>
      <c r="K503" s="1" t="s">
        <v>25</v>
      </c>
      <c r="L503" s="1" t="s">
        <v>1369</v>
      </c>
      <c r="M503" s="1" t="s">
        <v>1370</v>
      </c>
      <c r="N503" s="1" t="str">
        <f t="shared" si="7"/>
        <v>JUNIO COSTA</v>
      </c>
    </row>
    <row r="504" spans="1:14" x14ac:dyDescent="0.3">
      <c r="A504" s="1">
        <v>702675</v>
      </c>
      <c r="B504" s="1" t="s">
        <v>518</v>
      </c>
      <c r="C504" s="5" t="s">
        <v>15</v>
      </c>
      <c r="D504" s="2">
        <v>44517</v>
      </c>
      <c r="E504" s="2" t="s">
        <v>166</v>
      </c>
      <c r="F504" s="1">
        <v>22102</v>
      </c>
      <c r="G504" s="1" t="s">
        <v>68</v>
      </c>
      <c r="H504" s="1" t="s">
        <v>18</v>
      </c>
      <c r="J504" s="2" t="s">
        <v>69</v>
      </c>
      <c r="K504" s="1" t="s">
        <v>1371</v>
      </c>
      <c r="L504" s="1" t="s">
        <v>1378</v>
      </c>
      <c r="N504" s="1" t="str">
        <f t="shared" si="7"/>
        <v xml:space="preserve">JOÃO KOMURA </v>
      </c>
    </row>
    <row r="505" spans="1:14" x14ac:dyDescent="0.3">
      <c r="A505" s="1">
        <v>704179</v>
      </c>
      <c r="B505" s="1" t="s">
        <v>519</v>
      </c>
      <c r="C505" s="5" t="s">
        <v>15</v>
      </c>
      <c r="D505" s="2">
        <v>45300</v>
      </c>
      <c r="E505" s="2" t="s">
        <v>67</v>
      </c>
      <c r="F505" s="1">
        <v>22102</v>
      </c>
      <c r="G505" s="1" t="s">
        <v>68</v>
      </c>
      <c r="H505" s="1" t="s">
        <v>18</v>
      </c>
      <c r="J505" s="2" t="s">
        <v>94</v>
      </c>
      <c r="K505" s="1" t="s">
        <v>1371</v>
      </c>
      <c r="L505" s="1" t="s">
        <v>1378</v>
      </c>
      <c r="M505" s="1" t="s">
        <v>95</v>
      </c>
      <c r="N505" s="1" t="str">
        <f t="shared" si="7"/>
        <v>LUAN ABADIA</v>
      </c>
    </row>
    <row r="506" spans="1:14" x14ac:dyDescent="0.3">
      <c r="A506" s="1">
        <v>705062</v>
      </c>
      <c r="B506" s="1" t="s">
        <v>520</v>
      </c>
      <c r="C506" s="5" t="s">
        <v>15</v>
      </c>
      <c r="D506" s="2">
        <v>45664</v>
      </c>
      <c r="E506" s="2" t="s">
        <v>138</v>
      </c>
      <c r="F506" s="1">
        <v>22102</v>
      </c>
      <c r="G506" s="1" t="s">
        <v>68</v>
      </c>
      <c r="H506" s="1" t="s">
        <v>18</v>
      </c>
      <c r="J506" s="2" t="s">
        <v>142</v>
      </c>
      <c r="K506" s="1" t="s">
        <v>1371</v>
      </c>
      <c r="L506" s="1" t="s">
        <v>1509</v>
      </c>
      <c r="M506" s="1" t="s">
        <v>143</v>
      </c>
      <c r="N506" s="1" t="str">
        <f t="shared" si="7"/>
        <v>TALLES BALIZA</v>
      </c>
    </row>
    <row r="507" spans="1:14" x14ac:dyDescent="0.3">
      <c r="A507" s="1">
        <v>705788</v>
      </c>
      <c r="B507" s="1" t="s">
        <v>1528</v>
      </c>
      <c r="C507" s="5" t="s">
        <v>15</v>
      </c>
      <c r="D507" s="2">
        <v>46029</v>
      </c>
      <c r="E507" s="2" t="s">
        <v>31</v>
      </c>
      <c r="F507" s="1">
        <v>25102</v>
      </c>
      <c r="G507" s="1" t="s">
        <v>1153</v>
      </c>
      <c r="H507" s="1" t="s">
        <v>18</v>
      </c>
      <c r="J507" s="2" t="s">
        <v>19</v>
      </c>
      <c r="K507" s="1" t="s">
        <v>1368</v>
      </c>
      <c r="L507" s="1" t="s">
        <v>20</v>
      </c>
      <c r="N507" s="1" t="str">
        <f t="shared" si="7"/>
        <v>ALEX DIAS</v>
      </c>
    </row>
    <row r="508" spans="1:14" x14ac:dyDescent="0.3">
      <c r="A508" s="1">
        <v>703682</v>
      </c>
      <c r="B508" s="1" t="s">
        <v>521</v>
      </c>
      <c r="C508" s="5" t="s">
        <v>15</v>
      </c>
      <c r="D508" s="2">
        <v>45019</v>
      </c>
      <c r="E508" s="2" t="s">
        <v>109</v>
      </c>
      <c r="F508" s="1">
        <v>32101</v>
      </c>
      <c r="G508" s="1" t="s">
        <v>23</v>
      </c>
      <c r="H508" s="1" t="s">
        <v>18</v>
      </c>
      <c r="J508" s="2" t="s">
        <v>24</v>
      </c>
      <c r="K508" s="1" t="s">
        <v>25</v>
      </c>
      <c r="L508" s="1" t="s">
        <v>1369</v>
      </c>
      <c r="M508" s="1" t="s">
        <v>1370</v>
      </c>
      <c r="N508" s="1" t="str">
        <f t="shared" si="7"/>
        <v>JUNIO COSTA</v>
      </c>
    </row>
    <row r="509" spans="1:14" x14ac:dyDescent="0.3">
      <c r="A509" s="1">
        <v>705575</v>
      </c>
      <c r="B509" s="1" t="s">
        <v>1323</v>
      </c>
      <c r="C509" s="5" t="s">
        <v>15</v>
      </c>
      <c r="D509" s="2">
        <v>45874</v>
      </c>
      <c r="E509" s="2" t="s">
        <v>138</v>
      </c>
      <c r="F509" s="1">
        <v>22102</v>
      </c>
      <c r="G509" s="1" t="s">
        <v>68</v>
      </c>
      <c r="H509" s="1" t="s">
        <v>18</v>
      </c>
      <c r="J509" s="2" t="s">
        <v>81</v>
      </c>
      <c r="K509" s="1" t="s">
        <v>1371</v>
      </c>
      <c r="L509" s="1" t="s">
        <v>1509</v>
      </c>
      <c r="M509" s="1" t="s">
        <v>1379</v>
      </c>
      <c r="N509" s="1" t="str">
        <f t="shared" si="7"/>
        <v xml:space="preserve">EDSON/MARCELO LIMA </v>
      </c>
    </row>
    <row r="510" spans="1:14" x14ac:dyDescent="0.3">
      <c r="A510" s="1">
        <v>705808</v>
      </c>
      <c r="B510" s="1" t="s">
        <v>1529</v>
      </c>
      <c r="C510" s="5" t="s">
        <v>15</v>
      </c>
      <c r="D510" s="2">
        <v>46035</v>
      </c>
      <c r="E510" s="2" t="s">
        <v>31</v>
      </c>
      <c r="F510" s="1">
        <v>25102</v>
      </c>
      <c r="G510" s="1" t="s">
        <v>1153</v>
      </c>
      <c r="H510" s="1" t="s">
        <v>18</v>
      </c>
      <c r="J510" s="2" t="s">
        <v>19</v>
      </c>
      <c r="K510" s="1" t="s">
        <v>1368</v>
      </c>
      <c r="L510" s="1" t="s">
        <v>20</v>
      </c>
      <c r="N510" s="1" t="str">
        <f t="shared" si="7"/>
        <v>ALEX DIAS</v>
      </c>
    </row>
    <row r="511" spans="1:14" x14ac:dyDescent="0.3">
      <c r="A511" s="1">
        <v>704741</v>
      </c>
      <c r="B511" s="1" t="s">
        <v>522</v>
      </c>
      <c r="C511" s="5" t="s">
        <v>15</v>
      </c>
      <c r="D511" s="2">
        <v>45538</v>
      </c>
      <c r="E511" s="2" t="s">
        <v>87</v>
      </c>
      <c r="F511" s="1">
        <v>33301</v>
      </c>
      <c r="G511" s="1" t="s">
        <v>64</v>
      </c>
      <c r="H511" s="1" t="s">
        <v>18</v>
      </c>
      <c r="J511" s="2" t="s">
        <v>65</v>
      </c>
      <c r="K511" s="1" t="s">
        <v>25</v>
      </c>
      <c r="L511" s="1" t="s">
        <v>1374</v>
      </c>
      <c r="M511" s="1" t="s">
        <v>1375</v>
      </c>
      <c r="N511" s="1" t="str">
        <f t="shared" si="7"/>
        <v>ANDRÉ CUBA</v>
      </c>
    </row>
    <row r="512" spans="1:14" x14ac:dyDescent="0.3">
      <c r="A512" s="1">
        <v>703016</v>
      </c>
      <c r="B512" s="1" t="s">
        <v>523</v>
      </c>
      <c r="C512" s="5" t="s">
        <v>15</v>
      </c>
      <c r="D512" s="2">
        <v>44691</v>
      </c>
      <c r="E512" s="2" t="s">
        <v>60</v>
      </c>
      <c r="F512" s="1">
        <v>22102</v>
      </c>
      <c r="G512" s="1" t="s">
        <v>68</v>
      </c>
      <c r="H512" s="1" t="s">
        <v>18</v>
      </c>
      <c r="J512" s="2" t="s">
        <v>81</v>
      </c>
      <c r="K512" s="1" t="s">
        <v>1371</v>
      </c>
      <c r="L512" s="1" t="s">
        <v>1509</v>
      </c>
      <c r="M512" s="1" t="s">
        <v>1379</v>
      </c>
      <c r="N512" s="1" t="str">
        <f t="shared" si="7"/>
        <v xml:space="preserve">EDSON/MARCELO LIMA </v>
      </c>
    </row>
    <row r="513" spans="1:14" x14ac:dyDescent="0.3">
      <c r="A513" s="1">
        <v>705706</v>
      </c>
      <c r="B513" s="1" t="s">
        <v>524</v>
      </c>
      <c r="C513" s="5" t="s">
        <v>15</v>
      </c>
      <c r="D513" s="2">
        <v>45971</v>
      </c>
      <c r="E513" s="2" t="s">
        <v>31</v>
      </c>
      <c r="F513" s="1">
        <v>25102</v>
      </c>
      <c r="G513" s="1" t="s">
        <v>1153</v>
      </c>
      <c r="H513" s="1" t="s">
        <v>18</v>
      </c>
      <c r="J513" s="2" t="s">
        <v>19</v>
      </c>
      <c r="K513" s="1" t="s">
        <v>1368</v>
      </c>
      <c r="L513" s="1" t="s">
        <v>20</v>
      </c>
      <c r="N513" s="1" t="str">
        <f t="shared" si="7"/>
        <v>ALEX DIAS</v>
      </c>
    </row>
    <row r="514" spans="1:14" x14ac:dyDescent="0.3">
      <c r="A514" s="1">
        <v>704646</v>
      </c>
      <c r="B514" s="1" t="s">
        <v>525</v>
      </c>
      <c r="C514" s="5" t="s">
        <v>15</v>
      </c>
      <c r="D514" s="2">
        <v>45476</v>
      </c>
      <c r="E514" s="2" t="s">
        <v>27</v>
      </c>
      <c r="F514" s="1">
        <v>39304</v>
      </c>
      <c r="G514" s="1" t="s">
        <v>56</v>
      </c>
      <c r="H514" s="1" t="s">
        <v>18</v>
      </c>
      <c r="J514" s="2" t="s">
        <v>57</v>
      </c>
      <c r="K514" s="1" t="s">
        <v>1371</v>
      </c>
      <c r="L514" s="1" t="s">
        <v>1376</v>
      </c>
      <c r="M514" s="1" t="s">
        <v>1377</v>
      </c>
      <c r="N514" s="1" t="str">
        <f t="shared" si="7"/>
        <v>WARLEY RIBEIRO</v>
      </c>
    </row>
    <row r="515" spans="1:14" x14ac:dyDescent="0.3">
      <c r="A515" s="1">
        <v>702124</v>
      </c>
      <c r="B515" s="1" t="s">
        <v>526</v>
      </c>
      <c r="C515" s="5" t="s">
        <v>15</v>
      </c>
      <c r="D515" s="2">
        <v>44298</v>
      </c>
      <c r="E515" s="2" t="s">
        <v>292</v>
      </c>
      <c r="F515" s="1">
        <v>39304</v>
      </c>
      <c r="G515" s="1" t="s">
        <v>56</v>
      </c>
      <c r="H515" s="1" t="s">
        <v>18</v>
      </c>
      <c r="J515" s="2" t="s">
        <v>57</v>
      </c>
      <c r="K515" s="1" t="s">
        <v>1371</v>
      </c>
      <c r="L515" s="1" t="s">
        <v>1376</v>
      </c>
      <c r="M515" s="1" t="s">
        <v>1377</v>
      </c>
      <c r="N515" s="1" t="str">
        <f t="shared" ref="N515:N578" si="8">IF(M515&lt;&gt;"", M515, IF(L515&lt;&gt;"", L515, K515))</f>
        <v>WARLEY RIBEIRO</v>
      </c>
    </row>
    <row r="516" spans="1:14" x14ac:dyDescent="0.3">
      <c r="A516" s="1">
        <v>105712</v>
      </c>
      <c r="B516" s="1" t="s">
        <v>527</v>
      </c>
      <c r="C516" s="5" t="s">
        <v>15</v>
      </c>
      <c r="D516" s="2">
        <v>43136</v>
      </c>
      <c r="E516" s="2" t="s">
        <v>60</v>
      </c>
      <c r="F516" s="1">
        <v>22102</v>
      </c>
      <c r="G516" s="1" t="s">
        <v>68</v>
      </c>
      <c r="H516" s="1" t="s">
        <v>18</v>
      </c>
      <c r="J516" s="2" t="s">
        <v>81</v>
      </c>
      <c r="K516" s="1" t="s">
        <v>1371</v>
      </c>
      <c r="L516" s="1" t="s">
        <v>1509</v>
      </c>
      <c r="M516" s="1" t="s">
        <v>1379</v>
      </c>
      <c r="N516" s="1" t="str">
        <f t="shared" si="8"/>
        <v xml:space="preserve">EDSON/MARCELO LIMA </v>
      </c>
    </row>
    <row r="517" spans="1:14" x14ac:dyDescent="0.3">
      <c r="A517" s="1">
        <v>705510</v>
      </c>
      <c r="B517" s="1" t="s">
        <v>1301</v>
      </c>
      <c r="C517" s="5" t="s">
        <v>15</v>
      </c>
      <c r="D517" s="2">
        <v>45847</v>
      </c>
      <c r="E517" s="2" t="s">
        <v>31</v>
      </c>
      <c r="F517" s="1">
        <v>39301</v>
      </c>
      <c r="G517" s="1" t="s">
        <v>73</v>
      </c>
      <c r="H517" s="1" t="s">
        <v>18</v>
      </c>
      <c r="J517" s="2" t="s">
        <v>74</v>
      </c>
      <c r="K517" s="1" t="s">
        <v>1371</v>
      </c>
      <c r="L517" s="1" t="s">
        <v>1376</v>
      </c>
      <c r="M517" s="1" t="s">
        <v>75</v>
      </c>
      <c r="N517" s="1" t="str">
        <f t="shared" si="8"/>
        <v>ISAC NONATO</v>
      </c>
    </row>
    <row r="518" spans="1:14" x14ac:dyDescent="0.3">
      <c r="A518" s="1">
        <v>705248</v>
      </c>
      <c r="B518" s="1" t="s">
        <v>1186</v>
      </c>
      <c r="C518" s="5" t="s">
        <v>15</v>
      </c>
      <c r="D518" s="2">
        <v>45762</v>
      </c>
      <c r="E518" s="2" t="s">
        <v>31</v>
      </c>
      <c r="F518" s="1">
        <v>39304</v>
      </c>
      <c r="G518" s="1" t="s">
        <v>56</v>
      </c>
      <c r="H518" s="1" t="s">
        <v>18</v>
      </c>
      <c r="J518" s="2" t="s">
        <v>57</v>
      </c>
      <c r="K518" s="1" t="s">
        <v>1371</v>
      </c>
      <c r="L518" s="1" t="s">
        <v>1376</v>
      </c>
      <c r="M518" s="1" t="s">
        <v>1377</v>
      </c>
      <c r="N518" s="1" t="str">
        <f t="shared" si="8"/>
        <v>WARLEY RIBEIRO</v>
      </c>
    </row>
    <row r="519" spans="1:14" x14ac:dyDescent="0.3">
      <c r="A519" s="1">
        <v>705403</v>
      </c>
      <c r="B519" s="1" t="s">
        <v>1229</v>
      </c>
      <c r="C519" s="5" t="s">
        <v>15</v>
      </c>
      <c r="D519" s="2">
        <v>45790</v>
      </c>
      <c r="E519" s="2" t="s">
        <v>249</v>
      </c>
      <c r="F519" s="1">
        <v>37101</v>
      </c>
      <c r="G519" s="1" t="s">
        <v>214</v>
      </c>
      <c r="H519" s="1" t="s">
        <v>18</v>
      </c>
      <c r="J519" s="2" t="s">
        <v>239</v>
      </c>
      <c r="K519" s="1" t="s">
        <v>216</v>
      </c>
      <c r="L519" s="1" t="s">
        <v>216</v>
      </c>
      <c r="N519" s="1" t="str">
        <f t="shared" si="8"/>
        <v>CARSON NEVES</v>
      </c>
    </row>
    <row r="520" spans="1:14" x14ac:dyDescent="0.3">
      <c r="A520" s="1">
        <v>705069</v>
      </c>
      <c r="B520" s="1" t="s">
        <v>528</v>
      </c>
      <c r="C520" s="5" t="s">
        <v>15</v>
      </c>
      <c r="D520" s="2">
        <v>45670</v>
      </c>
      <c r="E520" s="2" t="s">
        <v>22</v>
      </c>
      <c r="F520" s="1">
        <v>34101</v>
      </c>
      <c r="G520" s="1" t="s">
        <v>43</v>
      </c>
      <c r="H520" s="1" t="s">
        <v>18</v>
      </c>
      <c r="J520" s="2" t="s">
        <v>237</v>
      </c>
      <c r="K520" s="1" t="s">
        <v>25</v>
      </c>
      <c r="L520" s="1" t="s">
        <v>1374</v>
      </c>
      <c r="M520" s="1" t="s">
        <v>1384</v>
      </c>
      <c r="N520" s="1" t="str">
        <f t="shared" si="8"/>
        <v xml:space="preserve">MARCOS VINICIUS </v>
      </c>
    </row>
    <row r="521" spans="1:14" x14ac:dyDescent="0.3">
      <c r="A521" s="1">
        <v>703611</v>
      </c>
      <c r="B521" s="1" t="s">
        <v>529</v>
      </c>
      <c r="C521" s="5" t="s">
        <v>15</v>
      </c>
      <c r="D521" s="2">
        <v>44991</v>
      </c>
      <c r="E521" s="2" t="s">
        <v>22</v>
      </c>
      <c r="F521" s="1">
        <v>34101</v>
      </c>
      <c r="G521" s="1" t="s">
        <v>43</v>
      </c>
      <c r="H521" s="1" t="s">
        <v>18</v>
      </c>
      <c r="J521" s="2" t="s">
        <v>237</v>
      </c>
      <c r="K521" s="1" t="s">
        <v>25</v>
      </c>
      <c r="L521" s="1" t="s">
        <v>1374</v>
      </c>
      <c r="M521" s="1" t="s">
        <v>1384</v>
      </c>
      <c r="N521" s="1" t="str">
        <f t="shared" si="8"/>
        <v xml:space="preserve">MARCOS VINICIUS </v>
      </c>
    </row>
    <row r="522" spans="1:14" x14ac:dyDescent="0.3">
      <c r="A522" s="1">
        <v>705117</v>
      </c>
      <c r="B522" s="1" t="s">
        <v>530</v>
      </c>
      <c r="C522" s="5" t="s">
        <v>15</v>
      </c>
      <c r="D522" s="2">
        <v>45678</v>
      </c>
      <c r="E522" s="2" t="s">
        <v>31</v>
      </c>
      <c r="F522" s="1">
        <v>25201</v>
      </c>
      <c r="G522" s="1" t="s">
        <v>89</v>
      </c>
      <c r="H522" s="1" t="s">
        <v>18</v>
      </c>
      <c r="J522" s="2" t="s">
        <v>37</v>
      </c>
      <c r="K522" s="1" t="s">
        <v>1368</v>
      </c>
      <c r="L522" s="1" t="s">
        <v>20</v>
      </c>
      <c r="N522" s="1" t="str">
        <f t="shared" si="8"/>
        <v>ALEX DIAS</v>
      </c>
    </row>
    <row r="523" spans="1:14" x14ac:dyDescent="0.3">
      <c r="A523" s="1">
        <v>700860</v>
      </c>
      <c r="B523" s="1" t="s">
        <v>531</v>
      </c>
      <c r="C523" s="5" t="s">
        <v>15</v>
      </c>
      <c r="D523" s="2">
        <v>43507</v>
      </c>
      <c r="E523" s="2" t="s">
        <v>230</v>
      </c>
      <c r="F523" s="1">
        <v>38101</v>
      </c>
      <c r="G523" s="1" t="s">
        <v>35</v>
      </c>
      <c r="H523" s="1" t="s">
        <v>18</v>
      </c>
      <c r="J523" s="2" t="s">
        <v>36</v>
      </c>
      <c r="K523" s="1" t="s">
        <v>1372</v>
      </c>
      <c r="L523" s="1" t="s">
        <v>1372</v>
      </c>
      <c r="M523" s="1" t="s">
        <v>1373</v>
      </c>
      <c r="N523" s="1" t="str">
        <f t="shared" si="8"/>
        <v>DENIS ACASSIO</v>
      </c>
    </row>
    <row r="524" spans="1:14" x14ac:dyDescent="0.3">
      <c r="A524" s="1">
        <v>100263</v>
      </c>
      <c r="B524" s="1" t="s">
        <v>532</v>
      </c>
      <c r="C524" s="5" t="s">
        <v>15</v>
      </c>
      <c r="D524" s="2">
        <v>41736</v>
      </c>
      <c r="E524" s="2" t="s">
        <v>158</v>
      </c>
      <c r="F524" s="1">
        <v>38101</v>
      </c>
      <c r="G524" s="1" t="s">
        <v>35</v>
      </c>
      <c r="H524" s="1" t="s">
        <v>18</v>
      </c>
      <c r="J524" s="2" t="s">
        <v>36</v>
      </c>
      <c r="K524" s="1" t="s">
        <v>1372</v>
      </c>
      <c r="L524" s="1" t="s">
        <v>1372</v>
      </c>
      <c r="M524" s="1" t="s">
        <v>1373</v>
      </c>
      <c r="N524" s="1" t="str">
        <f t="shared" si="8"/>
        <v>DENIS ACASSIO</v>
      </c>
    </row>
    <row r="525" spans="1:14" x14ac:dyDescent="0.3">
      <c r="A525" s="1">
        <v>705705</v>
      </c>
      <c r="B525" s="1" t="s">
        <v>1455</v>
      </c>
      <c r="C525" s="5" t="s">
        <v>15</v>
      </c>
      <c r="D525" s="2">
        <v>45971</v>
      </c>
      <c r="E525" s="2" t="s">
        <v>31</v>
      </c>
      <c r="F525" s="1">
        <v>25102</v>
      </c>
      <c r="G525" s="1" t="s">
        <v>1153</v>
      </c>
      <c r="H525" s="1" t="s">
        <v>18</v>
      </c>
      <c r="J525" s="2" t="s">
        <v>19</v>
      </c>
      <c r="K525" s="1" t="s">
        <v>1368</v>
      </c>
      <c r="L525" s="1" t="s">
        <v>20</v>
      </c>
      <c r="N525" s="1" t="str">
        <f t="shared" si="8"/>
        <v>ALEX DIAS</v>
      </c>
    </row>
    <row r="526" spans="1:14" x14ac:dyDescent="0.3">
      <c r="A526" s="1">
        <v>705730</v>
      </c>
      <c r="B526" s="1" t="s">
        <v>1456</v>
      </c>
      <c r="C526" s="5" t="s">
        <v>15</v>
      </c>
      <c r="D526" s="2">
        <v>45972</v>
      </c>
      <c r="E526" s="2" t="s">
        <v>31</v>
      </c>
      <c r="F526" s="1">
        <v>25102</v>
      </c>
      <c r="G526" s="1" t="s">
        <v>1153</v>
      </c>
      <c r="H526" s="1" t="s">
        <v>18</v>
      </c>
      <c r="J526" s="2" t="s">
        <v>19</v>
      </c>
      <c r="K526" s="1" t="s">
        <v>1368</v>
      </c>
      <c r="L526" s="1" t="s">
        <v>20</v>
      </c>
      <c r="N526" s="1" t="str">
        <f t="shared" si="8"/>
        <v>ALEX DIAS</v>
      </c>
    </row>
    <row r="527" spans="1:14" x14ac:dyDescent="0.3">
      <c r="A527" s="1">
        <v>100077</v>
      </c>
      <c r="B527" s="1" t="s">
        <v>533</v>
      </c>
      <c r="C527" s="5" t="s">
        <v>15</v>
      </c>
      <c r="D527" s="2">
        <v>40941</v>
      </c>
      <c r="E527" s="2" t="s">
        <v>158</v>
      </c>
      <c r="F527" s="1">
        <v>38101</v>
      </c>
      <c r="G527" s="1" t="s">
        <v>35</v>
      </c>
      <c r="H527" s="1" t="s">
        <v>18</v>
      </c>
      <c r="J527" s="2" t="s">
        <v>36</v>
      </c>
      <c r="K527" s="1" t="s">
        <v>1372</v>
      </c>
      <c r="L527" s="1" t="s">
        <v>1372</v>
      </c>
      <c r="M527" s="1" t="s">
        <v>1373</v>
      </c>
      <c r="N527" s="1" t="str">
        <f t="shared" si="8"/>
        <v>DENIS ACASSIO</v>
      </c>
    </row>
    <row r="528" spans="1:14" x14ac:dyDescent="0.3">
      <c r="A528" s="1">
        <v>704913</v>
      </c>
      <c r="B528" s="1" t="s">
        <v>1072</v>
      </c>
      <c r="C528" s="5" t="s">
        <v>15</v>
      </c>
      <c r="D528" s="2">
        <v>45601</v>
      </c>
      <c r="E528" s="2" t="s">
        <v>129</v>
      </c>
      <c r="F528" s="1">
        <v>31104</v>
      </c>
      <c r="G528" s="1" t="s">
        <v>130</v>
      </c>
      <c r="H528" s="1" t="s">
        <v>18</v>
      </c>
      <c r="J528" s="2" t="s">
        <v>131</v>
      </c>
      <c r="K528" s="1" t="s">
        <v>132</v>
      </c>
      <c r="L528" s="1" t="s">
        <v>132</v>
      </c>
      <c r="M528" s="1" t="s">
        <v>1381</v>
      </c>
      <c r="N528" s="1" t="str">
        <f t="shared" si="8"/>
        <v>MARCOS OLIVEIRA</v>
      </c>
    </row>
    <row r="529" spans="1:14" x14ac:dyDescent="0.3">
      <c r="A529" s="1">
        <v>705646</v>
      </c>
      <c r="B529" s="1" t="s">
        <v>1413</v>
      </c>
      <c r="C529" s="5" t="s">
        <v>15</v>
      </c>
      <c r="D529" s="2">
        <v>45943</v>
      </c>
      <c r="E529" s="2" t="s">
        <v>392</v>
      </c>
      <c r="F529" s="1">
        <v>12105</v>
      </c>
      <c r="G529" s="1" t="s">
        <v>393</v>
      </c>
      <c r="H529" s="1" t="s">
        <v>18</v>
      </c>
      <c r="J529" s="2" t="s">
        <v>394</v>
      </c>
      <c r="K529" s="1" t="s">
        <v>1386</v>
      </c>
      <c r="L529" s="1" t="s">
        <v>1386</v>
      </c>
      <c r="N529" s="1" t="str">
        <f t="shared" si="8"/>
        <v>JOÃO GORGULHO</v>
      </c>
    </row>
    <row r="530" spans="1:14" x14ac:dyDescent="0.3">
      <c r="A530" s="1">
        <v>105713</v>
      </c>
      <c r="B530" s="1" t="s">
        <v>534</v>
      </c>
      <c r="C530" s="5" t="s">
        <v>15</v>
      </c>
      <c r="D530" s="2">
        <v>43136</v>
      </c>
      <c r="E530" s="2" t="s">
        <v>1230</v>
      </c>
      <c r="F530" s="1">
        <v>39301</v>
      </c>
      <c r="G530" s="1" t="s">
        <v>73</v>
      </c>
      <c r="H530" s="1" t="s">
        <v>18</v>
      </c>
      <c r="J530" s="2" t="s">
        <v>74</v>
      </c>
      <c r="K530" s="1" t="s">
        <v>1371</v>
      </c>
      <c r="L530" s="1" t="s">
        <v>1376</v>
      </c>
      <c r="M530" s="1" t="s">
        <v>75</v>
      </c>
      <c r="N530" s="1" t="str">
        <f t="shared" si="8"/>
        <v>ISAC NONATO</v>
      </c>
    </row>
    <row r="531" spans="1:14" x14ac:dyDescent="0.3">
      <c r="A531" s="1">
        <v>705320</v>
      </c>
      <c r="B531" s="1" t="s">
        <v>1231</v>
      </c>
      <c r="C531" s="5" t="s">
        <v>15</v>
      </c>
      <c r="D531" s="2">
        <v>45784</v>
      </c>
      <c r="E531" s="2" t="s">
        <v>60</v>
      </c>
      <c r="F531" s="1">
        <v>39309</v>
      </c>
      <c r="G531" s="1" t="s">
        <v>1277</v>
      </c>
      <c r="H531" s="1" t="s">
        <v>18</v>
      </c>
      <c r="J531" s="2" t="s">
        <v>19</v>
      </c>
      <c r="K531" s="1" t="s">
        <v>1368</v>
      </c>
      <c r="L531" s="1" t="s">
        <v>20</v>
      </c>
      <c r="N531" s="1" t="str">
        <f t="shared" si="8"/>
        <v>ALEX DIAS</v>
      </c>
    </row>
    <row r="532" spans="1:14" x14ac:dyDescent="0.3">
      <c r="A532" s="1">
        <v>705439</v>
      </c>
      <c r="B532" s="1" t="s">
        <v>535</v>
      </c>
      <c r="C532" s="5" t="s">
        <v>15</v>
      </c>
      <c r="D532" s="2">
        <v>45796</v>
      </c>
      <c r="E532" s="2" t="s">
        <v>185</v>
      </c>
      <c r="F532" s="1">
        <v>33101</v>
      </c>
      <c r="G532" s="1" t="s">
        <v>186</v>
      </c>
      <c r="H532" s="1" t="s">
        <v>18</v>
      </c>
      <c r="J532" s="2" t="s">
        <v>44</v>
      </c>
      <c r="K532" s="1" t="s">
        <v>25</v>
      </c>
      <c r="L532" s="1" t="s">
        <v>1374</v>
      </c>
      <c r="M532" s="1" t="s">
        <v>1385</v>
      </c>
      <c r="N532" s="1" t="str">
        <f t="shared" si="8"/>
        <v>TALLES RYAN</v>
      </c>
    </row>
    <row r="533" spans="1:14" x14ac:dyDescent="0.3">
      <c r="A533" s="1">
        <v>703960</v>
      </c>
      <c r="B533" s="1" t="s">
        <v>536</v>
      </c>
      <c r="C533" s="5" t="s">
        <v>15</v>
      </c>
      <c r="D533" s="2">
        <v>45111</v>
      </c>
      <c r="E533" s="2" t="s">
        <v>446</v>
      </c>
      <c r="F533" s="1">
        <v>38101</v>
      </c>
      <c r="G533" s="1" t="s">
        <v>35</v>
      </c>
      <c r="H533" s="1" t="s">
        <v>18</v>
      </c>
      <c r="J533" s="2" t="s">
        <v>36</v>
      </c>
      <c r="K533" s="1" t="s">
        <v>1372</v>
      </c>
      <c r="L533" s="1" t="s">
        <v>1372</v>
      </c>
      <c r="M533" s="1" t="s">
        <v>1373</v>
      </c>
      <c r="N533" s="1" t="str">
        <f t="shared" si="8"/>
        <v>DENIS ACASSIO</v>
      </c>
    </row>
    <row r="534" spans="1:14" x14ac:dyDescent="0.3">
      <c r="A534" s="1">
        <v>7051121</v>
      </c>
      <c r="B534" s="1" t="s">
        <v>537</v>
      </c>
      <c r="C534" s="5" t="s">
        <v>15</v>
      </c>
      <c r="D534" s="2">
        <v>45678</v>
      </c>
      <c r="E534" s="2" t="s">
        <v>77</v>
      </c>
      <c r="F534" s="1">
        <v>38107</v>
      </c>
      <c r="G534" s="1" t="s">
        <v>1503</v>
      </c>
      <c r="H534" s="1" t="s">
        <v>18</v>
      </c>
      <c r="J534" s="2" t="s">
        <v>78</v>
      </c>
      <c r="K534" s="1" t="s">
        <v>1372</v>
      </c>
      <c r="L534" s="1" t="s">
        <v>1372</v>
      </c>
      <c r="N534" s="1" t="str">
        <f t="shared" si="8"/>
        <v xml:space="preserve">LEIDJANE MARTINS </v>
      </c>
    </row>
    <row r="535" spans="1:14" x14ac:dyDescent="0.3">
      <c r="A535" s="1">
        <v>705792</v>
      </c>
      <c r="B535" s="1" t="s">
        <v>1530</v>
      </c>
      <c r="C535" s="5" t="s">
        <v>15</v>
      </c>
      <c r="D535" s="2">
        <v>46029</v>
      </c>
      <c r="E535" s="2" t="s">
        <v>31</v>
      </c>
      <c r="F535" s="1">
        <v>25102</v>
      </c>
      <c r="G535" s="1" t="s">
        <v>1153</v>
      </c>
      <c r="H535" s="1" t="s">
        <v>18</v>
      </c>
      <c r="J535" s="2" t="s">
        <v>19</v>
      </c>
      <c r="K535" s="1" t="s">
        <v>1368</v>
      </c>
      <c r="L535" s="1" t="s">
        <v>20</v>
      </c>
      <c r="N535" s="1" t="str">
        <f t="shared" si="8"/>
        <v>ALEX DIAS</v>
      </c>
    </row>
    <row r="536" spans="1:14" x14ac:dyDescent="0.3">
      <c r="A536" s="1">
        <v>704571</v>
      </c>
      <c r="B536" s="1" t="s">
        <v>538</v>
      </c>
      <c r="C536" s="5" t="s">
        <v>15</v>
      </c>
      <c r="D536" s="2">
        <v>45448</v>
      </c>
      <c r="E536" s="2" t="s">
        <v>31</v>
      </c>
      <c r="F536" s="1">
        <v>25201</v>
      </c>
      <c r="G536" s="1" t="s">
        <v>89</v>
      </c>
      <c r="H536" s="1" t="s">
        <v>18</v>
      </c>
      <c r="J536" s="2" t="s">
        <v>37</v>
      </c>
      <c r="K536" s="1" t="s">
        <v>1368</v>
      </c>
      <c r="L536" s="1" t="s">
        <v>20</v>
      </c>
      <c r="N536" s="1" t="str">
        <f t="shared" si="8"/>
        <v>ALEX DIAS</v>
      </c>
    </row>
    <row r="537" spans="1:14" x14ac:dyDescent="0.3">
      <c r="A537" s="1">
        <v>704711</v>
      </c>
      <c r="B537" s="1" t="s">
        <v>539</v>
      </c>
      <c r="C537" s="5" t="s">
        <v>15</v>
      </c>
      <c r="D537" s="2">
        <v>45518</v>
      </c>
      <c r="E537" s="2" t="s">
        <v>315</v>
      </c>
      <c r="F537" s="1">
        <v>33101</v>
      </c>
      <c r="G537" s="1" t="s">
        <v>186</v>
      </c>
      <c r="H537" s="1" t="s">
        <v>18</v>
      </c>
      <c r="J537" s="2" t="s">
        <v>44</v>
      </c>
      <c r="K537" s="1" t="s">
        <v>25</v>
      </c>
      <c r="L537" s="1" t="s">
        <v>1374</v>
      </c>
      <c r="M537" s="1" t="s">
        <v>1385</v>
      </c>
      <c r="N537" s="1" t="str">
        <f t="shared" si="8"/>
        <v>TALLES RYAN</v>
      </c>
    </row>
    <row r="538" spans="1:14" x14ac:dyDescent="0.3">
      <c r="A538" s="1">
        <v>705196</v>
      </c>
      <c r="B538" s="1" t="s">
        <v>1167</v>
      </c>
      <c r="C538" s="5" t="s">
        <v>15</v>
      </c>
      <c r="D538" s="2">
        <v>45734</v>
      </c>
      <c r="E538" s="2" t="s">
        <v>255</v>
      </c>
      <c r="F538" s="1">
        <v>25201</v>
      </c>
      <c r="G538" s="1" t="s">
        <v>89</v>
      </c>
      <c r="H538" s="1" t="s">
        <v>18</v>
      </c>
      <c r="J538" s="2" t="s">
        <v>19</v>
      </c>
      <c r="K538" s="1" t="s">
        <v>1368</v>
      </c>
      <c r="L538" s="1" t="s">
        <v>20</v>
      </c>
      <c r="N538" s="1" t="str">
        <f t="shared" si="8"/>
        <v>ALEX DIAS</v>
      </c>
    </row>
    <row r="539" spans="1:14" x14ac:dyDescent="0.3">
      <c r="A539" s="1">
        <v>705633</v>
      </c>
      <c r="B539" s="1" t="s">
        <v>1414</v>
      </c>
      <c r="C539" s="5" t="s">
        <v>92</v>
      </c>
      <c r="D539" s="2">
        <v>45937</v>
      </c>
      <c r="E539" s="2" t="s">
        <v>31</v>
      </c>
      <c r="F539" s="1">
        <v>38101</v>
      </c>
      <c r="G539" s="1" t="s">
        <v>35</v>
      </c>
      <c r="H539" s="1" t="s">
        <v>18</v>
      </c>
      <c r="I539" s="2">
        <v>46037</v>
      </c>
      <c r="J539" s="2" t="s">
        <v>36</v>
      </c>
      <c r="K539" s="1" t="s">
        <v>1372</v>
      </c>
      <c r="L539" s="1" t="s">
        <v>1372</v>
      </c>
      <c r="M539" s="1" t="s">
        <v>1373</v>
      </c>
      <c r="N539" s="1" t="str">
        <f t="shared" si="8"/>
        <v>DENIS ACASSIO</v>
      </c>
    </row>
    <row r="540" spans="1:14" x14ac:dyDescent="0.3">
      <c r="A540" s="1">
        <v>703559</v>
      </c>
      <c r="B540" s="1" t="s">
        <v>540</v>
      </c>
      <c r="C540" s="5" t="s">
        <v>15</v>
      </c>
      <c r="D540" s="2">
        <v>44935</v>
      </c>
      <c r="E540" s="2" t="s">
        <v>217</v>
      </c>
      <c r="F540" s="1">
        <v>39302</v>
      </c>
      <c r="G540" s="1" t="s">
        <v>102</v>
      </c>
      <c r="H540" s="1" t="s">
        <v>18</v>
      </c>
      <c r="J540" s="2" t="s">
        <v>57</v>
      </c>
      <c r="K540" s="1" t="s">
        <v>1371</v>
      </c>
      <c r="L540" s="1" t="s">
        <v>1376</v>
      </c>
      <c r="M540" s="1" t="s">
        <v>1377</v>
      </c>
      <c r="N540" s="1" t="str">
        <f t="shared" si="8"/>
        <v>WARLEY RIBEIRO</v>
      </c>
    </row>
    <row r="541" spans="1:14" x14ac:dyDescent="0.3">
      <c r="A541" s="1">
        <v>705785</v>
      </c>
      <c r="B541" s="1" t="s">
        <v>1531</v>
      </c>
      <c r="C541" s="5" t="s">
        <v>15</v>
      </c>
      <c r="D541" s="2">
        <v>46035</v>
      </c>
      <c r="E541" s="2" t="s">
        <v>31</v>
      </c>
      <c r="F541" s="1">
        <v>25201</v>
      </c>
      <c r="G541" s="1" t="s">
        <v>89</v>
      </c>
      <c r="H541" s="1" t="s">
        <v>18</v>
      </c>
      <c r="J541" s="2" t="s">
        <v>19</v>
      </c>
      <c r="K541" s="1" t="s">
        <v>1368</v>
      </c>
      <c r="L541" s="1" t="s">
        <v>20</v>
      </c>
      <c r="N541" s="1" t="str">
        <f t="shared" si="8"/>
        <v>ALEX DIAS</v>
      </c>
    </row>
    <row r="542" spans="1:14" x14ac:dyDescent="0.3">
      <c r="A542" s="1">
        <v>705369</v>
      </c>
      <c r="B542" s="1" t="s">
        <v>1232</v>
      </c>
      <c r="C542" s="5" t="s">
        <v>15</v>
      </c>
      <c r="D542" s="2">
        <v>45784</v>
      </c>
      <c r="E542" s="2" t="s">
        <v>270</v>
      </c>
      <c r="F542" s="1">
        <v>39302</v>
      </c>
      <c r="G542" s="1" t="s">
        <v>102</v>
      </c>
      <c r="H542" s="1" t="s">
        <v>18</v>
      </c>
      <c r="J542" s="2" t="s">
        <v>57</v>
      </c>
      <c r="K542" s="1" t="s">
        <v>1371</v>
      </c>
      <c r="L542" s="1" t="s">
        <v>1376</v>
      </c>
      <c r="M542" s="1" t="s">
        <v>1377</v>
      </c>
      <c r="N542" s="1" t="str">
        <f t="shared" si="8"/>
        <v>WARLEY RIBEIRO</v>
      </c>
    </row>
    <row r="543" spans="1:14" x14ac:dyDescent="0.3">
      <c r="A543" s="1">
        <v>705486</v>
      </c>
      <c r="B543" s="1" t="s">
        <v>1309</v>
      </c>
      <c r="C543" s="5" t="s">
        <v>15</v>
      </c>
      <c r="D543" s="2">
        <v>45839</v>
      </c>
      <c r="E543" s="2" t="s">
        <v>31</v>
      </c>
      <c r="F543" s="1">
        <v>22102</v>
      </c>
      <c r="G543" s="1" t="s">
        <v>68</v>
      </c>
      <c r="H543" s="1" t="s">
        <v>18</v>
      </c>
      <c r="J543" s="2" t="s">
        <v>81</v>
      </c>
      <c r="K543" s="1" t="s">
        <v>1371</v>
      </c>
      <c r="L543" s="1" t="s">
        <v>1509</v>
      </c>
      <c r="M543" s="1" t="s">
        <v>1379</v>
      </c>
      <c r="N543" s="1" t="str">
        <f t="shared" si="8"/>
        <v xml:space="preserve">EDSON/MARCELO LIMA </v>
      </c>
    </row>
    <row r="544" spans="1:14" x14ac:dyDescent="0.3">
      <c r="A544" s="1">
        <v>705692</v>
      </c>
      <c r="B544" s="1" t="s">
        <v>541</v>
      </c>
      <c r="C544" s="5" t="s">
        <v>15</v>
      </c>
      <c r="D544" s="2">
        <v>45972</v>
      </c>
      <c r="E544" s="2" t="s">
        <v>446</v>
      </c>
      <c r="F544" s="1">
        <v>32101</v>
      </c>
      <c r="G544" s="1" t="s">
        <v>23</v>
      </c>
      <c r="H544" s="1" t="s">
        <v>18</v>
      </c>
      <c r="J544" s="2" t="s">
        <v>24</v>
      </c>
      <c r="K544" s="1" t="s">
        <v>25</v>
      </c>
      <c r="L544" s="1" t="s">
        <v>1369</v>
      </c>
      <c r="M544" s="1" t="s">
        <v>1370</v>
      </c>
      <c r="N544" s="1" t="str">
        <f t="shared" si="8"/>
        <v>JUNIO COSTA</v>
      </c>
    </row>
    <row r="545" spans="1:14" x14ac:dyDescent="0.3">
      <c r="A545" s="1">
        <v>701608</v>
      </c>
      <c r="B545" s="1" t="s">
        <v>542</v>
      </c>
      <c r="C545" s="5" t="s">
        <v>15</v>
      </c>
      <c r="D545" s="2">
        <v>43999</v>
      </c>
      <c r="E545" s="2" t="s">
        <v>27</v>
      </c>
      <c r="F545" s="1">
        <v>39501</v>
      </c>
      <c r="G545" s="1" t="s">
        <v>28</v>
      </c>
      <c r="H545" s="1" t="s">
        <v>18</v>
      </c>
      <c r="J545" s="2" t="s">
        <v>29</v>
      </c>
      <c r="K545" s="1" t="s">
        <v>1368</v>
      </c>
      <c r="L545" s="1" t="s">
        <v>1368</v>
      </c>
      <c r="N545" s="1" t="str">
        <f t="shared" si="8"/>
        <v>JOSÉ GOUVEA</v>
      </c>
    </row>
    <row r="546" spans="1:14" x14ac:dyDescent="0.3">
      <c r="A546" s="1">
        <v>705424</v>
      </c>
      <c r="B546" s="1" t="s">
        <v>1083</v>
      </c>
      <c r="C546" s="5" t="s">
        <v>15</v>
      </c>
      <c r="D546" s="2">
        <v>45797</v>
      </c>
      <c r="E546" s="2" t="s">
        <v>31</v>
      </c>
      <c r="F546" s="1">
        <v>22102</v>
      </c>
      <c r="G546" s="1" t="s">
        <v>68</v>
      </c>
      <c r="H546" s="1" t="s">
        <v>18</v>
      </c>
      <c r="J546" s="2" t="s">
        <v>81</v>
      </c>
      <c r="K546" s="1" t="s">
        <v>1371</v>
      </c>
      <c r="L546" s="1" t="s">
        <v>1509</v>
      </c>
      <c r="M546" s="1" t="s">
        <v>1379</v>
      </c>
      <c r="N546" s="1" t="str">
        <f t="shared" si="8"/>
        <v xml:space="preserve">EDSON/MARCELO LIMA </v>
      </c>
    </row>
    <row r="547" spans="1:14" x14ac:dyDescent="0.3">
      <c r="A547" s="1">
        <v>704307</v>
      </c>
      <c r="B547" s="1" t="s">
        <v>543</v>
      </c>
      <c r="C547" s="5" t="s">
        <v>15</v>
      </c>
      <c r="D547" s="2">
        <v>45356</v>
      </c>
      <c r="E547" s="2" t="s">
        <v>31</v>
      </c>
      <c r="F547" s="1">
        <v>52104</v>
      </c>
      <c r="G547" s="1" t="s">
        <v>17</v>
      </c>
      <c r="H547" s="1" t="s">
        <v>18</v>
      </c>
      <c r="J547" s="2" t="s">
        <v>19</v>
      </c>
      <c r="K547" s="1" t="s">
        <v>1368</v>
      </c>
      <c r="L547" s="1" t="s">
        <v>20</v>
      </c>
      <c r="N547" s="1" t="str">
        <f t="shared" si="8"/>
        <v>ALEX DIAS</v>
      </c>
    </row>
    <row r="548" spans="1:14" x14ac:dyDescent="0.3">
      <c r="A548" s="1">
        <v>705752</v>
      </c>
      <c r="B548" s="1" t="s">
        <v>1492</v>
      </c>
      <c r="C548" s="5" t="s">
        <v>15</v>
      </c>
      <c r="D548" s="2">
        <v>45993</v>
      </c>
      <c r="E548" s="2" t="s">
        <v>31</v>
      </c>
      <c r="F548" s="1">
        <v>25102</v>
      </c>
      <c r="G548" s="1" t="s">
        <v>1153</v>
      </c>
      <c r="H548" s="1" t="s">
        <v>18</v>
      </c>
      <c r="J548" s="2" t="s">
        <v>19</v>
      </c>
      <c r="K548" s="1" t="s">
        <v>1368</v>
      </c>
      <c r="L548" s="1" t="s">
        <v>20</v>
      </c>
      <c r="N548" s="1" t="str">
        <f t="shared" si="8"/>
        <v>ALEX DIAS</v>
      </c>
    </row>
    <row r="549" spans="1:14" x14ac:dyDescent="0.3">
      <c r="A549" s="1">
        <v>705815</v>
      </c>
      <c r="B549" s="1" t="s">
        <v>1532</v>
      </c>
      <c r="C549" s="5" t="s">
        <v>15</v>
      </c>
      <c r="D549" s="2">
        <v>46035</v>
      </c>
      <c r="E549" s="2" t="s">
        <v>31</v>
      </c>
      <c r="F549" s="1">
        <v>25102</v>
      </c>
      <c r="G549" s="1" t="s">
        <v>1153</v>
      </c>
      <c r="H549" s="1" t="s">
        <v>18</v>
      </c>
      <c r="J549" s="2" t="s">
        <v>19</v>
      </c>
      <c r="K549" s="1" t="s">
        <v>1368</v>
      </c>
      <c r="L549" s="1" t="s">
        <v>20</v>
      </c>
      <c r="N549" s="1" t="str">
        <f t="shared" si="8"/>
        <v>ALEX DIAS</v>
      </c>
    </row>
    <row r="550" spans="1:14" x14ac:dyDescent="0.3">
      <c r="A550" s="1">
        <v>705686</v>
      </c>
      <c r="B550" s="1" t="s">
        <v>1415</v>
      </c>
      <c r="C550" s="5" t="s">
        <v>15</v>
      </c>
      <c r="D550" s="2">
        <v>45945</v>
      </c>
      <c r="E550" s="2" t="s">
        <v>238</v>
      </c>
      <c r="F550" s="1">
        <v>37101</v>
      </c>
      <c r="G550" s="1" t="s">
        <v>214</v>
      </c>
      <c r="H550" s="1" t="s">
        <v>18</v>
      </c>
      <c r="J550" s="2" t="s">
        <v>239</v>
      </c>
      <c r="K550" s="1" t="s">
        <v>216</v>
      </c>
      <c r="L550" s="1" t="s">
        <v>216</v>
      </c>
      <c r="N550" s="1" t="str">
        <f t="shared" si="8"/>
        <v>CARSON NEVES</v>
      </c>
    </row>
    <row r="551" spans="1:14" x14ac:dyDescent="0.3">
      <c r="A551" s="1">
        <v>702662</v>
      </c>
      <c r="B551" s="1" t="s">
        <v>544</v>
      </c>
      <c r="C551" s="5" t="s">
        <v>15</v>
      </c>
      <c r="D551" s="2">
        <v>44509</v>
      </c>
      <c r="E551" s="2" t="s">
        <v>105</v>
      </c>
      <c r="F551" s="1">
        <v>22102</v>
      </c>
      <c r="G551" s="1" t="s">
        <v>68</v>
      </c>
      <c r="H551" s="1" t="s">
        <v>18</v>
      </c>
      <c r="J551" s="2" t="s">
        <v>167</v>
      </c>
      <c r="K551" s="1" t="s">
        <v>1371</v>
      </c>
      <c r="L551" s="1" t="s">
        <v>1509</v>
      </c>
      <c r="M551" s="1" t="s">
        <v>1383</v>
      </c>
      <c r="N551" s="1" t="str">
        <f t="shared" si="8"/>
        <v>WANDRES/FABIANO</v>
      </c>
    </row>
    <row r="552" spans="1:14" x14ac:dyDescent="0.3">
      <c r="A552" s="1">
        <v>700622</v>
      </c>
      <c r="B552" s="1" t="s">
        <v>545</v>
      </c>
      <c r="C552" s="5" t="s">
        <v>15</v>
      </c>
      <c r="D552" s="2">
        <v>43367</v>
      </c>
      <c r="E552" s="2" t="s">
        <v>116</v>
      </c>
      <c r="F552" s="1">
        <v>34201</v>
      </c>
      <c r="G552" s="1" t="s">
        <v>84</v>
      </c>
      <c r="H552" s="1" t="s">
        <v>18</v>
      </c>
      <c r="J552" s="2" t="s">
        <v>85</v>
      </c>
      <c r="K552" s="1" t="s">
        <v>1371</v>
      </c>
      <c r="L552" s="1" t="s">
        <v>1371</v>
      </c>
      <c r="M552" s="1" t="s">
        <v>1380</v>
      </c>
      <c r="N552" s="1" t="str">
        <f t="shared" si="8"/>
        <v xml:space="preserve">LEONARDO SANTOS </v>
      </c>
    </row>
    <row r="553" spans="1:14" x14ac:dyDescent="0.3">
      <c r="A553" s="1">
        <v>701013</v>
      </c>
      <c r="B553" s="1" t="s">
        <v>546</v>
      </c>
      <c r="C553" s="5" t="s">
        <v>15</v>
      </c>
      <c r="D553" s="2">
        <v>43598</v>
      </c>
      <c r="E553" s="2" t="s">
        <v>40</v>
      </c>
      <c r="F553" s="1">
        <v>52104</v>
      </c>
      <c r="G553" s="1" t="s">
        <v>17</v>
      </c>
      <c r="H553" s="1" t="s">
        <v>18</v>
      </c>
      <c r="J553" s="2" t="s">
        <v>19</v>
      </c>
      <c r="K553" s="1" t="s">
        <v>1368</v>
      </c>
      <c r="L553" s="1" t="s">
        <v>20</v>
      </c>
      <c r="N553" s="1" t="str">
        <f t="shared" si="8"/>
        <v>ALEX DIAS</v>
      </c>
    </row>
    <row r="554" spans="1:14" x14ac:dyDescent="0.3">
      <c r="A554" s="1">
        <v>700241</v>
      </c>
      <c r="B554" s="1" t="s">
        <v>1091</v>
      </c>
      <c r="C554" s="5" t="s">
        <v>15</v>
      </c>
      <c r="D554" s="2">
        <v>43255</v>
      </c>
      <c r="E554" s="2" t="s">
        <v>219</v>
      </c>
      <c r="F554" s="1">
        <v>32101</v>
      </c>
      <c r="G554" s="1" t="s">
        <v>23</v>
      </c>
      <c r="H554" s="1" t="s">
        <v>18</v>
      </c>
      <c r="J554" s="2" t="s">
        <v>24</v>
      </c>
      <c r="K554" s="1" t="s">
        <v>25</v>
      </c>
      <c r="L554" s="1" t="s">
        <v>1369</v>
      </c>
      <c r="M554" s="1" t="s">
        <v>1370</v>
      </c>
      <c r="N554" s="1" t="str">
        <f t="shared" si="8"/>
        <v>JUNIO COSTA</v>
      </c>
    </row>
    <row r="555" spans="1:14" x14ac:dyDescent="0.3">
      <c r="A555" s="1">
        <v>705245</v>
      </c>
      <c r="B555" s="1" t="s">
        <v>1187</v>
      </c>
      <c r="C555" s="5" t="s">
        <v>15</v>
      </c>
      <c r="D555" s="2">
        <v>45754</v>
      </c>
      <c r="E555" s="2" t="s">
        <v>31</v>
      </c>
      <c r="F555" s="1">
        <v>25102</v>
      </c>
      <c r="G555" s="1" t="s">
        <v>1153</v>
      </c>
      <c r="H555" s="1" t="s">
        <v>18</v>
      </c>
      <c r="J555" s="2" t="s">
        <v>19</v>
      </c>
      <c r="K555" s="1" t="s">
        <v>1368</v>
      </c>
      <c r="L555" s="1" t="s">
        <v>20</v>
      </c>
      <c r="N555" s="1" t="str">
        <f t="shared" si="8"/>
        <v>ALEX DIAS</v>
      </c>
    </row>
    <row r="556" spans="1:14" x14ac:dyDescent="0.3">
      <c r="A556" s="1">
        <v>704505</v>
      </c>
      <c r="B556" s="1" t="s">
        <v>1092</v>
      </c>
      <c r="C556" s="5" t="s">
        <v>15</v>
      </c>
      <c r="D556" s="2">
        <v>45419</v>
      </c>
      <c r="E556" s="2" t="s">
        <v>31</v>
      </c>
      <c r="F556" s="1">
        <v>25201</v>
      </c>
      <c r="G556" s="1" t="s">
        <v>89</v>
      </c>
      <c r="H556" s="1" t="s">
        <v>18</v>
      </c>
      <c r="J556" s="2" t="s">
        <v>19</v>
      </c>
      <c r="K556" s="1" t="s">
        <v>1368</v>
      </c>
      <c r="L556" s="1" t="s">
        <v>20</v>
      </c>
      <c r="N556" s="1" t="str">
        <f t="shared" si="8"/>
        <v>ALEX DIAS</v>
      </c>
    </row>
    <row r="557" spans="1:14" x14ac:dyDescent="0.3">
      <c r="A557" s="1">
        <v>701522</v>
      </c>
      <c r="B557" s="1" t="s">
        <v>547</v>
      </c>
      <c r="C557" s="5" t="s">
        <v>15</v>
      </c>
      <c r="D557" s="2">
        <v>43957</v>
      </c>
      <c r="E557" s="2" t="s">
        <v>179</v>
      </c>
      <c r="F557" s="1">
        <v>32101</v>
      </c>
      <c r="G557" s="1" t="s">
        <v>23</v>
      </c>
      <c r="H557" s="1" t="s">
        <v>18</v>
      </c>
      <c r="J557" s="2" t="s">
        <v>24</v>
      </c>
      <c r="K557" s="1" t="s">
        <v>25</v>
      </c>
      <c r="L557" s="1" t="s">
        <v>1369</v>
      </c>
      <c r="M557" s="1" t="s">
        <v>1370</v>
      </c>
      <c r="N557" s="1" t="str">
        <f t="shared" si="8"/>
        <v>JUNIO COSTA</v>
      </c>
    </row>
    <row r="558" spans="1:14" x14ac:dyDescent="0.3">
      <c r="A558" s="1">
        <v>705580</v>
      </c>
      <c r="B558" s="1" t="s">
        <v>1326</v>
      </c>
      <c r="C558" s="5" t="s">
        <v>15</v>
      </c>
      <c r="D558" s="2">
        <v>45881</v>
      </c>
      <c r="E558" s="2" t="s">
        <v>31</v>
      </c>
      <c r="F558" s="1">
        <v>39301</v>
      </c>
      <c r="G558" s="1" t="s">
        <v>73</v>
      </c>
      <c r="H558" s="1" t="s">
        <v>18</v>
      </c>
      <c r="J558" s="2" t="s">
        <v>74</v>
      </c>
      <c r="K558" s="1" t="s">
        <v>1371</v>
      </c>
      <c r="L558" s="1" t="s">
        <v>1376</v>
      </c>
      <c r="M558" s="1" t="s">
        <v>75</v>
      </c>
      <c r="N558" s="1" t="str">
        <f t="shared" si="8"/>
        <v>ISAC NONATO</v>
      </c>
    </row>
    <row r="559" spans="1:14" x14ac:dyDescent="0.3">
      <c r="A559" s="1">
        <v>702811</v>
      </c>
      <c r="B559" s="1" t="s">
        <v>548</v>
      </c>
      <c r="C559" s="5" t="s">
        <v>15</v>
      </c>
      <c r="D559" s="2">
        <v>44613</v>
      </c>
      <c r="E559" s="2" t="s">
        <v>31</v>
      </c>
      <c r="F559" s="1">
        <v>52104</v>
      </c>
      <c r="G559" s="1" t="s">
        <v>17</v>
      </c>
      <c r="H559" s="1" t="s">
        <v>18</v>
      </c>
      <c r="J559" s="2" t="s">
        <v>19</v>
      </c>
      <c r="K559" s="1" t="s">
        <v>1368</v>
      </c>
      <c r="L559" s="1" t="s">
        <v>20</v>
      </c>
      <c r="N559" s="1" t="str">
        <f t="shared" si="8"/>
        <v>ALEX DIAS</v>
      </c>
    </row>
    <row r="560" spans="1:14" x14ac:dyDescent="0.3">
      <c r="A560" s="1">
        <v>704073</v>
      </c>
      <c r="B560" s="1" t="s">
        <v>549</v>
      </c>
      <c r="C560" s="5" t="s">
        <v>15</v>
      </c>
      <c r="D560" s="2">
        <v>45175</v>
      </c>
      <c r="E560" s="2" t="s">
        <v>60</v>
      </c>
      <c r="F560" s="1">
        <v>52104</v>
      </c>
      <c r="G560" s="1" t="s">
        <v>17</v>
      </c>
      <c r="H560" s="1" t="s">
        <v>18</v>
      </c>
      <c r="J560" s="2" t="s">
        <v>19</v>
      </c>
      <c r="K560" s="1" t="s">
        <v>1368</v>
      </c>
      <c r="L560" s="1" t="s">
        <v>20</v>
      </c>
      <c r="N560" s="1" t="str">
        <f t="shared" si="8"/>
        <v>ALEX DIAS</v>
      </c>
    </row>
    <row r="561" spans="1:14" x14ac:dyDescent="0.3">
      <c r="A561" s="1">
        <v>704470</v>
      </c>
      <c r="B561" s="1" t="s">
        <v>1097</v>
      </c>
      <c r="C561" s="5" t="s">
        <v>15</v>
      </c>
      <c r="D561" s="2">
        <v>45419</v>
      </c>
      <c r="E561" s="2" t="s">
        <v>31</v>
      </c>
      <c r="F561" s="1">
        <v>22102</v>
      </c>
      <c r="G561" s="1" t="s">
        <v>68</v>
      </c>
      <c r="H561" s="1" t="s">
        <v>18</v>
      </c>
      <c r="J561" s="2" t="s">
        <v>81</v>
      </c>
      <c r="K561" s="1" t="s">
        <v>1371</v>
      </c>
      <c r="L561" s="1" t="s">
        <v>1509</v>
      </c>
      <c r="M561" s="1" t="s">
        <v>1379</v>
      </c>
      <c r="N561" s="1" t="str">
        <f t="shared" si="8"/>
        <v xml:space="preserve">EDSON/MARCELO LIMA </v>
      </c>
    </row>
    <row r="562" spans="1:14" x14ac:dyDescent="0.3">
      <c r="A562" s="1">
        <v>101542</v>
      </c>
      <c r="B562" s="1" t="s">
        <v>550</v>
      </c>
      <c r="C562" s="5" t="s">
        <v>15</v>
      </c>
      <c r="D562" s="2">
        <v>40779</v>
      </c>
      <c r="E562" s="2" t="s">
        <v>158</v>
      </c>
      <c r="F562" s="1">
        <v>38101</v>
      </c>
      <c r="G562" s="1" t="s">
        <v>35</v>
      </c>
      <c r="H562" s="1" t="s">
        <v>18</v>
      </c>
      <c r="J562" s="2" t="s">
        <v>36</v>
      </c>
      <c r="K562" s="1" t="s">
        <v>1372</v>
      </c>
      <c r="L562" s="1" t="s">
        <v>1372</v>
      </c>
      <c r="M562" s="1" t="s">
        <v>1373</v>
      </c>
      <c r="N562" s="1" t="str">
        <f t="shared" si="8"/>
        <v>DENIS ACASSIO</v>
      </c>
    </row>
    <row r="563" spans="1:14" x14ac:dyDescent="0.3">
      <c r="A563" s="1">
        <v>705744</v>
      </c>
      <c r="B563" s="1" t="s">
        <v>551</v>
      </c>
      <c r="C563" s="5" t="s">
        <v>15</v>
      </c>
      <c r="D563" s="2">
        <v>45993</v>
      </c>
      <c r="E563" s="2" t="s">
        <v>31</v>
      </c>
      <c r="F563" s="1">
        <v>22102</v>
      </c>
      <c r="G563" s="1" t="s">
        <v>68</v>
      </c>
      <c r="H563" s="1" t="s">
        <v>18</v>
      </c>
      <c r="J563" s="2" t="s">
        <v>81</v>
      </c>
      <c r="K563" s="1" t="s">
        <v>1371</v>
      </c>
      <c r="L563" s="1" t="s">
        <v>1509</v>
      </c>
      <c r="M563" s="1" t="s">
        <v>1379</v>
      </c>
      <c r="N563" s="1" t="str">
        <f t="shared" si="8"/>
        <v xml:space="preserve">EDSON/MARCELO LIMA </v>
      </c>
    </row>
    <row r="564" spans="1:14" x14ac:dyDescent="0.3">
      <c r="A564" s="1">
        <v>705584</v>
      </c>
      <c r="B564" s="1" t="s">
        <v>1327</v>
      </c>
      <c r="C564" s="5" t="s">
        <v>15</v>
      </c>
      <c r="D564" s="2">
        <v>45881</v>
      </c>
      <c r="E564" s="2" t="s">
        <v>31</v>
      </c>
      <c r="F564" s="1">
        <v>52104</v>
      </c>
      <c r="G564" s="1" t="s">
        <v>17</v>
      </c>
      <c r="H564" s="1" t="s">
        <v>18</v>
      </c>
      <c r="J564" s="2" t="s">
        <v>19</v>
      </c>
      <c r="K564" s="1" t="s">
        <v>1368</v>
      </c>
      <c r="L564" s="1" t="s">
        <v>20</v>
      </c>
      <c r="N564" s="1" t="str">
        <f t="shared" si="8"/>
        <v>ALEX DIAS</v>
      </c>
    </row>
    <row r="565" spans="1:14" x14ac:dyDescent="0.3">
      <c r="A565" s="1">
        <v>704572</v>
      </c>
      <c r="B565" s="1" t="s">
        <v>552</v>
      </c>
      <c r="C565" s="5" t="s">
        <v>15</v>
      </c>
      <c r="D565" s="2">
        <v>45448</v>
      </c>
      <c r="E565" s="2" t="s">
        <v>31</v>
      </c>
      <c r="F565" s="1">
        <v>52104</v>
      </c>
      <c r="G565" s="1" t="s">
        <v>17</v>
      </c>
      <c r="H565" s="1" t="s">
        <v>18</v>
      </c>
      <c r="J565" s="2" t="s">
        <v>19</v>
      </c>
      <c r="K565" s="1" t="s">
        <v>1368</v>
      </c>
      <c r="L565" s="1" t="s">
        <v>20</v>
      </c>
      <c r="N565" s="1" t="str">
        <f t="shared" si="8"/>
        <v>ALEX DIAS</v>
      </c>
    </row>
    <row r="566" spans="1:14" x14ac:dyDescent="0.3">
      <c r="A566" s="1">
        <v>705710</v>
      </c>
      <c r="B566" s="1" t="s">
        <v>1106</v>
      </c>
      <c r="C566" s="5" t="s">
        <v>15</v>
      </c>
      <c r="D566" s="2">
        <v>45971</v>
      </c>
      <c r="E566" s="2" t="s">
        <v>31</v>
      </c>
      <c r="F566" s="1">
        <v>22102</v>
      </c>
      <c r="G566" s="1" t="s">
        <v>68</v>
      </c>
      <c r="H566" s="1" t="s">
        <v>18</v>
      </c>
      <c r="J566" s="2" t="s">
        <v>81</v>
      </c>
      <c r="K566" s="1" t="s">
        <v>1371</v>
      </c>
      <c r="L566" s="1" t="s">
        <v>1509</v>
      </c>
      <c r="M566" s="1" t="s">
        <v>1379</v>
      </c>
      <c r="N566" s="1" t="str">
        <f t="shared" si="8"/>
        <v xml:space="preserve">EDSON/MARCELO LIMA </v>
      </c>
    </row>
    <row r="567" spans="1:14" x14ac:dyDescent="0.3">
      <c r="A567" s="1">
        <v>702870</v>
      </c>
      <c r="B567" s="1" t="s">
        <v>554</v>
      </c>
      <c r="C567" s="5" t="s">
        <v>15</v>
      </c>
      <c r="D567" s="2">
        <v>44635</v>
      </c>
      <c r="E567" s="2" t="s">
        <v>555</v>
      </c>
      <c r="F567" s="1">
        <v>34202</v>
      </c>
      <c r="G567" s="1" t="s">
        <v>385</v>
      </c>
      <c r="H567" s="1" t="s">
        <v>18</v>
      </c>
      <c r="J567" s="2" t="s">
        <v>123</v>
      </c>
      <c r="K567" s="1" t="s">
        <v>124</v>
      </c>
      <c r="L567" s="1" t="s">
        <v>124</v>
      </c>
      <c r="N567" s="1" t="str">
        <f t="shared" si="8"/>
        <v>MATHEUS FERNANDES</v>
      </c>
    </row>
    <row r="568" spans="1:14" x14ac:dyDescent="0.3">
      <c r="A568" s="1">
        <v>705120</v>
      </c>
      <c r="B568" s="1" t="s">
        <v>556</v>
      </c>
      <c r="C568" s="5" t="s">
        <v>15</v>
      </c>
      <c r="D568" s="2">
        <v>45678</v>
      </c>
      <c r="E568" s="2" t="s">
        <v>31</v>
      </c>
      <c r="F568" s="1">
        <v>39301</v>
      </c>
      <c r="G568" s="1" t="s">
        <v>73</v>
      </c>
      <c r="H568" s="1" t="s">
        <v>18</v>
      </c>
      <c r="J568" s="2" t="s">
        <v>74</v>
      </c>
      <c r="K568" s="1" t="s">
        <v>1371</v>
      </c>
      <c r="L568" s="1" t="s">
        <v>1376</v>
      </c>
      <c r="M568" s="1" t="s">
        <v>75</v>
      </c>
      <c r="N568" s="1" t="str">
        <f t="shared" si="8"/>
        <v>ISAC NONATO</v>
      </c>
    </row>
    <row r="569" spans="1:14" x14ac:dyDescent="0.3">
      <c r="A569" s="1">
        <v>704175</v>
      </c>
      <c r="B569" s="1" t="s">
        <v>557</v>
      </c>
      <c r="C569" s="5" t="s">
        <v>15</v>
      </c>
      <c r="D569" s="2">
        <v>45272</v>
      </c>
      <c r="E569" s="2" t="s">
        <v>80</v>
      </c>
      <c r="F569" s="1">
        <v>22102</v>
      </c>
      <c r="G569" s="1" t="s">
        <v>68</v>
      </c>
      <c r="H569" s="1" t="s">
        <v>18</v>
      </c>
      <c r="J569" s="2" t="s">
        <v>81</v>
      </c>
      <c r="K569" s="1" t="s">
        <v>1371</v>
      </c>
      <c r="L569" s="1" t="s">
        <v>1509</v>
      </c>
      <c r="M569" s="1" t="s">
        <v>1379</v>
      </c>
      <c r="N569" s="1" t="str">
        <f t="shared" si="8"/>
        <v xml:space="preserve">EDSON/MARCELO LIMA </v>
      </c>
    </row>
    <row r="570" spans="1:14" x14ac:dyDescent="0.3">
      <c r="A570" s="1">
        <v>703146</v>
      </c>
      <c r="B570" s="1" t="s">
        <v>558</v>
      </c>
      <c r="C570" s="5" t="s">
        <v>15</v>
      </c>
      <c r="D570" s="2">
        <v>44718</v>
      </c>
      <c r="E570" s="2" t="s">
        <v>199</v>
      </c>
      <c r="F570" s="1">
        <v>22102</v>
      </c>
      <c r="G570" s="1" t="s">
        <v>68</v>
      </c>
      <c r="H570" s="1" t="s">
        <v>18</v>
      </c>
      <c r="J570" s="2" t="s">
        <v>167</v>
      </c>
      <c r="K570" s="1" t="s">
        <v>1371</v>
      </c>
      <c r="L570" s="1" t="s">
        <v>1509</v>
      </c>
      <c r="M570" s="1" t="s">
        <v>1383</v>
      </c>
      <c r="N570" s="1" t="str">
        <f t="shared" si="8"/>
        <v>WANDRES/FABIANO</v>
      </c>
    </row>
    <row r="571" spans="1:14" x14ac:dyDescent="0.3">
      <c r="A571" s="1">
        <v>700402</v>
      </c>
      <c r="B571" s="1" t="s">
        <v>559</v>
      </c>
      <c r="C571" s="5" t="s">
        <v>15</v>
      </c>
      <c r="D571" s="2">
        <v>43318</v>
      </c>
      <c r="E571" s="2" t="s">
        <v>1360</v>
      </c>
      <c r="F571" s="1">
        <v>39302</v>
      </c>
      <c r="G571" s="1" t="s">
        <v>102</v>
      </c>
      <c r="H571" s="1" t="s">
        <v>18</v>
      </c>
      <c r="J571" s="2" t="s">
        <v>57</v>
      </c>
      <c r="K571" s="1" t="s">
        <v>1371</v>
      </c>
      <c r="L571" s="1" t="s">
        <v>1376</v>
      </c>
      <c r="M571" s="1" t="s">
        <v>1377</v>
      </c>
      <c r="N571" s="1" t="str">
        <f t="shared" si="8"/>
        <v>WARLEY RIBEIRO</v>
      </c>
    </row>
    <row r="572" spans="1:14" x14ac:dyDescent="0.3">
      <c r="A572" s="1">
        <v>705761</v>
      </c>
      <c r="B572" s="1" t="s">
        <v>1493</v>
      </c>
      <c r="C572" s="5" t="s">
        <v>15</v>
      </c>
      <c r="D572" s="2">
        <v>45993</v>
      </c>
      <c r="E572" s="2" t="s">
        <v>31</v>
      </c>
      <c r="F572" s="1">
        <v>25201</v>
      </c>
      <c r="G572" s="1" t="s">
        <v>89</v>
      </c>
      <c r="H572" s="1" t="s">
        <v>18</v>
      </c>
      <c r="J572" s="2" t="s">
        <v>19</v>
      </c>
      <c r="K572" s="1" t="s">
        <v>1368</v>
      </c>
      <c r="L572" s="1" t="s">
        <v>20</v>
      </c>
      <c r="N572" s="1" t="str">
        <f t="shared" si="8"/>
        <v>ALEX DIAS</v>
      </c>
    </row>
    <row r="573" spans="1:14" x14ac:dyDescent="0.3">
      <c r="A573" s="1">
        <v>702404</v>
      </c>
      <c r="B573" s="1" t="s">
        <v>560</v>
      </c>
      <c r="C573" s="5" t="s">
        <v>15</v>
      </c>
      <c r="D573" s="2">
        <v>44383</v>
      </c>
      <c r="E573" s="2" t="s">
        <v>83</v>
      </c>
      <c r="F573" s="1">
        <v>34201</v>
      </c>
      <c r="G573" s="1" t="s">
        <v>84</v>
      </c>
      <c r="H573" s="1" t="s">
        <v>18</v>
      </c>
      <c r="J573" s="2" t="s">
        <v>85</v>
      </c>
      <c r="K573" s="1" t="s">
        <v>1371</v>
      </c>
      <c r="L573" s="1" t="s">
        <v>1371</v>
      </c>
      <c r="M573" s="1" t="s">
        <v>1380</v>
      </c>
      <c r="N573" s="1" t="str">
        <f t="shared" si="8"/>
        <v xml:space="preserve">LEONARDO SANTOS </v>
      </c>
    </row>
    <row r="574" spans="1:14" x14ac:dyDescent="0.3">
      <c r="A574" s="1">
        <v>701090</v>
      </c>
      <c r="B574" s="1" t="s">
        <v>561</v>
      </c>
      <c r="C574" s="5" t="s">
        <v>15</v>
      </c>
      <c r="D574" s="2">
        <v>43626</v>
      </c>
      <c r="E574" s="2" t="s">
        <v>127</v>
      </c>
      <c r="F574" s="1">
        <v>22102</v>
      </c>
      <c r="G574" s="1" t="s">
        <v>68</v>
      </c>
      <c r="H574" s="1" t="s">
        <v>18</v>
      </c>
      <c r="J574" s="2" t="s">
        <v>81</v>
      </c>
      <c r="K574" s="1" t="s">
        <v>1371</v>
      </c>
      <c r="L574" s="1" t="s">
        <v>1509</v>
      </c>
      <c r="M574" s="1" t="s">
        <v>1379</v>
      </c>
      <c r="N574" s="1" t="str">
        <f t="shared" si="8"/>
        <v xml:space="preserve">EDSON/MARCELO LIMA </v>
      </c>
    </row>
    <row r="575" spans="1:14" x14ac:dyDescent="0.3">
      <c r="A575" s="1">
        <v>705014</v>
      </c>
      <c r="B575" s="1" t="s">
        <v>562</v>
      </c>
      <c r="C575" s="5" t="s">
        <v>15</v>
      </c>
      <c r="D575" s="2">
        <v>45635</v>
      </c>
      <c r="E575" s="2" t="s">
        <v>93</v>
      </c>
      <c r="F575" s="1">
        <v>34201</v>
      </c>
      <c r="G575" s="1" t="s">
        <v>84</v>
      </c>
      <c r="H575" s="1" t="s">
        <v>18</v>
      </c>
      <c r="J575" s="2" t="s">
        <v>85</v>
      </c>
      <c r="K575" s="1" t="s">
        <v>1371</v>
      </c>
      <c r="L575" s="1" t="s">
        <v>1371</v>
      </c>
      <c r="M575" s="1" t="s">
        <v>1380</v>
      </c>
      <c r="N575" s="1" t="str">
        <f t="shared" si="8"/>
        <v xml:space="preserve">LEONARDO SANTOS </v>
      </c>
    </row>
    <row r="576" spans="1:14" x14ac:dyDescent="0.3">
      <c r="A576" s="1">
        <v>702813</v>
      </c>
      <c r="B576" s="1" t="s">
        <v>563</v>
      </c>
      <c r="C576" s="5" t="s">
        <v>15</v>
      </c>
      <c r="D576" s="2">
        <v>44613</v>
      </c>
      <c r="E576" s="2" t="s">
        <v>138</v>
      </c>
      <c r="F576" s="1">
        <v>52104</v>
      </c>
      <c r="G576" s="1" t="s">
        <v>17</v>
      </c>
      <c r="H576" s="1" t="s">
        <v>18</v>
      </c>
      <c r="J576" s="2" t="s">
        <v>19</v>
      </c>
      <c r="K576" s="1" t="s">
        <v>1368</v>
      </c>
      <c r="L576" s="1" t="s">
        <v>20</v>
      </c>
      <c r="N576" s="1" t="str">
        <f t="shared" si="8"/>
        <v>ALEX DIAS</v>
      </c>
    </row>
    <row r="577" spans="1:14" x14ac:dyDescent="0.3">
      <c r="A577" s="1">
        <v>705621</v>
      </c>
      <c r="B577" s="1" t="s">
        <v>1416</v>
      </c>
      <c r="C577" s="5" t="s">
        <v>92</v>
      </c>
      <c r="D577" s="2">
        <v>45944</v>
      </c>
      <c r="E577" s="2" t="s">
        <v>31</v>
      </c>
      <c r="F577" s="1">
        <v>25102</v>
      </c>
      <c r="G577" s="1" t="s">
        <v>1153</v>
      </c>
      <c r="H577" s="1" t="s">
        <v>18</v>
      </c>
      <c r="I577" s="2">
        <v>46033</v>
      </c>
      <c r="J577" s="2" t="s">
        <v>19</v>
      </c>
      <c r="K577" s="1" t="s">
        <v>1368</v>
      </c>
      <c r="L577" s="1" t="s">
        <v>20</v>
      </c>
      <c r="N577" s="1" t="str">
        <f t="shared" si="8"/>
        <v>ALEX DIAS</v>
      </c>
    </row>
    <row r="578" spans="1:14" x14ac:dyDescent="0.3">
      <c r="A578" s="1">
        <v>705128</v>
      </c>
      <c r="B578" s="1" t="s">
        <v>1145</v>
      </c>
      <c r="C578" s="5" t="s">
        <v>15</v>
      </c>
      <c r="D578" s="2">
        <v>45698</v>
      </c>
      <c r="E578" s="2" t="s">
        <v>93</v>
      </c>
      <c r="F578" s="1">
        <v>22102</v>
      </c>
      <c r="G578" s="1" t="s">
        <v>68</v>
      </c>
      <c r="H578" s="1" t="s">
        <v>18</v>
      </c>
      <c r="J578" s="2" t="s">
        <v>94</v>
      </c>
      <c r="K578" s="1" t="s">
        <v>1371</v>
      </c>
      <c r="L578" s="1" t="s">
        <v>1378</v>
      </c>
      <c r="M578" s="1" t="s">
        <v>95</v>
      </c>
      <c r="N578" s="1" t="str">
        <f t="shared" si="8"/>
        <v>LUAN ABADIA</v>
      </c>
    </row>
    <row r="579" spans="1:14" x14ac:dyDescent="0.3">
      <c r="A579" s="1">
        <v>703536</v>
      </c>
      <c r="B579" s="1" t="s">
        <v>564</v>
      </c>
      <c r="C579" s="5" t="s">
        <v>15</v>
      </c>
      <c r="D579" s="2">
        <v>44907</v>
      </c>
      <c r="E579" s="2" t="s">
        <v>188</v>
      </c>
      <c r="F579" s="1">
        <v>22102</v>
      </c>
      <c r="G579" s="1" t="s">
        <v>68</v>
      </c>
      <c r="H579" s="1" t="s">
        <v>18</v>
      </c>
      <c r="J579" s="2" t="s">
        <v>81</v>
      </c>
      <c r="K579" s="1" t="s">
        <v>1371</v>
      </c>
      <c r="L579" s="1" t="s">
        <v>1509</v>
      </c>
      <c r="M579" s="1" t="s">
        <v>1379</v>
      </c>
      <c r="N579" s="1" t="str">
        <f t="shared" ref="N579:N642" si="9">IF(M579&lt;&gt;"", M579, IF(L579&lt;&gt;"", L579, K579))</f>
        <v xml:space="preserve">EDSON/MARCELO LIMA </v>
      </c>
    </row>
    <row r="580" spans="1:14" x14ac:dyDescent="0.3">
      <c r="A580" s="1">
        <v>703564</v>
      </c>
      <c r="B580" s="1" t="s">
        <v>565</v>
      </c>
      <c r="C580" s="5" t="s">
        <v>15</v>
      </c>
      <c r="D580" s="2">
        <v>44942</v>
      </c>
      <c r="E580" s="2" t="s">
        <v>97</v>
      </c>
      <c r="F580" s="1">
        <v>32101</v>
      </c>
      <c r="G580" s="1" t="s">
        <v>23</v>
      </c>
      <c r="H580" s="1" t="s">
        <v>18</v>
      </c>
      <c r="J580" s="2" t="s">
        <v>24</v>
      </c>
      <c r="K580" s="1" t="s">
        <v>25</v>
      </c>
      <c r="L580" s="1" t="s">
        <v>1369</v>
      </c>
      <c r="M580" s="1" t="s">
        <v>1370</v>
      </c>
      <c r="N580" s="1" t="str">
        <f t="shared" si="9"/>
        <v>JUNIO COSTA</v>
      </c>
    </row>
    <row r="581" spans="1:14" x14ac:dyDescent="0.3">
      <c r="A581" s="1">
        <v>703147</v>
      </c>
      <c r="B581" s="1" t="s">
        <v>566</v>
      </c>
      <c r="C581" s="5" t="s">
        <v>15</v>
      </c>
      <c r="D581" s="2">
        <v>44718</v>
      </c>
      <c r="E581" s="2" t="s">
        <v>71</v>
      </c>
      <c r="F581" s="1">
        <v>25201</v>
      </c>
      <c r="G581" s="1" t="s">
        <v>89</v>
      </c>
      <c r="H581" s="1" t="s">
        <v>18</v>
      </c>
      <c r="J581" s="2" t="s">
        <v>19</v>
      </c>
      <c r="K581" s="1" t="s">
        <v>1368</v>
      </c>
      <c r="L581" s="1" t="s">
        <v>20</v>
      </c>
      <c r="N581" s="1" t="str">
        <f t="shared" si="9"/>
        <v>ALEX DIAS</v>
      </c>
    </row>
    <row r="582" spans="1:14" x14ac:dyDescent="0.3">
      <c r="A582" s="1">
        <v>705787</v>
      </c>
      <c r="B582" s="1" t="s">
        <v>1533</v>
      </c>
      <c r="C582" s="5" t="s">
        <v>15</v>
      </c>
      <c r="D582" s="2">
        <v>46035</v>
      </c>
      <c r="E582" s="2" t="s">
        <v>31</v>
      </c>
      <c r="F582" s="1">
        <v>25102</v>
      </c>
      <c r="G582" s="1" t="s">
        <v>1153</v>
      </c>
      <c r="H582" s="1" t="s">
        <v>18</v>
      </c>
      <c r="J582" s="2" t="s">
        <v>19</v>
      </c>
      <c r="K582" s="1" t="s">
        <v>1368</v>
      </c>
      <c r="L582" s="1" t="s">
        <v>20</v>
      </c>
      <c r="N582" s="1" t="str">
        <f t="shared" si="9"/>
        <v>ALEX DIAS</v>
      </c>
    </row>
    <row r="583" spans="1:14" x14ac:dyDescent="0.3">
      <c r="A583" s="1">
        <v>705392</v>
      </c>
      <c r="B583" s="1" t="s">
        <v>1272</v>
      </c>
      <c r="C583" s="5" t="s">
        <v>15</v>
      </c>
      <c r="D583" s="2">
        <v>45791</v>
      </c>
      <c r="E583" s="2" t="s">
        <v>22</v>
      </c>
      <c r="F583" s="1">
        <v>34101</v>
      </c>
      <c r="G583" s="1" t="s">
        <v>43</v>
      </c>
      <c r="H583" s="1" t="s">
        <v>18</v>
      </c>
      <c r="J583" s="2" t="s">
        <v>237</v>
      </c>
      <c r="K583" s="1" t="s">
        <v>25</v>
      </c>
      <c r="L583" s="1" t="s">
        <v>1374</v>
      </c>
      <c r="M583" s="1" t="s">
        <v>1384</v>
      </c>
      <c r="N583" s="1" t="str">
        <f t="shared" si="9"/>
        <v xml:space="preserve">MARCOS VINICIUS </v>
      </c>
    </row>
    <row r="584" spans="1:14" x14ac:dyDescent="0.3">
      <c r="A584" s="1">
        <v>705219</v>
      </c>
      <c r="B584" s="1" t="s">
        <v>1168</v>
      </c>
      <c r="C584" s="5" t="s">
        <v>15</v>
      </c>
      <c r="D584" s="2">
        <v>45734</v>
      </c>
      <c r="E584" s="2" t="s">
        <v>31</v>
      </c>
      <c r="F584" s="1">
        <v>22102</v>
      </c>
      <c r="G584" s="1" t="s">
        <v>68</v>
      </c>
      <c r="H584" s="1" t="s">
        <v>18</v>
      </c>
      <c r="J584" s="2" t="s">
        <v>167</v>
      </c>
      <c r="K584" s="1" t="s">
        <v>1371</v>
      </c>
      <c r="L584" s="1" t="s">
        <v>1509</v>
      </c>
      <c r="M584" s="1" t="s">
        <v>1383</v>
      </c>
      <c r="N584" s="1" t="str">
        <f t="shared" si="9"/>
        <v>WANDRES/FABIANO</v>
      </c>
    </row>
    <row r="585" spans="1:14" x14ac:dyDescent="0.3">
      <c r="A585" s="1">
        <v>705620</v>
      </c>
      <c r="B585" s="1" t="s">
        <v>1417</v>
      </c>
      <c r="C585" s="5" t="s">
        <v>92</v>
      </c>
      <c r="D585" s="2">
        <v>45944</v>
      </c>
      <c r="E585" s="2" t="s">
        <v>31</v>
      </c>
      <c r="F585" s="1">
        <v>25102</v>
      </c>
      <c r="G585" s="1" t="s">
        <v>1153</v>
      </c>
      <c r="H585" s="1" t="s">
        <v>18</v>
      </c>
      <c r="I585" s="2">
        <v>46033</v>
      </c>
      <c r="J585" s="2" t="s">
        <v>19</v>
      </c>
      <c r="K585" s="1" t="s">
        <v>1368</v>
      </c>
      <c r="L585" s="1" t="s">
        <v>20</v>
      </c>
      <c r="N585" s="1" t="str">
        <f t="shared" si="9"/>
        <v>ALEX DIAS</v>
      </c>
    </row>
    <row r="586" spans="1:14" x14ac:dyDescent="0.3">
      <c r="A586" s="1">
        <v>704229</v>
      </c>
      <c r="B586" s="1" t="s">
        <v>568</v>
      </c>
      <c r="C586" s="5" t="s">
        <v>15</v>
      </c>
      <c r="D586" s="2">
        <v>45328</v>
      </c>
      <c r="E586" s="2" t="s">
        <v>230</v>
      </c>
      <c r="F586" s="1">
        <v>38101</v>
      </c>
      <c r="G586" s="1" t="s">
        <v>35</v>
      </c>
      <c r="H586" s="1" t="s">
        <v>18</v>
      </c>
      <c r="J586" s="2" t="s">
        <v>36</v>
      </c>
      <c r="K586" s="1" t="s">
        <v>1372</v>
      </c>
      <c r="L586" s="1" t="s">
        <v>1372</v>
      </c>
      <c r="M586" s="1" t="s">
        <v>1373</v>
      </c>
      <c r="N586" s="1" t="str">
        <f t="shared" si="9"/>
        <v>DENIS ACASSIO</v>
      </c>
    </row>
    <row r="587" spans="1:14" x14ac:dyDescent="0.3">
      <c r="A587" s="1">
        <v>705731</v>
      </c>
      <c r="B587" s="1" t="s">
        <v>1457</v>
      </c>
      <c r="C587" s="5" t="s">
        <v>15</v>
      </c>
      <c r="D587" s="2">
        <v>45972</v>
      </c>
      <c r="E587" s="2" t="s">
        <v>31</v>
      </c>
      <c r="F587" s="1">
        <v>25102</v>
      </c>
      <c r="G587" s="1" t="s">
        <v>1153</v>
      </c>
      <c r="H587" s="1" t="s">
        <v>18</v>
      </c>
      <c r="J587" s="2" t="s">
        <v>19</v>
      </c>
      <c r="K587" s="1" t="s">
        <v>1368</v>
      </c>
      <c r="L587" s="1" t="s">
        <v>20</v>
      </c>
      <c r="N587" s="1" t="str">
        <f t="shared" si="9"/>
        <v>ALEX DIAS</v>
      </c>
    </row>
    <row r="588" spans="1:14" x14ac:dyDescent="0.3">
      <c r="A588" s="1">
        <v>705126</v>
      </c>
      <c r="B588" s="1" t="s">
        <v>1146</v>
      </c>
      <c r="C588" s="5" t="s">
        <v>15</v>
      </c>
      <c r="D588" s="2">
        <v>45698</v>
      </c>
      <c r="E588" s="2" t="s">
        <v>31</v>
      </c>
      <c r="F588" s="1">
        <v>22102</v>
      </c>
      <c r="G588" s="1" t="s">
        <v>68</v>
      </c>
      <c r="H588" s="1" t="s">
        <v>18</v>
      </c>
      <c r="J588" s="2" t="s">
        <v>94</v>
      </c>
      <c r="K588" s="1" t="s">
        <v>1371</v>
      </c>
      <c r="L588" s="1" t="s">
        <v>1378</v>
      </c>
      <c r="M588" s="1" t="s">
        <v>95</v>
      </c>
      <c r="N588" s="1" t="str">
        <f t="shared" si="9"/>
        <v>LUAN ABADIA</v>
      </c>
    </row>
    <row r="589" spans="1:14" x14ac:dyDescent="0.3">
      <c r="A589" s="1">
        <v>705370</v>
      </c>
      <c r="B589" s="1" t="s">
        <v>1233</v>
      </c>
      <c r="C589" s="5" t="s">
        <v>15</v>
      </c>
      <c r="D589" s="2">
        <v>45784</v>
      </c>
      <c r="E589" s="2" t="s">
        <v>166</v>
      </c>
      <c r="F589" s="1">
        <v>22102</v>
      </c>
      <c r="G589" s="1" t="s">
        <v>68</v>
      </c>
      <c r="H589" s="1" t="s">
        <v>18</v>
      </c>
      <c r="J589" s="2" t="s">
        <v>94</v>
      </c>
      <c r="K589" s="1" t="s">
        <v>1371</v>
      </c>
      <c r="L589" s="1" t="s">
        <v>1378</v>
      </c>
      <c r="M589" s="1" t="s">
        <v>95</v>
      </c>
      <c r="N589" s="1" t="str">
        <f t="shared" si="9"/>
        <v>LUAN ABADIA</v>
      </c>
    </row>
    <row r="590" spans="1:14" x14ac:dyDescent="0.3">
      <c r="A590" s="1">
        <v>704920</v>
      </c>
      <c r="B590" s="1" t="s">
        <v>1138</v>
      </c>
      <c r="C590" s="5" t="s">
        <v>15</v>
      </c>
      <c r="D590" s="2">
        <v>45601</v>
      </c>
      <c r="E590" s="2" t="s">
        <v>31</v>
      </c>
      <c r="F590" s="1">
        <v>22102</v>
      </c>
      <c r="G590" s="1" t="s">
        <v>68</v>
      </c>
      <c r="H590" s="1" t="s">
        <v>18</v>
      </c>
      <c r="J590" s="2" t="s">
        <v>81</v>
      </c>
      <c r="K590" s="1" t="s">
        <v>1371</v>
      </c>
      <c r="L590" s="1" t="s">
        <v>1509</v>
      </c>
      <c r="M590" s="1" t="s">
        <v>1379</v>
      </c>
      <c r="N590" s="1" t="str">
        <f t="shared" si="9"/>
        <v xml:space="preserve">EDSON/MARCELO LIMA </v>
      </c>
    </row>
    <row r="591" spans="1:14" x14ac:dyDescent="0.3">
      <c r="A591" s="1">
        <v>703488</v>
      </c>
      <c r="B591" s="1" t="s">
        <v>569</v>
      </c>
      <c r="C591" s="5" t="s">
        <v>15</v>
      </c>
      <c r="D591" s="2">
        <v>44887</v>
      </c>
      <c r="E591" s="2" t="s">
        <v>31</v>
      </c>
      <c r="F591" s="1">
        <v>52104</v>
      </c>
      <c r="G591" s="1" t="s">
        <v>17</v>
      </c>
      <c r="H591" s="1" t="s">
        <v>18</v>
      </c>
      <c r="J591" s="2" t="s">
        <v>19</v>
      </c>
      <c r="K591" s="1" t="s">
        <v>1368</v>
      </c>
      <c r="L591" s="1" t="s">
        <v>20</v>
      </c>
      <c r="N591" s="1" t="str">
        <f t="shared" si="9"/>
        <v>ALEX DIAS</v>
      </c>
    </row>
    <row r="592" spans="1:14" x14ac:dyDescent="0.3">
      <c r="A592" s="1">
        <v>159</v>
      </c>
      <c r="B592" s="1" t="s">
        <v>570</v>
      </c>
      <c r="C592" s="5" t="s">
        <v>15</v>
      </c>
      <c r="D592" s="2">
        <v>45352</v>
      </c>
      <c r="E592" s="2" t="s">
        <v>276</v>
      </c>
      <c r="F592" s="1">
        <v>14101</v>
      </c>
      <c r="G592" s="1" t="s">
        <v>277</v>
      </c>
      <c r="H592" s="1" t="s">
        <v>571</v>
      </c>
      <c r="J592" s="2" t="s">
        <v>572</v>
      </c>
      <c r="K592" s="1" t="s">
        <v>1372</v>
      </c>
      <c r="L592" s="1" t="s">
        <v>1372</v>
      </c>
      <c r="N592" s="1" t="str">
        <f t="shared" si="9"/>
        <v xml:space="preserve">LEIDJANE MARTINS </v>
      </c>
    </row>
    <row r="593" spans="1:14" x14ac:dyDescent="0.3">
      <c r="A593" s="1">
        <v>132</v>
      </c>
      <c r="B593" s="1" t="s">
        <v>573</v>
      </c>
      <c r="C593" s="5" t="s">
        <v>15</v>
      </c>
      <c r="D593" s="2">
        <v>44718</v>
      </c>
      <c r="E593" s="2" t="s">
        <v>574</v>
      </c>
      <c r="F593" s="1">
        <v>17101</v>
      </c>
      <c r="G593" s="1" t="s">
        <v>575</v>
      </c>
      <c r="H593" s="1" t="s">
        <v>571</v>
      </c>
      <c r="J593" s="2" t="s">
        <v>576</v>
      </c>
      <c r="K593" s="1" t="s">
        <v>577</v>
      </c>
      <c r="L593" s="1" t="s">
        <v>577</v>
      </c>
      <c r="N593" s="1" t="str">
        <f t="shared" si="9"/>
        <v>RAFAEL NETTO</v>
      </c>
    </row>
    <row r="594" spans="1:14" x14ac:dyDescent="0.3">
      <c r="A594" s="1">
        <v>92</v>
      </c>
      <c r="B594" s="1" t="s">
        <v>50</v>
      </c>
      <c r="C594" s="5" t="s">
        <v>15</v>
      </c>
      <c r="D594" s="2">
        <v>42772</v>
      </c>
      <c r="E594" s="2" t="s">
        <v>578</v>
      </c>
      <c r="F594" s="1">
        <v>12101</v>
      </c>
      <c r="G594" s="1" t="s">
        <v>579</v>
      </c>
      <c r="H594" s="1" t="s">
        <v>571</v>
      </c>
      <c r="J594" s="2" t="s">
        <v>580</v>
      </c>
      <c r="K594" s="1" t="s">
        <v>581</v>
      </c>
      <c r="N594" s="1" t="str">
        <f t="shared" si="9"/>
        <v>RENAN ROVAI</v>
      </c>
    </row>
    <row r="595" spans="1:14" x14ac:dyDescent="0.3">
      <c r="A595" s="1">
        <v>157</v>
      </c>
      <c r="B595" s="1" t="s">
        <v>582</v>
      </c>
      <c r="C595" s="5" t="s">
        <v>15</v>
      </c>
      <c r="D595" s="2">
        <v>45355</v>
      </c>
      <c r="E595" s="2" t="s">
        <v>1234</v>
      </c>
      <c r="F595" s="1">
        <v>12104</v>
      </c>
      <c r="G595" s="1" t="s">
        <v>583</v>
      </c>
      <c r="H595" s="1" t="s">
        <v>571</v>
      </c>
      <c r="J595" s="2" t="s">
        <v>584</v>
      </c>
      <c r="K595" s="1" t="s">
        <v>585</v>
      </c>
      <c r="L595" s="1" t="s">
        <v>585</v>
      </c>
      <c r="N595" s="1" t="str">
        <f t="shared" si="9"/>
        <v>RAFAEL PREVELATO</v>
      </c>
    </row>
    <row r="596" spans="1:14" x14ac:dyDescent="0.3">
      <c r="A596" s="1">
        <v>139</v>
      </c>
      <c r="B596" s="1" t="s">
        <v>586</v>
      </c>
      <c r="C596" s="5" t="s">
        <v>15</v>
      </c>
      <c r="D596" s="2">
        <v>44927</v>
      </c>
      <c r="E596" s="2" t="s">
        <v>587</v>
      </c>
      <c r="F596" s="1">
        <v>17101</v>
      </c>
      <c r="G596" s="1" t="s">
        <v>575</v>
      </c>
      <c r="H596" s="1" t="s">
        <v>571</v>
      </c>
      <c r="J596" s="2" t="s">
        <v>576</v>
      </c>
      <c r="K596" s="1" t="s">
        <v>577</v>
      </c>
      <c r="L596" s="1" t="s">
        <v>577</v>
      </c>
      <c r="N596" s="1" t="str">
        <f t="shared" si="9"/>
        <v>RAFAEL NETTO</v>
      </c>
    </row>
    <row r="597" spans="1:14" x14ac:dyDescent="0.3">
      <c r="A597" s="1">
        <v>152</v>
      </c>
      <c r="B597" s="1" t="s">
        <v>588</v>
      </c>
      <c r="C597" s="5" t="s">
        <v>15</v>
      </c>
      <c r="D597" s="2">
        <v>45145</v>
      </c>
      <c r="E597" s="2" t="s">
        <v>589</v>
      </c>
      <c r="F597" s="1">
        <v>12106</v>
      </c>
      <c r="G597" s="1" t="s">
        <v>590</v>
      </c>
      <c r="H597" s="1" t="s">
        <v>571</v>
      </c>
      <c r="J597" s="2" t="s">
        <v>591</v>
      </c>
      <c r="K597" s="1" t="s">
        <v>592</v>
      </c>
      <c r="L597" s="1" t="s">
        <v>592</v>
      </c>
      <c r="N597" s="1" t="str">
        <f t="shared" si="9"/>
        <v>THALITA SABINA</v>
      </c>
    </row>
    <row r="598" spans="1:14" x14ac:dyDescent="0.3">
      <c r="A598" s="1">
        <v>702550</v>
      </c>
      <c r="B598" s="1" t="s">
        <v>593</v>
      </c>
      <c r="C598" s="5" t="s">
        <v>15</v>
      </c>
      <c r="D598" s="2">
        <v>44452</v>
      </c>
      <c r="E598" s="2" t="s">
        <v>594</v>
      </c>
      <c r="F598" s="1">
        <v>11101</v>
      </c>
      <c r="G598" s="1" t="s">
        <v>595</v>
      </c>
      <c r="H598" s="1" t="s">
        <v>571</v>
      </c>
      <c r="J598" s="2" t="s">
        <v>596</v>
      </c>
      <c r="K598" s="1" t="s">
        <v>597</v>
      </c>
      <c r="N598" s="1" t="str">
        <f t="shared" si="9"/>
        <v>MIGUEL PRADO</v>
      </c>
    </row>
    <row r="599" spans="1:14" x14ac:dyDescent="0.3">
      <c r="A599" s="1">
        <v>21</v>
      </c>
      <c r="B599" s="1" t="s">
        <v>598</v>
      </c>
      <c r="C599" s="5" t="s">
        <v>15</v>
      </c>
      <c r="D599" s="2">
        <v>40708</v>
      </c>
      <c r="E599" s="2" t="s">
        <v>599</v>
      </c>
      <c r="F599" s="1">
        <v>12107</v>
      </c>
      <c r="G599" s="1" t="s">
        <v>600</v>
      </c>
      <c r="H599" s="1" t="s">
        <v>571</v>
      </c>
      <c r="J599" s="2" t="s">
        <v>601</v>
      </c>
      <c r="K599" s="1" t="s">
        <v>592</v>
      </c>
      <c r="L599" s="1" t="s">
        <v>592</v>
      </c>
      <c r="N599" s="1" t="str">
        <f t="shared" si="9"/>
        <v>THALITA SABINA</v>
      </c>
    </row>
    <row r="600" spans="1:14" x14ac:dyDescent="0.3">
      <c r="A600" s="1">
        <v>115</v>
      </c>
      <c r="B600" s="1" t="s">
        <v>602</v>
      </c>
      <c r="C600" s="5" t="s">
        <v>15</v>
      </c>
      <c r="D600" s="2">
        <v>44361</v>
      </c>
      <c r="E600" s="2" t="s">
        <v>47</v>
      </c>
      <c r="F600" s="1">
        <v>35101</v>
      </c>
      <c r="G600" s="1" t="s">
        <v>48</v>
      </c>
      <c r="H600" s="1" t="s">
        <v>571</v>
      </c>
      <c r="J600" s="2" t="s">
        <v>49</v>
      </c>
      <c r="K600" s="1" t="s">
        <v>50</v>
      </c>
      <c r="L600" s="1" t="s">
        <v>50</v>
      </c>
      <c r="M600" s="1" t="s">
        <v>1474</v>
      </c>
      <c r="N600" s="1" t="str">
        <f t="shared" si="9"/>
        <v>NICHOLLAS OLIVEIRA</v>
      </c>
    </row>
    <row r="601" spans="1:14" x14ac:dyDescent="0.3">
      <c r="A601" s="1">
        <v>173</v>
      </c>
      <c r="B601" s="1" t="s">
        <v>1458</v>
      </c>
      <c r="C601" s="5" t="s">
        <v>15</v>
      </c>
      <c r="D601" s="2">
        <v>45965</v>
      </c>
      <c r="E601" s="2" t="s">
        <v>1459</v>
      </c>
      <c r="F601" s="1">
        <v>12104</v>
      </c>
      <c r="G601" s="1" t="s">
        <v>583</v>
      </c>
      <c r="H601" s="1" t="s">
        <v>571</v>
      </c>
      <c r="J601" s="2" t="s">
        <v>584</v>
      </c>
      <c r="K601" s="1" t="s">
        <v>585</v>
      </c>
      <c r="L601" s="1" t="s">
        <v>585</v>
      </c>
      <c r="N601" s="1" t="str">
        <f t="shared" si="9"/>
        <v>RAFAEL PREVELATO</v>
      </c>
    </row>
    <row r="602" spans="1:14" x14ac:dyDescent="0.3">
      <c r="A602" s="1">
        <v>82</v>
      </c>
      <c r="B602" s="1" t="s">
        <v>604</v>
      </c>
      <c r="C602" s="5" t="s">
        <v>15</v>
      </c>
      <c r="D602" s="2">
        <v>43052</v>
      </c>
      <c r="E602" s="2" t="s">
        <v>605</v>
      </c>
      <c r="F602" s="1">
        <v>14102</v>
      </c>
      <c r="G602" s="1" t="s">
        <v>606</v>
      </c>
      <c r="H602" s="1" t="s">
        <v>571</v>
      </c>
      <c r="J602" s="2" t="s">
        <v>572</v>
      </c>
      <c r="K602" s="1" t="s">
        <v>1372</v>
      </c>
      <c r="L602" s="1" t="s">
        <v>1372</v>
      </c>
      <c r="N602" s="1" t="str">
        <f t="shared" si="9"/>
        <v xml:space="preserve">LEIDJANE MARTINS </v>
      </c>
    </row>
    <row r="603" spans="1:14" x14ac:dyDescent="0.3">
      <c r="A603" s="1">
        <v>67</v>
      </c>
      <c r="B603" s="1" t="s">
        <v>608</v>
      </c>
      <c r="C603" s="5" t="s">
        <v>15</v>
      </c>
      <c r="D603" s="2">
        <v>42681</v>
      </c>
      <c r="E603" s="2" t="s">
        <v>609</v>
      </c>
      <c r="F603" s="1">
        <v>11101</v>
      </c>
      <c r="G603" s="1" t="s">
        <v>595</v>
      </c>
      <c r="H603" s="1" t="s">
        <v>571</v>
      </c>
      <c r="J603" s="2" t="s">
        <v>610</v>
      </c>
      <c r="K603" s="1" t="s">
        <v>597</v>
      </c>
      <c r="N603" s="1" t="str">
        <f t="shared" si="9"/>
        <v>MIGUEL PRADO</v>
      </c>
    </row>
    <row r="604" spans="1:14" x14ac:dyDescent="0.3">
      <c r="A604" s="1">
        <v>112</v>
      </c>
      <c r="B604" s="1" t="s">
        <v>611</v>
      </c>
      <c r="C604" s="5" t="s">
        <v>15</v>
      </c>
      <c r="D604" s="2">
        <v>44249</v>
      </c>
      <c r="E604" s="2" t="s">
        <v>1507</v>
      </c>
      <c r="F604" s="1">
        <v>35101</v>
      </c>
      <c r="G604" s="1" t="s">
        <v>48</v>
      </c>
      <c r="H604" s="1" t="s">
        <v>571</v>
      </c>
      <c r="J604" s="2" t="s">
        <v>49</v>
      </c>
      <c r="K604" s="1" t="s">
        <v>50</v>
      </c>
      <c r="L604" s="1" t="s">
        <v>50</v>
      </c>
      <c r="M604" s="1" t="s">
        <v>1474</v>
      </c>
      <c r="N604" s="1" t="str">
        <f t="shared" si="9"/>
        <v>NICHOLLAS OLIVEIRA</v>
      </c>
    </row>
    <row r="605" spans="1:14" x14ac:dyDescent="0.3">
      <c r="A605" s="1">
        <v>174</v>
      </c>
      <c r="B605" s="1" t="s">
        <v>1460</v>
      </c>
      <c r="C605" s="5" t="s">
        <v>15</v>
      </c>
      <c r="D605" s="2">
        <v>45973</v>
      </c>
      <c r="E605" s="2" t="s">
        <v>77</v>
      </c>
      <c r="F605" s="1">
        <v>14105</v>
      </c>
      <c r="G605" s="1" t="s">
        <v>1442</v>
      </c>
      <c r="H605" s="1" t="s">
        <v>571</v>
      </c>
      <c r="J605" s="2" t="s">
        <v>49</v>
      </c>
      <c r="K605" s="1" t="s">
        <v>50</v>
      </c>
      <c r="L605" s="1" t="s">
        <v>50</v>
      </c>
      <c r="M605" s="1" t="s">
        <v>1474</v>
      </c>
      <c r="N605" s="1" t="str">
        <f t="shared" si="9"/>
        <v>NICHOLLAS OLIVEIRA</v>
      </c>
    </row>
    <row r="606" spans="1:14" x14ac:dyDescent="0.3">
      <c r="A606" s="1">
        <v>161</v>
      </c>
      <c r="B606" s="1" t="s">
        <v>612</v>
      </c>
      <c r="C606" s="5" t="s">
        <v>15</v>
      </c>
      <c r="D606" s="2">
        <v>45446</v>
      </c>
      <c r="E606" s="2" t="s">
        <v>613</v>
      </c>
      <c r="F606" s="1">
        <v>12107</v>
      </c>
      <c r="G606" s="1" t="s">
        <v>600</v>
      </c>
      <c r="H606" s="1" t="s">
        <v>571</v>
      </c>
      <c r="J606" s="2" t="s">
        <v>601</v>
      </c>
      <c r="K606" s="1" t="s">
        <v>592</v>
      </c>
      <c r="L606" s="1" t="s">
        <v>592</v>
      </c>
      <c r="N606" s="1" t="str">
        <f t="shared" si="9"/>
        <v>THALITA SABINA</v>
      </c>
    </row>
    <row r="607" spans="1:14" x14ac:dyDescent="0.3">
      <c r="A607" s="1">
        <v>120</v>
      </c>
      <c r="B607" s="1" t="s">
        <v>614</v>
      </c>
      <c r="C607" s="5" t="s">
        <v>15</v>
      </c>
      <c r="D607" s="2">
        <v>44447</v>
      </c>
      <c r="E607" s="2" t="s">
        <v>615</v>
      </c>
      <c r="F607" s="1">
        <v>12101</v>
      </c>
      <c r="G607" s="1" t="s">
        <v>579</v>
      </c>
      <c r="H607" s="1" t="s">
        <v>571</v>
      </c>
      <c r="J607" s="2" t="s">
        <v>616</v>
      </c>
      <c r="K607" s="1" t="s">
        <v>581</v>
      </c>
      <c r="N607" s="1" t="str">
        <f t="shared" si="9"/>
        <v>RENAN ROVAI</v>
      </c>
    </row>
    <row r="608" spans="1:14" x14ac:dyDescent="0.3">
      <c r="A608" s="1">
        <v>155</v>
      </c>
      <c r="B608" s="1" t="s">
        <v>617</v>
      </c>
      <c r="C608" s="5" t="s">
        <v>233</v>
      </c>
      <c r="D608" s="2">
        <v>45341</v>
      </c>
      <c r="E608" s="2" t="s">
        <v>47</v>
      </c>
      <c r="F608" s="1">
        <v>35101</v>
      </c>
      <c r="G608" s="1" t="s">
        <v>48</v>
      </c>
      <c r="H608" s="1" t="s">
        <v>571</v>
      </c>
      <c r="J608" s="2" t="s">
        <v>49</v>
      </c>
      <c r="K608" s="1" t="s">
        <v>50</v>
      </c>
      <c r="L608" s="1" t="s">
        <v>50</v>
      </c>
      <c r="M608" s="1" t="s">
        <v>1474</v>
      </c>
      <c r="N608" s="1" t="str">
        <f t="shared" si="9"/>
        <v>NICHOLLAS OLIVEIRA</v>
      </c>
    </row>
    <row r="609" spans="1:14" x14ac:dyDescent="0.3">
      <c r="A609" s="1">
        <v>170</v>
      </c>
      <c r="B609" s="1" t="s">
        <v>619</v>
      </c>
      <c r="C609" s="5" t="s">
        <v>15</v>
      </c>
      <c r="D609" s="2">
        <v>45602</v>
      </c>
      <c r="E609" s="2" t="s">
        <v>620</v>
      </c>
      <c r="F609" s="1">
        <v>12106</v>
      </c>
      <c r="G609" s="1" t="s">
        <v>590</v>
      </c>
      <c r="H609" s="1" t="s">
        <v>571</v>
      </c>
      <c r="J609" s="2" t="s">
        <v>591</v>
      </c>
      <c r="K609" s="1" t="s">
        <v>592</v>
      </c>
      <c r="L609" s="1" t="s">
        <v>592</v>
      </c>
      <c r="N609" s="1" t="str">
        <f t="shared" si="9"/>
        <v>THALITA SABINA</v>
      </c>
    </row>
    <row r="610" spans="1:14" x14ac:dyDescent="0.3">
      <c r="A610" s="1">
        <v>169</v>
      </c>
      <c r="B610" s="1" t="s">
        <v>621</v>
      </c>
      <c r="C610" s="5" t="s">
        <v>92</v>
      </c>
      <c r="D610" s="2">
        <v>45551</v>
      </c>
      <c r="E610" s="2" t="s">
        <v>77</v>
      </c>
      <c r="F610" s="1">
        <v>14105</v>
      </c>
      <c r="G610" s="1" t="s">
        <v>1442</v>
      </c>
      <c r="H610" s="1" t="s">
        <v>571</v>
      </c>
      <c r="I610" s="2">
        <v>46031</v>
      </c>
      <c r="J610" s="2" t="s">
        <v>49</v>
      </c>
      <c r="K610" s="1" t="s">
        <v>50</v>
      </c>
      <c r="L610" s="1" t="s">
        <v>50</v>
      </c>
      <c r="M610" s="1" t="s">
        <v>1474</v>
      </c>
      <c r="N610" s="1" t="str">
        <f t="shared" si="9"/>
        <v>NICHOLLAS OLIVEIRA</v>
      </c>
    </row>
    <row r="611" spans="1:14" x14ac:dyDescent="0.3">
      <c r="A611" s="1">
        <v>176</v>
      </c>
      <c r="B611" s="1" t="s">
        <v>621</v>
      </c>
      <c r="C611" s="5" t="s">
        <v>15</v>
      </c>
      <c r="D611" s="2">
        <v>46034</v>
      </c>
      <c r="E611" s="2" t="s">
        <v>653</v>
      </c>
      <c r="F611" s="1">
        <v>35101</v>
      </c>
      <c r="G611" s="1" t="s">
        <v>48</v>
      </c>
      <c r="H611" s="1" t="s">
        <v>571</v>
      </c>
      <c r="J611" s="2" t="s">
        <v>49</v>
      </c>
      <c r="K611" s="1" t="s">
        <v>50</v>
      </c>
      <c r="L611" s="1" t="s">
        <v>50</v>
      </c>
      <c r="M611" s="1" t="s">
        <v>1474</v>
      </c>
      <c r="N611" s="1" t="str">
        <f t="shared" si="9"/>
        <v>NICHOLLAS OLIVEIRA</v>
      </c>
    </row>
    <row r="612" spans="1:14" x14ac:dyDescent="0.3">
      <c r="A612" s="1">
        <v>114</v>
      </c>
      <c r="B612" s="1" t="s">
        <v>622</v>
      </c>
      <c r="C612" s="5" t="s">
        <v>15</v>
      </c>
      <c r="D612" s="2">
        <v>44263</v>
      </c>
      <c r="E612" s="2" t="s">
        <v>613</v>
      </c>
      <c r="F612" s="1">
        <v>12107</v>
      </c>
      <c r="G612" s="1" t="s">
        <v>600</v>
      </c>
      <c r="H612" s="1" t="s">
        <v>571</v>
      </c>
      <c r="J612" s="2" t="s">
        <v>601</v>
      </c>
      <c r="K612" s="1" t="s">
        <v>592</v>
      </c>
      <c r="L612" s="1" t="s">
        <v>592</v>
      </c>
      <c r="N612" s="1" t="str">
        <f t="shared" si="9"/>
        <v>THALITA SABINA</v>
      </c>
    </row>
    <row r="613" spans="1:14" x14ac:dyDescent="0.3">
      <c r="A613" s="1">
        <v>59</v>
      </c>
      <c r="B613" s="1" t="s">
        <v>623</v>
      </c>
      <c r="C613" s="5" t="s">
        <v>15</v>
      </c>
      <c r="D613" s="2">
        <v>42339</v>
      </c>
      <c r="E613" s="2" t="s">
        <v>624</v>
      </c>
      <c r="F613" s="1">
        <v>14101</v>
      </c>
      <c r="G613" s="1" t="s">
        <v>277</v>
      </c>
      <c r="H613" s="1" t="s">
        <v>571</v>
      </c>
      <c r="J613" s="2" t="s">
        <v>572</v>
      </c>
      <c r="K613" s="1" t="s">
        <v>1372</v>
      </c>
      <c r="L613" s="1" t="s">
        <v>1372</v>
      </c>
      <c r="N613" s="1" t="str">
        <f t="shared" si="9"/>
        <v xml:space="preserve">LEIDJANE MARTINS </v>
      </c>
    </row>
    <row r="614" spans="1:14" x14ac:dyDescent="0.3">
      <c r="A614" s="1">
        <v>55</v>
      </c>
      <c r="B614" s="1" t="s">
        <v>625</v>
      </c>
      <c r="C614" s="5" t="s">
        <v>15</v>
      </c>
      <c r="D614" s="2">
        <v>42303</v>
      </c>
      <c r="E614" s="2" t="s">
        <v>626</v>
      </c>
      <c r="F614" s="1">
        <v>15101</v>
      </c>
      <c r="G614" s="1" t="s">
        <v>447</v>
      </c>
      <c r="H614" s="1" t="s">
        <v>571</v>
      </c>
      <c r="J614" s="2" t="s">
        <v>627</v>
      </c>
      <c r="K614" s="1" t="s">
        <v>1387</v>
      </c>
      <c r="L614" s="1" t="s">
        <v>1387</v>
      </c>
      <c r="N614" s="1" t="str">
        <f t="shared" si="9"/>
        <v>RAFAEL VIRGENS</v>
      </c>
    </row>
    <row r="615" spans="1:14" x14ac:dyDescent="0.3">
      <c r="A615" s="1">
        <v>1013</v>
      </c>
      <c r="B615" s="1" t="s">
        <v>628</v>
      </c>
      <c r="C615" s="5" t="s">
        <v>15</v>
      </c>
      <c r="D615" s="2">
        <v>44317</v>
      </c>
      <c r="E615" s="2" t="s">
        <v>629</v>
      </c>
      <c r="F615" s="1">
        <v>11101</v>
      </c>
      <c r="G615" s="1" t="s">
        <v>595</v>
      </c>
      <c r="H615" s="1" t="s">
        <v>571</v>
      </c>
      <c r="J615" s="2" t="s">
        <v>630</v>
      </c>
      <c r="K615" s="6">
        <v>0</v>
      </c>
      <c r="L615" s="6">
        <v>0</v>
      </c>
      <c r="M615" s="6">
        <v>0</v>
      </c>
      <c r="N615" s="6">
        <v>0</v>
      </c>
    </row>
    <row r="616" spans="1:14" x14ac:dyDescent="0.3">
      <c r="A616" s="1">
        <v>149</v>
      </c>
      <c r="B616" s="1" t="s">
        <v>631</v>
      </c>
      <c r="C616" s="5" t="s">
        <v>15</v>
      </c>
      <c r="D616" s="2">
        <v>45048</v>
      </c>
      <c r="E616" s="2" t="s">
        <v>632</v>
      </c>
      <c r="F616" s="1">
        <v>12103</v>
      </c>
      <c r="G616" s="1" t="s">
        <v>633</v>
      </c>
      <c r="H616" s="1" t="s">
        <v>571</v>
      </c>
      <c r="J616" s="2" t="s">
        <v>634</v>
      </c>
      <c r="K616" s="1" t="s">
        <v>585</v>
      </c>
      <c r="L616" s="1" t="s">
        <v>585</v>
      </c>
      <c r="N616" s="1" t="str">
        <f t="shared" si="9"/>
        <v>RAFAEL PREVELATO</v>
      </c>
    </row>
    <row r="617" spans="1:14" x14ac:dyDescent="0.3">
      <c r="A617" s="1">
        <v>62</v>
      </c>
      <c r="B617" s="1" t="s">
        <v>635</v>
      </c>
      <c r="C617" s="5" t="s">
        <v>15</v>
      </c>
      <c r="D617" s="2">
        <v>42562</v>
      </c>
      <c r="E617" s="2" t="s">
        <v>636</v>
      </c>
      <c r="F617" s="1">
        <v>12103</v>
      </c>
      <c r="G617" s="1" t="s">
        <v>633</v>
      </c>
      <c r="H617" s="1" t="s">
        <v>571</v>
      </c>
      <c r="J617" s="2" t="s">
        <v>634</v>
      </c>
      <c r="K617" s="1" t="s">
        <v>585</v>
      </c>
      <c r="L617" s="1" t="s">
        <v>585</v>
      </c>
      <c r="N617" s="1" t="str">
        <f t="shared" si="9"/>
        <v>RAFAEL PREVELATO</v>
      </c>
    </row>
    <row r="618" spans="1:14" x14ac:dyDescent="0.3">
      <c r="A618" s="1">
        <v>142</v>
      </c>
      <c r="B618" s="1" t="s">
        <v>637</v>
      </c>
      <c r="C618" s="5" t="s">
        <v>15</v>
      </c>
      <c r="D618" s="2">
        <v>44991</v>
      </c>
      <c r="E618" s="2" t="s">
        <v>1361</v>
      </c>
      <c r="F618" s="1">
        <v>35101</v>
      </c>
      <c r="G618" s="1" t="s">
        <v>48</v>
      </c>
      <c r="H618" s="1" t="s">
        <v>571</v>
      </c>
      <c r="J618" s="2" t="s">
        <v>49</v>
      </c>
      <c r="K618" s="1" t="s">
        <v>50</v>
      </c>
      <c r="L618" s="1" t="s">
        <v>50</v>
      </c>
      <c r="M618" s="1" t="s">
        <v>1474</v>
      </c>
      <c r="N618" s="1" t="str">
        <f t="shared" si="9"/>
        <v>NICHOLLAS OLIVEIRA</v>
      </c>
    </row>
    <row r="619" spans="1:14" x14ac:dyDescent="0.3">
      <c r="A619" s="1">
        <v>106</v>
      </c>
      <c r="B619" s="1" t="s">
        <v>638</v>
      </c>
      <c r="C619" s="5" t="s">
        <v>15</v>
      </c>
      <c r="D619" s="2">
        <v>43773</v>
      </c>
      <c r="E619" s="2" t="s">
        <v>639</v>
      </c>
      <c r="F619" s="1">
        <v>15101</v>
      </c>
      <c r="G619" s="1" t="s">
        <v>447</v>
      </c>
      <c r="H619" s="1" t="s">
        <v>571</v>
      </c>
      <c r="J619" s="2" t="s">
        <v>627</v>
      </c>
      <c r="K619" s="1" t="s">
        <v>597</v>
      </c>
      <c r="N619" s="1" t="str">
        <f t="shared" si="9"/>
        <v>MIGUEL PRADO</v>
      </c>
    </row>
    <row r="620" spans="1:14" x14ac:dyDescent="0.3">
      <c r="A620" s="1">
        <v>90</v>
      </c>
      <c r="B620" s="1" t="s">
        <v>640</v>
      </c>
      <c r="C620" s="5" t="s">
        <v>15</v>
      </c>
      <c r="D620" s="2">
        <v>43314</v>
      </c>
      <c r="E620" s="2" t="s">
        <v>641</v>
      </c>
      <c r="F620" s="1">
        <v>17101</v>
      </c>
      <c r="G620" s="1" t="s">
        <v>575</v>
      </c>
      <c r="H620" s="1" t="s">
        <v>571</v>
      </c>
      <c r="J620" s="2" t="s">
        <v>576</v>
      </c>
      <c r="K620" s="1" t="s">
        <v>597</v>
      </c>
      <c r="N620" s="1" t="str">
        <f t="shared" si="9"/>
        <v>MIGUEL PRADO</v>
      </c>
    </row>
    <row r="621" spans="1:14" x14ac:dyDescent="0.3">
      <c r="A621" s="1">
        <v>118</v>
      </c>
      <c r="B621" s="1" t="s">
        <v>585</v>
      </c>
      <c r="C621" s="5" t="s">
        <v>15</v>
      </c>
      <c r="D621" s="2">
        <v>44410</v>
      </c>
      <c r="E621" s="2" t="s">
        <v>642</v>
      </c>
      <c r="F621" s="1">
        <v>12101</v>
      </c>
      <c r="G621" s="1" t="s">
        <v>579</v>
      </c>
      <c r="H621" s="1" t="s">
        <v>571</v>
      </c>
      <c r="J621" s="2" t="s">
        <v>643</v>
      </c>
      <c r="K621" s="1" t="s">
        <v>581</v>
      </c>
      <c r="N621" s="1" t="str">
        <f t="shared" si="9"/>
        <v>RENAN ROVAI</v>
      </c>
    </row>
    <row r="622" spans="1:14" x14ac:dyDescent="0.3">
      <c r="A622" s="1">
        <v>80</v>
      </c>
      <c r="B622" s="1" t="s">
        <v>644</v>
      </c>
      <c r="C622" s="5" t="s">
        <v>15</v>
      </c>
      <c r="D622" s="2">
        <v>43045</v>
      </c>
      <c r="E622" s="2" t="s">
        <v>645</v>
      </c>
      <c r="F622" s="1">
        <v>11101</v>
      </c>
      <c r="G622" s="1" t="s">
        <v>595</v>
      </c>
      <c r="H622" s="1" t="s">
        <v>571</v>
      </c>
      <c r="J622" s="2" t="s">
        <v>646</v>
      </c>
      <c r="K622" s="1" t="s">
        <v>597</v>
      </c>
      <c r="N622" s="1" t="str">
        <f t="shared" si="9"/>
        <v>MIGUEL PRADO</v>
      </c>
    </row>
    <row r="623" spans="1:14" x14ac:dyDescent="0.3">
      <c r="A623" s="1">
        <v>175</v>
      </c>
      <c r="B623" s="1" t="s">
        <v>647</v>
      </c>
      <c r="C623" s="5" t="s">
        <v>15</v>
      </c>
      <c r="D623" s="2">
        <v>46013</v>
      </c>
      <c r="E623" s="2" t="s">
        <v>603</v>
      </c>
      <c r="F623" s="1">
        <v>14105</v>
      </c>
      <c r="G623" s="1" t="s">
        <v>1442</v>
      </c>
      <c r="H623" s="1" t="s">
        <v>571</v>
      </c>
      <c r="J623" s="2" t="s">
        <v>634</v>
      </c>
      <c r="K623" s="1" t="s">
        <v>585</v>
      </c>
      <c r="L623" s="1" t="s">
        <v>585</v>
      </c>
      <c r="N623" s="1" t="str">
        <f t="shared" si="9"/>
        <v>RAFAEL PREVELATO</v>
      </c>
    </row>
    <row r="624" spans="1:14" x14ac:dyDescent="0.3">
      <c r="A624" s="1">
        <v>109</v>
      </c>
      <c r="B624" s="1" t="s">
        <v>648</v>
      </c>
      <c r="C624" s="5" t="s">
        <v>233</v>
      </c>
      <c r="D624" s="2">
        <v>44228</v>
      </c>
      <c r="E624" s="2" t="s">
        <v>1534</v>
      </c>
      <c r="F624" s="1">
        <v>12101</v>
      </c>
      <c r="G624" s="1" t="s">
        <v>579</v>
      </c>
      <c r="H624" s="1" t="s">
        <v>571</v>
      </c>
      <c r="J624" s="2" t="s">
        <v>649</v>
      </c>
      <c r="K624" s="1" t="s">
        <v>581</v>
      </c>
      <c r="N624" s="1" t="str">
        <f t="shared" si="9"/>
        <v>RENAN ROVAI</v>
      </c>
    </row>
    <row r="625" spans="1:14" x14ac:dyDescent="0.3">
      <c r="A625" s="1">
        <v>138</v>
      </c>
      <c r="B625" s="1" t="s">
        <v>650</v>
      </c>
      <c r="C625" s="5" t="s">
        <v>15</v>
      </c>
      <c r="D625" s="2">
        <v>44909</v>
      </c>
      <c r="E625" s="2" t="s">
        <v>651</v>
      </c>
      <c r="F625" s="1">
        <v>12105</v>
      </c>
      <c r="G625" s="1" t="s">
        <v>393</v>
      </c>
      <c r="H625" s="1" t="s">
        <v>571</v>
      </c>
      <c r="J625" s="2" t="s">
        <v>607</v>
      </c>
      <c r="K625" s="1" t="s">
        <v>1386</v>
      </c>
      <c r="L625" s="1" t="s">
        <v>1386</v>
      </c>
      <c r="N625" s="1" t="str">
        <f t="shared" si="9"/>
        <v>JOÃO GORGULHO</v>
      </c>
    </row>
    <row r="626" spans="1:14" x14ac:dyDescent="0.3">
      <c r="A626" s="1">
        <v>172</v>
      </c>
      <c r="B626" s="1" t="s">
        <v>1302</v>
      </c>
      <c r="C626" s="5" t="s">
        <v>15</v>
      </c>
      <c r="D626" s="2">
        <v>45859</v>
      </c>
      <c r="E626" s="2" t="s">
        <v>77</v>
      </c>
      <c r="F626" s="1">
        <v>14105</v>
      </c>
      <c r="G626" s="1" t="s">
        <v>1442</v>
      </c>
      <c r="H626" s="1" t="s">
        <v>571</v>
      </c>
      <c r="J626" s="2" t="s">
        <v>49</v>
      </c>
      <c r="K626" s="1" t="s">
        <v>50</v>
      </c>
      <c r="L626" s="1" t="s">
        <v>50</v>
      </c>
      <c r="M626" s="1" t="s">
        <v>1474</v>
      </c>
      <c r="N626" s="1" t="str">
        <f t="shared" si="9"/>
        <v>NICHOLLAS OLIVEIRA</v>
      </c>
    </row>
    <row r="627" spans="1:14" x14ac:dyDescent="0.3">
      <c r="A627" s="1">
        <v>163</v>
      </c>
      <c r="B627" s="1" t="s">
        <v>652</v>
      </c>
      <c r="C627" s="5" t="s">
        <v>15</v>
      </c>
      <c r="D627" s="2">
        <v>45490</v>
      </c>
      <c r="E627" s="2" t="s">
        <v>618</v>
      </c>
      <c r="F627" s="1">
        <v>35101</v>
      </c>
      <c r="G627" s="1" t="s">
        <v>48</v>
      </c>
      <c r="H627" s="1" t="s">
        <v>571</v>
      </c>
      <c r="J627" s="2" t="s">
        <v>49</v>
      </c>
      <c r="K627" s="1" t="s">
        <v>50</v>
      </c>
      <c r="L627" s="1" t="s">
        <v>50</v>
      </c>
      <c r="M627" s="1" t="s">
        <v>1474</v>
      </c>
      <c r="N627" s="1" t="str">
        <f t="shared" si="9"/>
        <v>NICHOLLAS OLIVEIRA</v>
      </c>
    </row>
    <row r="628" spans="1:14" x14ac:dyDescent="0.3">
      <c r="A628" s="1">
        <v>126</v>
      </c>
      <c r="B628" s="1" t="s">
        <v>654</v>
      </c>
      <c r="C628" s="5" t="s">
        <v>15</v>
      </c>
      <c r="D628" s="2">
        <v>44593</v>
      </c>
      <c r="E628" s="2" t="s">
        <v>655</v>
      </c>
      <c r="F628" s="1">
        <v>12103</v>
      </c>
      <c r="G628" s="1" t="s">
        <v>633</v>
      </c>
      <c r="H628" s="1" t="s">
        <v>571</v>
      </c>
      <c r="J628" s="2" t="s">
        <v>634</v>
      </c>
      <c r="K628" s="1" t="s">
        <v>585</v>
      </c>
      <c r="L628" s="1" t="s">
        <v>585</v>
      </c>
      <c r="N628" s="1" t="str">
        <f t="shared" si="9"/>
        <v>RAFAEL PREVELATO</v>
      </c>
    </row>
    <row r="629" spans="1:14" x14ac:dyDescent="0.3">
      <c r="A629" s="1">
        <v>151</v>
      </c>
      <c r="B629" s="1" t="s">
        <v>656</v>
      </c>
      <c r="C629" s="5" t="s">
        <v>15</v>
      </c>
      <c r="D629" s="2">
        <v>45048</v>
      </c>
      <c r="E629" s="2" t="s">
        <v>599</v>
      </c>
      <c r="F629" s="1">
        <v>12107</v>
      </c>
      <c r="G629" s="1" t="s">
        <v>600</v>
      </c>
      <c r="H629" s="1" t="s">
        <v>571</v>
      </c>
      <c r="J629" s="2" t="s">
        <v>601</v>
      </c>
      <c r="K629" s="1" t="s">
        <v>592</v>
      </c>
      <c r="L629" s="1" t="s">
        <v>592</v>
      </c>
      <c r="N629" s="1" t="str">
        <f t="shared" si="9"/>
        <v>THALITA SABINA</v>
      </c>
    </row>
    <row r="630" spans="1:14" x14ac:dyDescent="0.3">
      <c r="A630" s="1">
        <v>105320</v>
      </c>
      <c r="B630" s="1" t="s">
        <v>658</v>
      </c>
      <c r="C630" s="5" t="s">
        <v>15</v>
      </c>
      <c r="D630" s="2">
        <v>42786</v>
      </c>
      <c r="E630" s="2" t="s">
        <v>245</v>
      </c>
      <c r="F630" s="1">
        <v>37101</v>
      </c>
      <c r="G630" s="1" t="s">
        <v>214</v>
      </c>
      <c r="H630" s="1" t="s">
        <v>657</v>
      </c>
      <c r="J630" s="2" t="s">
        <v>215</v>
      </c>
      <c r="K630" s="1" t="s">
        <v>216</v>
      </c>
      <c r="L630" s="1" t="s">
        <v>216</v>
      </c>
      <c r="N630" s="1" t="str">
        <f t="shared" si="9"/>
        <v>CARSON NEVES</v>
      </c>
    </row>
    <row r="631" spans="1:14" x14ac:dyDescent="0.3">
      <c r="A631" s="1">
        <v>104845</v>
      </c>
      <c r="B631" s="1" t="s">
        <v>659</v>
      </c>
      <c r="C631" s="5" t="s">
        <v>15</v>
      </c>
      <c r="D631" s="2">
        <v>42324</v>
      </c>
      <c r="E631" s="2" t="s">
        <v>31</v>
      </c>
      <c r="F631" s="1">
        <v>38101</v>
      </c>
      <c r="G631" s="1" t="s">
        <v>35</v>
      </c>
      <c r="H631" s="1" t="s">
        <v>657</v>
      </c>
      <c r="J631" s="2" t="s">
        <v>36</v>
      </c>
      <c r="K631" s="1" t="s">
        <v>1372</v>
      </c>
      <c r="L631" s="1" t="s">
        <v>1372</v>
      </c>
      <c r="M631" s="1" t="s">
        <v>1373</v>
      </c>
      <c r="N631" s="1" t="str">
        <f t="shared" si="9"/>
        <v>DENIS ACASSIO</v>
      </c>
    </row>
    <row r="632" spans="1:14" x14ac:dyDescent="0.3">
      <c r="A632" s="1">
        <v>702547</v>
      </c>
      <c r="B632" s="1" t="s">
        <v>663</v>
      </c>
      <c r="C632" s="5" t="s">
        <v>15</v>
      </c>
      <c r="D632" s="2">
        <v>44452</v>
      </c>
      <c r="E632" s="2" t="s">
        <v>507</v>
      </c>
      <c r="F632" s="1">
        <v>24201</v>
      </c>
      <c r="G632" s="1" t="s">
        <v>664</v>
      </c>
      <c r="H632" s="1" t="s">
        <v>661</v>
      </c>
      <c r="J632" s="2" t="s">
        <v>665</v>
      </c>
      <c r="K632" s="1" t="s">
        <v>666</v>
      </c>
      <c r="L632" s="1" t="s">
        <v>258</v>
      </c>
      <c r="M632" s="1" t="s">
        <v>667</v>
      </c>
      <c r="N632" s="1" t="str">
        <f t="shared" si="9"/>
        <v>JOSIEL NEVES</v>
      </c>
    </row>
    <row r="633" spans="1:14" x14ac:dyDescent="0.3">
      <c r="A633" s="1">
        <v>703075</v>
      </c>
      <c r="B633" s="1" t="s">
        <v>668</v>
      </c>
      <c r="C633" s="5" t="s">
        <v>15</v>
      </c>
      <c r="D633" s="2">
        <v>44713</v>
      </c>
      <c r="E633" s="2" t="s">
        <v>31</v>
      </c>
      <c r="F633" s="1">
        <v>24102</v>
      </c>
      <c r="G633" s="1" t="s">
        <v>669</v>
      </c>
      <c r="H633" s="1" t="s">
        <v>661</v>
      </c>
      <c r="J633" s="2" t="s">
        <v>670</v>
      </c>
      <c r="K633" s="1" t="s">
        <v>666</v>
      </c>
      <c r="L633" s="1" t="s">
        <v>1388</v>
      </c>
      <c r="M633" s="1" t="s">
        <v>1389</v>
      </c>
      <c r="N633" s="1" t="str">
        <f t="shared" si="9"/>
        <v>JUNIO TEIXEIRA /GEOVANI RORIZ</v>
      </c>
    </row>
    <row r="634" spans="1:14" x14ac:dyDescent="0.3">
      <c r="A634" s="1">
        <v>703681</v>
      </c>
      <c r="B634" s="1" t="s">
        <v>671</v>
      </c>
      <c r="C634" s="5" t="s">
        <v>15</v>
      </c>
      <c r="D634" s="2">
        <v>45019</v>
      </c>
      <c r="E634" s="2" t="s">
        <v>31</v>
      </c>
      <c r="F634" s="1">
        <v>24102</v>
      </c>
      <c r="G634" s="1" t="s">
        <v>669</v>
      </c>
      <c r="H634" s="1" t="s">
        <v>661</v>
      </c>
      <c r="J634" s="2" t="s">
        <v>672</v>
      </c>
      <c r="K634" s="1" t="s">
        <v>666</v>
      </c>
      <c r="L634" s="1" t="s">
        <v>1388</v>
      </c>
      <c r="M634" s="1" t="s">
        <v>1389</v>
      </c>
      <c r="N634" s="1" t="str">
        <f t="shared" si="9"/>
        <v>JUNIO TEIXEIRA /GEOVANI RORIZ</v>
      </c>
    </row>
    <row r="635" spans="1:14" x14ac:dyDescent="0.3">
      <c r="A635" s="1">
        <v>703726</v>
      </c>
      <c r="B635" s="1" t="s">
        <v>673</v>
      </c>
      <c r="C635" s="5" t="s">
        <v>15</v>
      </c>
      <c r="D635" s="2">
        <v>45026</v>
      </c>
      <c r="E635" s="2" t="s">
        <v>109</v>
      </c>
      <c r="F635" s="1">
        <v>32102</v>
      </c>
      <c r="G635" s="1" t="s">
        <v>674</v>
      </c>
      <c r="H635" s="1" t="s">
        <v>661</v>
      </c>
      <c r="J635" s="2" t="s">
        <v>675</v>
      </c>
      <c r="K635" s="1" t="s">
        <v>25</v>
      </c>
      <c r="L635" s="1" t="s">
        <v>1369</v>
      </c>
      <c r="M635" s="1" t="s">
        <v>676</v>
      </c>
      <c r="N635" s="1" t="str">
        <f t="shared" si="9"/>
        <v>MARCELO DOURADO</v>
      </c>
    </row>
    <row r="636" spans="1:14" x14ac:dyDescent="0.3">
      <c r="A636" s="1">
        <v>100881</v>
      </c>
      <c r="B636" s="1" t="s">
        <v>677</v>
      </c>
      <c r="C636" s="5" t="s">
        <v>15</v>
      </c>
      <c r="D636" s="2">
        <v>42444</v>
      </c>
      <c r="E636" s="2" t="s">
        <v>251</v>
      </c>
      <c r="F636" s="1">
        <v>39601</v>
      </c>
      <c r="G636" s="1" t="s">
        <v>660</v>
      </c>
      <c r="H636" s="1" t="s">
        <v>661</v>
      </c>
      <c r="J636" s="2" t="s">
        <v>662</v>
      </c>
      <c r="K636" s="1" t="s">
        <v>666</v>
      </c>
      <c r="L636" s="1" t="s">
        <v>258</v>
      </c>
      <c r="N636" s="1" t="str">
        <f t="shared" si="9"/>
        <v>MATHEUS ALMEIDA</v>
      </c>
    </row>
    <row r="637" spans="1:14" x14ac:dyDescent="0.3">
      <c r="A637" s="1">
        <v>705079</v>
      </c>
      <c r="B637" s="1" t="s">
        <v>678</v>
      </c>
      <c r="C637" s="5" t="s">
        <v>15</v>
      </c>
      <c r="D637" s="2">
        <v>45671</v>
      </c>
      <c r="E637" s="2" t="s">
        <v>31</v>
      </c>
      <c r="F637" s="1">
        <v>39601</v>
      </c>
      <c r="G637" s="1" t="s">
        <v>660</v>
      </c>
      <c r="H637" s="1" t="s">
        <v>661</v>
      </c>
      <c r="J637" s="2" t="s">
        <v>672</v>
      </c>
      <c r="K637" s="1" t="s">
        <v>666</v>
      </c>
      <c r="L637" s="1" t="s">
        <v>1388</v>
      </c>
      <c r="M637" s="1" t="s">
        <v>1389</v>
      </c>
      <c r="N637" s="1" t="str">
        <f t="shared" si="9"/>
        <v>JUNIO TEIXEIRA /GEOVANI RORIZ</v>
      </c>
    </row>
    <row r="638" spans="1:14" x14ac:dyDescent="0.3">
      <c r="A638" s="1">
        <v>702946</v>
      </c>
      <c r="B638" s="1" t="s">
        <v>679</v>
      </c>
      <c r="C638" s="5" t="s">
        <v>15</v>
      </c>
      <c r="D638" s="2">
        <v>44663</v>
      </c>
      <c r="E638" s="2" t="s">
        <v>31</v>
      </c>
      <c r="F638" s="1">
        <v>24102</v>
      </c>
      <c r="G638" s="1" t="s">
        <v>669</v>
      </c>
      <c r="H638" s="1" t="s">
        <v>661</v>
      </c>
      <c r="J638" s="2" t="s">
        <v>680</v>
      </c>
      <c r="K638" s="1" t="s">
        <v>666</v>
      </c>
      <c r="L638" s="1" t="s">
        <v>1388</v>
      </c>
      <c r="M638" s="1" t="s">
        <v>1389</v>
      </c>
      <c r="N638" s="1" t="str">
        <f t="shared" si="9"/>
        <v>JUNIO TEIXEIRA /GEOVANI RORIZ</v>
      </c>
    </row>
    <row r="639" spans="1:14" x14ac:dyDescent="0.3">
      <c r="A639" s="1">
        <v>703720</v>
      </c>
      <c r="B639" s="1" t="s">
        <v>681</v>
      </c>
      <c r="C639" s="5" t="s">
        <v>15</v>
      </c>
      <c r="D639" s="2">
        <v>45026</v>
      </c>
      <c r="E639" s="2" t="s">
        <v>16</v>
      </c>
      <c r="F639" s="1">
        <v>24102</v>
      </c>
      <c r="G639" s="1" t="s">
        <v>669</v>
      </c>
      <c r="H639" s="1" t="s">
        <v>661</v>
      </c>
      <c r="J639" s="2" t="s">
        <v>682</v>
      </c>
      <c r="K639" s="1" t="s">
        <v>666</v>
      </c>
      <c r="L639" s="1" t="s">
        <v>1390</v>
      </c>
      <c r="M639" s="1" t="s">
        <v>1391</v>
      </c>
      <c r="N639" s="1" t="str">
        <f t="shared" si="9"/>
        <v>ALCENO JUNIOR/JOÃO MARCOS</v>
      </c>
    </row>
    <row r="640" spans="1:14" x14ac:dyDescent="0.3">
      <c r="A640" s="1">
        <v>702157</v>
      </c>
      <c r="B640" s="1" t="s">
        <v>683</v>
      </c>
      <c r="C640" s="5" t="s">
        <v>15</v>
      </c>
      <c r="D640" s="2">
        <v>44299</v>
      </c>
      <c r="E640" s="2" t="s">
        <v>31</v>
      </c>
      <c r="F640" s="1">
        <v>24102</v>
      </c>
      <c r="G640" s="1" t="s">
        <v>669</v>
      </c>
      <c r="H640" s="1" t="s">
        <v>661</v>
      </c>
      <c r="J640" s="2" t="s">
        <v>680</v>
      </c>
      <c r="K640" s="1" t="s">
        <v>666</v>
      </c>
      <c r="L640" s="1" t="s">
        <v>1388</v>
      </c>
      <c r="M640" s="1" t="s">
        <v>1389</v>
      </c>
      <c r="N640" s="1" t="str">
        <f t="shared" si="9"/>
        <v>JUNIO TEIXEIRA /GEOVANI RORIZ</v>
      </c>
    </row>
    <row r="641" spans="1:14" x14ac:dyDescent="0.3">
      <c r="A641" s="1">
        <v>704673</v>
      </c>
      <c r="B641" s="1" t="s">
        <v>685</v>
      </c>
      <c r="C641" s="5" t="s">
        <v>15</v>
      </c>
      <c r="D641" s="2">
        <v>45489</v>
      </c>
      <c r="E641" s="2" t="s">
        <v>686</v>
      </c>
      <c r="F641" s="1">
        <v>39601</v>
      </c>
      <c r="G641" s="1" t="s">
        <v>660</v>
      </c>
      <c r="H641" s="1" t="s">
        <v>661</v>
      </c>
      <c r="J641" s="2" t="s">
        <v>684</v>
      </c>
      <c r="K641" s="1" t="s">
        <v>666</v>
      </c>
      <c r="L641" s="1" t="s">
        <v>258</v>
      </c>
      <c r="M641" s="1" t="s">
        <v>1392</v>
      </c>
      <c r="N641" s="1" t="str">
        <f t="shared" si="9"/>
        <v>ADALTON/JANILSON RORIZ/MARIVALDO</v>
      </c>
    </row>
    <row r="642" spans="1:14" x14ac:dyDescent="0.3">
      <c r="A642" s="1">
        <v>101618</v>
      </c>
      <c r="B642" s="1" t="s">
        <v>46</v>
      </c>
      <c r="C642" s="5" t="s">
        <v>15</v>
      </c>
      <c r="D642" s="2">
        <v>41106</v>
      </c>
      <c r="E642" s="2" t="s">
        <v>1235</v>
      </c>
      <c r="F642" s="1">
        <v>39203</v>
      </c>
      <c r="G642" s="1" t="s">
        <v>709</v>
      </c>
      <c r="H642" s="1" t="s">
        <v>661</v>
      </c>
      <c r="J642" s="2" t="s">
        <v>710</v>
      </c>
      <c r="K642" s="1" t="s">
        <v>50</v>
      </c>
      <c r="L642" s="1" t="s">
        <v>50</v>
      </c>
      <c r="M642" s="1" t="s">
        <v>1382</v>
      </c>
      <c r="N642" s="1" t="str">
        <f t="shared" si="9"/>
        <v>ADENILTON RODRIGUES</v>
      </c>
    </row>
    <row r="643" spans="1:14" x14ac:dyDescent="0.3">
      <c r="A643" s="1">
        <v>705150</v>
      </c>
      <c r="B643" s="1" t="s">
        <v>1147</v>
      </c>
      <c r="C643" s="5" t="s">
        <v>15</v>
      </c>
      <c r="D643" s="2">
        <v>45705</v>
      </c>
      <c r="E643" s="2" t="s">
        <v>31</v>
      </c>
      <c r="F643" s="1">
        <v>24102</v>
      </c>
      <c r="G643" s="1" t="s">
        <v>669</v>
      </c>
      <c r="H643" s="1" t="s">
        <v>661</v>
      </c>
      <c r="J643" s="2" t="s">
        <v>680</v>
      </c>
      <c r="K643" s="1" t="s">
        <v>666</v>
      </c>
      <c r="L643" s="1" t="s">
        <v>1388</v>
      </c>
      <c r="M643" s="1" t="s">
        <v>1389</v>
      </c>
      <c r="N643" s="1" t="str">
        <f t="shared" ref="N643:N706" si="10">IF(M643&lt;&gt;"", M643, IF(L643&lt;&gt;"", L643, K643))</f>
        <v>JUNIO TEIXEIRA /GEOVANI RORIZ</v>
      </c>
    </row>
    <row r="644" spans="1:14" x14ac:dyDescent="0.3">
      <c r="A644" s="1">
        <v>702797</v>
      </c>
      <c r="B644" s="1" t="s">
        <v>687</v>
      </c>
      <c r="C644" s="5" t="s">
        <v>15</v>
      </c>
      <c r="D644" s="2">
        <v>44607</v>
      </c>
      <c r="E644" s="2" t="s">
        <v>146</v>
      </c>
      <c r="F644" s="1">
        <v>39601</v>
      </c>
      <c r="G644" s="1" t="s">
        <v>660</v>
      </c>
      <c r="H644" s="1" t="s">
        <v>661</v>
      </c>
      <c r="J644" s="2" t="s">
        <v>684</v>
      </c>
      <c r="K644" s="1" t="s">
        <v>666</v>
      </c>
      <c r="L644" s="1" t="s">
        <v>258</v>
      </c>
      <c r="M644" s="1" t="s">
        <v>1392</v>
      </c>
      <c r="N644" s="1" t="str">
        <f t="shared" si="10"/>
        <v>ADALTON/JANILSON RORIZ/MARIVALDO</v>
      </c>
    </row>
    <row r="645" spans="1:14" x14ac:dyDescent="0.3">
      <c r="A645" s="1">
        <v>702594</v>
      </c>
      <c r="B645" s="1" t="s">
        <v>688</v>
      </c>
      <c r="C645" s="5" t="s">
        <v>15</v>
      </c>
      <c r="D645" s="2">
        <v>44474</v>
      </c>
      <c r="E645" s="2" t="s">
        <v>507</v>
      </c>
      <c r="F645" s="1">
        <v>24201</v>
      </c>
      <c r="G645" s="1" t="s">
        <v>664</v>
      </c>
      <c r="H645" s="1" t="s">
        <v>661</v>
      </c>
      <c r="J645" s="2" t="s">
        <v>665</v>
      </c>
      <c r="K645" s="1" t="s">
        <v>666</v>
      </c>
      <c r="L645" s="1" t="s">
        <v>258</v>
      </c>
      <c r="M645" s="1" t="s">
        <v>667</v>
      </c>
      <c r="N645" s="1" t="str">
        <f t="shared" si="10"/>
        <v>JOSIEL NEVES</v>
      </c>
    </row>
    <row r="646" spans="1:14" x14ac:dyDescent="0.3">
      <c r="A646" s="1">
        <v>702578</v>
      </c>
      <c r="B646" s="1" t="s">
        <v>689</v>
      </c>
      <c r="C646" s="5" t="s">
        <v>15</v>
      </c>
      <c r="D646" s="2">
        <v>44474</v>
      </c>
      <c r="E646" s="2" t="s">
        <v>60</v>
      </c>
      <c r="F646" s="1">
        <v>24102</v>
      </c>
      <c r="G646" s="1" t="s">
        <v>669</v>
      </c>
      <c r="H646" s="1" t="s">
        <v>661</v>
      </c>
      <c r="J646" s="2" t="s">
        <v>682</v>
      </c>
      <c r="K646" s="1" t="s">
        <v>666</v>
      </c>
      <c r="L646" s="1" t="s">
        <v>1390</v>
      </c>
      <c r="M646" s="1" t="s">
        <v>1391</v>
      </c>
      <c r="N646" s="1" t="str">
        <f t="shared" si="10"/>
        <v>ALCENO JUNIOR/JOÃO MARCOS</v>
      </c>
    </row>
    <row r="647" spans="1:14" x14ac:dyDescent="0.3">
      <c r="A647" s="1">
        <v>705736</v>
      </c>
      <c r="B647" s="1" t="s">
        <v>690</v>
      </c>
      <c r="C647" s="5" t="s">
        <v>15</v>
      </c>
      <c r="D647" s="2">
        <v>45972</v>
      </c>
      <c r="E647" s="2" t="s">
        <v>31</v>
      </c>
      <c r="F647" s="1">
        <v>24102</v>
      </c>
      <c r="G647" s="1" t="s">
        <v>669</v>
      </c>
      <c r="H647" s="1" t="s">
        <v>661</v>
      </c>
      <c r="J647" s="2" t="s">
        <v>680</v>
      </c>
      <c r="K647" s="1" t="s">
        <v>666</v>
      </c>
      <c r="L647" s="1" t="s">
        <v>1388</v>
      </c>
      <c r="M647" s="1" t="s">
        <v>1389</v>
      </c>
      <c r="N647" s="1" t="str">
        <f t="shared" si="10"/>
        <v>JUNIO TEIXEIRA /GEOVANI RORIZ</v>
      </c>
    </row>
    <row r="648" spans="1:14" x14ac:dyDescent="0.3">
      <c r="A648" s="1">
        <v>705296</v>
      </c>
      <c r="B648" s="1" t="s">
        <v>1188</v>
      </c>
      <c r="C648" s="5" t="s">
        <v>15</v>
      </c>
      <c r="D648" s="2">
        <v>45762</v>
      </c>
      <c r="E648" s="2" t="s">
        <v>31</v>
      </c>
      <c r="F648" s="1">
        <v>39601</v>
      </c>
      <c r="G648" s="1" t="s">
        <v>660</v>
      </c>
      <c r="H648" s="1" t="s">
        <v>661</v>
      </c>
      <c r="J648" s="2" t="s">
        <v>684</v>
      </c>
      <c r="K648" s="1" t="s">
        <v>666</v>
      </c>
      <c r="L648" s="1" t="s">
        <v>258</v>
      </c>
      <c r="M648" s="1" t="s">
        <v>1392</v>
      </c>
      <c r="N648" s="1" t="str">
        <f t="shared" si="10"/>
        <v>ADALTON/JANILSON RORIZ/MARIVALDO</v>
      </c>
    </row>
    <row r="649" spans="1:14" x14ac:dyDescent="0.3">
      <c r="A649" s="1">
        <v>703949</v>
      </c>
      <c r="B649" s="1" t="s">
        <v>691</v>
      </c>
      <c r="C649" s="5" t="s">
        <v>15</v>
      </c>
      <c r="D649" s="2">
        <v>45089</v>
      </c>
      <c r="E649" s="2" t="s">
        <v>686</v>
      </c>
      <c r="F649" s="1">
        <v>39601</v>
      </c>
      <c r="G649" s="1" t="s">
        <v>660</v>
      </c>
      <c r="H649" s="1" t="s">
        <v>661</v>
      </c>
      <c r="J649" s="2" t="s">
        <v>684</v>
      </c>
      <c r="K649" s="1" t="s">
        <v>666</v>
      </c>
      <c r="L649" s="1" t="s">
        <v>258</v>
      </c>
      <c r="M649" s="1" t="s">
        <v>1392</v>
      </c>
      <c r="N649" s="1" t="str">
        <f t="shared" si="10"/>
        <v>ADALTON/JANILSON RORIZ/MARIVALDO</v>
      </c>
    </row>
    <row r="650" spans="1:14" x14ac:dyDescent="0.3">
      <c r="A650" s="1">
        <v>705060</v>
      </c>
      <c r="B650" s="1" t="s">
        <v>692</v>
      </c>
      <c r="C650" s="5" t="s">
        <v>15</v>
      </c>
      <c r="D650" s="2">
        <v>45635</v>
      </c>
      <c r="E650" s="2" t="s">
        <v>31</v>
      </c>
      <c r="F650" s="1">
        <v>24102</v>
      </c>
      <c r="G650" s="1" t="s">
        <v>669</v>
      </c>
      <c r="H650" s="1" t="s">
        <v>661</v>
      </c>
      <c r="J650" s="2" t="s">
        <v>672</v>
      </c>
      <c r="K650" s="1" t="s">
        <v>666</v>
      </c>
      <c r="L650" s="1" t="s">
        <v>1388</v>
      </c>
      <c r="M650" s="1" t="s">
        <v>1389</v>
      </c>
      <c r="N650" s="1" t="str">
        <f t="shared" si="10"/>
        <v>JUNIO TEIXEIRA /GEOVANI RORIZ</v>
      </c>
    </row>
    <row r="651" spans="1:14" x14ac:dyDescent="0.3">
      <c r="A651" s="1">
        <v>705548</v>
      </c>
      <c r="B651" s="1" t="s">
        <v>1328</v>
      </c>
      <c r="C651" s="5" t="s">
        <v>15</v>
      </c>
      <c r="D651" s="2">
        <v>45881</v>
      </c>
      <c r="E651" s="2" t="s">
        <v>16</v>
      </c>
      <c r="F651" s="1">
        <v>24102</v>
      </c>
      <c r="G651" s="1" t="s">
        <v>669</v>
      </c>
      <c r="H651" s="1" t="s">
        <v>661</v>
      </c>
      <c r="J651" s="2" t="s">
        <v>682</v>
      </c>
      <c r="K651" s="1" t="s">
        <v>666</v>
      </c>
      <c r="L651" s="1" t="s">
        <v>1390</v>
      </c>
      <c r="M651" s="1" t="s">
        <v>1391</v>
      </c>
      <c r="N651" s="1" t="str">
        <f t="shared" si="10"/>
        <v>ALCENO JUNIOR/JOÃO MARCOS</v>
      </c>
    </row>
    <row r="652" spans="1:14" x14ac:dyDescent="0.3">
      <c r="A652" s="1">
        <v>703632</v>
      </c>
      <c r="B652" s="1" t="s">
        <v>693</v>
      </c>
      <c r="C652" s="5" t="s">
        <v>15</v>
      </c>
      <c r="D652" s="2">
        <v>44991</v>
      </c>
      <c r="E652" s="2" t="s">
        <v>199</v>
      </c>
      <c r="F652" s="1">
        <v>24102</v>
      </c>
      <c r="G652" s="1" t="s">
        <v>669</v>
      </c>
      <c r="H652" s="1" t="s">
        <v>661</v>
      </c>
      <c r="J652" s="2" t="s">
        <v>682</v>
      </c>
      <c r="K652" s="1" t="s">
        <v>666</v>
      </c>
      <c r="L652" s="1" t="s">
        <v>1390</v>
      </c>
      <c r="M652" s="1" t="s">
        <v>1391</v>
      </c>
      <c r="N652" s="1" t="str">
        <f t="shared" si="10"/>
        <v>ALCENO JUNIOR/JOÃO MARCOS</v>
      </c>
    </row>
    <row r="653" spans="1:14" x14ac:dyDescent="0.3">
      <c r="A653" s="1">
        <v>703013</v>
      </c>
      <c r="B653" s="1" t="s">
        <v>695</v>
      </c>
      <c r="C653" s="5" t="s">
        <v>15</v>
      </c>
      <c r="D653" s="2">
        <v>44691</v>
      </c>
      <c r="E653" s="2" t="s">
        <v>507</v>
      </c>
      <c r="F653" s="1">
        <v>24102</v>
      </c>
      <c r="G653" s="1" t="s">
        <v>669</v>
      </c>
      <c r="H653" s="1" t="s">
        <v>661</v>
      </c>
      <c r="J653" s="2" t="s">
        <v>672</v>
      </c>
      <c r="K653" s="1" t="s">
        <v>666</v>
      </c>
      <c r="L653" s="1" t="s">
        <v>1388</v>
      </c>
      <c r="M653" s="1" t="s">
        <v>1389</v>
      </c>
      <c r="N653" s="1" t="str">
        <f t="shared" si="10"/>
        <v>JUNIO TEIXEIRA /GEOVANI RORIZ</v>
      </c>
    </row>
    <row r="654" spans="1:14" x14ac:dyDescent="0.3">
      <c r="A654" s="1">
        <v>705603</v>
      </c>
      <c r="B654" s="1" t="s">
        <v>1362</v>
      </c>
      <c r="C654" s="5" t="s">
        <v>15</v>
      </c>
      <c r="D654" s="2">
        <v>45902</v>
      </c>
      <c r="E654" s="2" t="s">
        <v>381</v>
      </c>
      <c r="F654" s="1">
        <v>39602</v>
      </c>
      <c r="G654" s="1" t="s">
        <v>699</v>
      </c>
      <c r="H654" s="1" t="s">
        <v>661</v>
      </c>
      <c r="J654" s="2" t="s">
        <v>700</v>
      </c>
      <c r="K654" s="1" t="s">
        <v>666</v>
      </c>
      <c r="L654" s="1" t="s">
        <v>258</v>
      </c>
      <c r="M654" s="1" t="s">
        <v>701</v>
      </c>
      <c r="N654" s="1" t="str">
        <f t="shared" si="10"/>
        <v>IURY GUEDES</v>
      </c>
    </row>
    <row r="655" spans="1:14" x14ac:dyDescent="0.3">
      <c r="A655" s="1">
        <v>704490</v>
      </c>
      <c r="B655" s="1" t="s">
        <v>696</v>
      </c>
      <c r="C655" s="5" t="s">
        <v>15</v>
      </c>
      <c r="D655" s="2">
        <v>45420</v>
      </c>
      <c r="E655" s="2" t="s">
        <v>31</v>
      </c>
      <c r="F655" s="1">
        <v>24102</v>
      </c>
      <c r="G655" s="1" t="s">
        <v>669</v>
      </c>
      <c r="H655" s="1" t="s">
        <v>661</v>
      </c>
      <c r="J655" s="2" t="s">
        <v>682</v>
      </c>
      <c r="K655" s="1" t="s">
        <v>666</v>
      </c>
      <c r="L655" s="1" t="s">
        <v>1390</v>
      </c>
      <c r="M655" s="1" t="s">
        <v>1391</v>
      </c>
      <c r="N655" s="1" t="str">
        <f t="shared" si="10"/>
        <v>ALCENO JUNIOR/JOÃO MARCOS</v>
      </c>
    </row>
    <row r="656" spans="1:14" x14ac:dyDescent="0.3">
      <c r="A656" s="1">
        <v>704438</v>
      </c>
      <c r="B656" s="1" t="s">
        <v>698</v>
      </c>
      <c r="C656" s="5" t="s">
        <v>15</v>
      </c>
      <c r="D656" s="2">
        <v>45419</v>
      </c>
      <c r="E656" s="2" t="s">
        <v>427</v>
      </c>
      <c r="F656" s="1">
        <v>39602</v>
      </c>
      <c r="G656" s="1" t="s">
        <v>699</v>
      </c>
      <c r="H656" s="1" t="s">
        <v>661</v>
      </c>
      <c r="J656" s="2" t="s">
        <v>700</v>
      </c>
      <c r="K656" s="1" t="s">
        <v>666</v>
      </c>
      <c r="L656" s="1" t="s">
        <v>258</v>
      </c>
      <c r="M656" s="1" t="s">
        <v>701</v>
      </c>
      <c r="N656" s="1" t="str">
        <f t="shared" si="10"/>
        <v>IURY GUEDES</v>
      </c>
    </row>
    <row r="657" spans="1:14" x14ac:dyDescent="0.3">
      <c r="A657" s="1">
        <v>705481</v>
      </c>
      <c r="B657" s="1" t="s">
        <v>1280</v>
      </c>
      <c r="C657" s="5" t="s">
        <v>15</v>
      </c>
      <c r="D657" s="2">
        <v>45824</v>
      </c>
      <c r="E657" s="2" t="s">
        <v>173</v>
      </c>
      <c r="F657" s="1">
        <v>32102</v>
      </c>
      <c r="G657" s="1" t="s">
        <v>674</v>
      </c>
      <c r="H657" s="1" t="s">
        <v>661</v>
      </c>
      <c r="J657" s="2" t="s">
        <v>675</v>
      </c>
      <c r="K657" s="1" t="s">
        <v>25</v>
      </c>
      <c r="L657" s="1" t="s">
        <v>1369</v>
      </c>
      <c r="M657" s="1" t="s">
        <v>676</v>
      </c>
      <c r="N657" s="1" t="str">
        <f t="shared" si="10"/>
        <v>MARCELO DOURADO</v>
      </c>
    </row>
    <row r="658" spans="1:14" x14ac:dyDescent="0.3">
      <c r="A658" s="1">
        <v>704337</v>
      </c>
      <c r="B658" s="1" t="s">
        <v>702</v>
      </c>
      <c r="C658" s="5" t="s">
        <v>15</v>
      </c>
      <c r="D658" s="2">
        <v>45363</v>
      </c>
      <c r="E658" s="2" t="s">
        <v>31</v>
      </c>
      <c r="F658" s="1">
        <v>24102</v>
      </c>
      <c r="G658" s="1" t="s">
        <v>669</v>
      </c>
      <c r="H658" s="1" t="s">
        <v>661</v>
      </c>
      <c r="J658" s="2" t="s">
        <v>680</v>
      </c>
      <c r="K658" s="1" t="s">
        <v>666</v>
      </c>
      <c r="L658" s="1" t="s">
        <v>1388</v>
      </c>
      <c r="M658" s="1" t="s">
        <v>1389</v>
      </c>
      <c r="N658" s="1" t="str">
        <f t="shared" si="10"/>
        <v>JUNIO TEIXEIRA /GEOVANI RORIZ</v>
      </c>
    </row>
    <row r="659" spans="1:14" x14ac:dyDescent="0.3">
      <c r="A659" s="1">
        <v>700280</v>
      </c>
      <c r="B659" s="1" t="s">
        <v>703</v>
      </c>
      <c r="C659" s="5" t="s">
        <v>15</v>
      </c>
      <c r="D659" s="2">
        <v>43290</v>
      </c>
      <c r="E659" s="2" t="s">
        <v>16</v>
      </c>
      <c r="F659" s="1">
        <v>24102</v>
      </c>
      <c r="G659" s="1" t="s">
        <v>669</v>
      </c>
      <c r="H659" s="1" t="s">
        <v>661</v>
      </c>
      <c r="J659" s="2" t="s">
        <v>682</v>
      </c>
      <c r="K659" s="1" t="s">
        <v>666</v>
      </c>
      <c r="L659" s="1" t="s">
        <v>1390</v>
      </c>
      <c r="M659" s="1" t="s">
        <v>1391</v>
      </c>
      <c r="N659" s="1" t="str">
        <f t="shared" si="10"/>
        <v>ALCENO JUNIOR/JOÃO MARCOS</v>
      </c>
    </row>
    <row r="660" spans="1:14" x14ac:dyDescent="0.3">
      <c r="A660" s="1">
        <v>704861</v>
      </c>
      <c r="B660" s="1" t="s">
        <v>704</v>
      </c>
      <c r="C660" s="5" t="s">
        <v>15</v>
      </c>
      <c r="D660" s="2">
        <v>45579</v>
      </c>
      <c r="E660" s="2" t="s">
        <v>31</v>
      </c>
      <c r="F660" s="1">
        <v>39601</v>
      </c>
      <c r="G660" s="1" t="s">
        <v>660</v>
      </c>
      <c r="H660" s="1" t="s">
        <v>661</v>
      </c>
      <c r="J660" s="2" t="s">
        <v>684</v>
      </c>
      <c r="K660" s="1" t="s">
        <v>666</v>
      </c>
      <c r="L660" s="1" t="s">
        <v>258</v>
      </c>
      <c r="M660" s="1" t="s">
        <v>1392</v>
      </c>
      <c r="N660" s="1" t="str">
        <f t="shared" si="10"/>
        <v>ADALTON/JANILSON RORIZ/MARIVALDO</v>
      </c>
    </row>
    <row r="661" spans="1:14" x14ac:dyDescent="0.3">
      <c r="A661" s="1">
        <v>700220</v>
      </c>
      <c r="B661" s="1" t="s">
        <v>705</v>
      </c>
      <c r="C661" s="5" t="s">
        <v>15</v>
      </c>
      <c r="D661" s="2">
        <v>43255</v>
      </c>
      <c r="E661" s="2" t="s">
        <v>60</v>
      </c>
      <c r="F661" s="1">
        <v>24102</v>
      </c>
      <c r="G661" s="1" t="s">
        <v>669</v>
      </c>
      <c r="H661" s="1" t="s">
        <v>661</v>
      </c>
      <c r="J661" s="2" t="s">
        <v>672</v>
      </c>
      <c r="K661" s="1" t="s">
        <v>666</v>
      </c>
      <c r="L661" s="1" t="s">
        <v>1388</v>
      </c>
      <c r="M661" s="1" t="s">
        <v>1389</v>
      </c>
      <c r="N661" s="1" t="str">
        <f t="shared" si="10"/>
        <v>JUNIO TEIXEIRA /GEOVANI RORIZ</v>
      </c>
    </row>
    <row r="662" spans="1:14" x14ac:dyDescent="0.3">
      <c r="A662" s="1">
        <v>705778</v>
      </c>
      <c r="B662" s="1" t="s">
        <v>1494</v>
      </c>
      <c r="C662" s="5" t="s">
        <v>15</v>
      </c>
      <c r="D662" s="2">
        <v>45993</v>
      </c>
      <c r="E662" s="2" t="s">
        <v>1086</v>
      </c>
      <c r="F662" s="1">
        <v>31103</v>
      </c>
      <c r="G662" s="1" t="s">
        <v>718</v>
      </c>
      <c r="H662" s="1" t="s">
        <v>661</v>
      </c>
      <c r="J662" s="2" t="s">
        <v>719</v>
      </c>
      <c r="K662" s="1" t="s">
        <v>132</v>
      </c>
      <c r="L662" s="1" t="s">
        <v>132</v>
      </c>
      <c r="M662" s="1" t="s">
        <v>1381</v>
      </c>
      <c r="N662" s="1" t="str">
        <f t="shared" si="10"/>
        <v>MARCOS OLIVEIRA</v>
      </c>
    </row>
    <row r="663" spans="1:14" x14ac:dyDescent="0.3">
      <c r="A663" s="1">
        <v>701686</v>
      </c>
      <c r="B663" s="1" t="s">
        <v>706</v>
      </c>
      <c r="C663" s="5" t="s">
        <v>15</v>
      </c>
      <c r="D663" s="2">
        <v>44025</v>
      </c>
      <c r="E663" s="2" t="s">
        <v>27</v>
      </c>
      <c r="F663" s="1">
        <v>39601</v>
      </c>
      <c r="G663" s="1" t="s">
        <v>660</v>
      </c>
      <c r="H663" s="1" t="s">
        <v>661</v>
      </c>
      <c r="J663" s="2" t="s">
        <v>662</v>
      </c>
      <c r="K663" s="1" t="s">
        <v>666</v>
      </c>
      <c r="L663" s="1" t="s">
        <v>258</v>
      </c>
      <c r="N663" s="1" t="str">
        <f t="shared" si="10"/>
        <v>MATHEUS ALMEIDA</v>
      </c>
    </row>
    <row r="664" spans="1:14" x14ac:dyDescent="0.3">
      <c r="A664" s="1">
        <v>703272</v>
      </c>
      <c r="B664" s="1" t="s">
        <v>707</v>
      </c>
      <c r="C664" s="5" t="s">
        <v>15</v>
      </c>
      <c r="D664" s="2">
        <v>44781</v>
      </c>
      <c r="E664" s="2" t="s">
        <v>146</v>
      </c>
      <c r="F664" s="1">
        <v>24102</v>
      </c>
      <c r="G664" s="1" t="s">
        <v>669</v>
      </c>
      <c r="H664" s="1" t="s">
        <v>661</v>
      </c>
      <c r="J664" s="2" t="s">
        <v>680</v>
      </c>
      <c r="K664" s="1" t="s">
        <v>666</v>
      </c>
      <c r="L664" s="1" t="s">
        <v>1388</v>
      </c>
      <c r="M664" s="1" t="s">
        <v>1389</v>
      </c>
      <c r="N664" s="1" t="str">
        <f t="shared" si="10"/>
        <v>JUNIO TEIXEIRA /GEOVANI RORIZ</v>
      </c>
    </row>
    <row r="665" spans="1:14" x14ac:dyDescent="0.3">
      <c r="A665" s="1">
        <v>705777</v>
      </c>
      <c r="B665" s="1" t="s">
        <v>1495</v>
      </c>
      <c r="C665" s="5" t="s">
        <v>15</v>
      </c>
      <c r="D665" s="2">
        <v>45993</v>
      </c>
      <c r="E665" s="2" t="s">
        <v>129</v>
      </c>
      <c r="F665" s="1">
        <v>31103</v>
      </c>
      <c r="G665" s="1" t="s">
        <v>718</v>
      </c>
      <c r="H665" s="1" t="s">
        <v>661</v>
      </c>
      <c r="J665" s="2" t="s">
        <v>719</v>
      </c>
      <c r="K665" s="1" t="s">
        <v>132</v>
      </c>
      <c r="L665" s="1" t="s">
        <v>132</v>
      </c>
      <c r="M665" s="1" t="s">
        <v>1381</v>
      </c>
      <c r="N665" s="1" t="str">
        <f t="shared" si="10"/>
        <v>MARCOS OLIVEIRA</v>
      </c>
    </row>
    <row r="666" spans="1:14" x14ac:dyDescent="0.3">
      <c r="A666" s="1">
        <v>702005</v>
      </c>
      <c r="B666" s="1" t="s">
        <v>708</v>
      </c>
      <c r="C666" s="5" t="s">
        <v>15</v>
      </c>
      <c r="D666" s="2">
        <v>44229</v>
      </c>
      <c r="E666" s="2" t="s">
        <v>1363</v>
      </c>
      <c r="F666" s="1">
        <v>39203</v>
      </c>
      <c r="G666" s="1" t="s">
        <v>709</v>
      </c>
      <c r="H666" s="1" t="s">
        <v>661</v>
      </c>
      <c r="J666" s="2" t="s">
        <v>710</v>
      </c>
      <c r="K666" s="1" t="s">
        <v>50</v>
      </c>
      <c r="L666" s="1" t="s">
        <v>50</v>
      </c>
      <c r="M666" s="1" t="s">
        <v>1382</v>
      </c>
      <c r="N666" s="1" t="str">
        <f t="shared" si="10"/>
        <v>ADENILTON RODRIGUES</v>
      </c>
    </row>
    <row r="667" spans="1:14" x14ac:dyDescent="0.3">
      <c r="A667" s="1">
        <v>700657</v>
      </c>
      <c r="B667" s="1" t="s">
        <v>711</v>
      </c>
      <c r="C667" s="5" t="s">
        <v>15</v>
      </c>
      <c r="D667" s="2">
        <v>42989</v>
      </c>
      <c r="E667" s="2" t="s">
        <v>219</v>
      </c>
      <c r="F667" s="1">
        <v>32102</v>
      </c>
      <c r="G667" s="1" t="s">
        <v>674</v>
      </c>
      <c r="H667" s="1" t="s">
        <v>661</v>
      </c>
      <c r="J667" s="2" t="s">
        <v>675</v>
      </c>
      <c r="K667" s="1" t="s">
        <v>25</v>
      </c>
      <c r="L667" s="1" t="s">
        <v>1369</v>
      </c>
      <c r="M667" s="1" t="s">
        <v>676</v>
      </c>
      <c r="N667" s="1" t="str">
        <f t="shared" si="10"/>
        <v>MARCELO DOURADO</v>
      </c>
    </row>
    <row r="668" spans="1:14" x14ac:dyDescent="0.3">
      <c r="A668" s="1">
        <v>101561</v>
      </c>
      <c r="B668" s="1" t="s">
        <v>712</v>
      </c>
      <c r="C668" s="5" t="s">
        <v>15</v>
      </c>
      <c r="D668" s="2">
        <v>42989</v>
      </c>
      <c r="E668" s="2" t="s">
        <v>255</v>
      </c>
      <c r="F668" s="1">
        <v>24102</v>
      </c>
      <c r="G668" s="1" t="s">
        <v>669</v>
      </c>
      <c r="H668" s="1" t="s">
        <v>661</v>
      </c>
      <c r="J668" s="2" t="s">
        <v>680</v>
      </c>
      <c r="K668" s="1" t="s">
        <v>666</v>
      </c>
      <c r="L668" s="1" t="s">
        <v>1388</v>
      </c>
      <c r="M668" s="1" t="s">
        <v>1389</v>
      </c>
      <c r="N668" s="1" t="str">
        <f t="shared" si="10"/>
        <v>JUNIO TEIXEIRA /GEOVANI RORIZ</v>
      </c>
    </row>
    <row r="669" spans="1:14" x14ac:dyDescent="0.3">
      <c r="A669" s="1">
        <v>703844</v>
      </c>
      <c r="B669" s="1" t="s">
        <v>713</v>
      </c>
      <c r="C669" s="5" t="s">
        <v>15</v>
      </c>
      <c r="D669" s="2">
        <v>45054</v>
      </c>
      <c r="E669" s="2" t="s">
        <v>299</v>
      </c>
      <c r="F669" s="1">
        <v>39601</v>
      </c>
      <c r="G669" s="1" t="s">
        <v>660</v>
      </c>
      <c r="H669" s="1" t="s">
        <v>661</v>
      </c>
      <c r="J669" s="2" t="s">
        <v>684</v>
      </c>
      <c r="K669" s="1" t="s">
        <v>666</v>
      </c>
      <c r="L669" s="1" t="s">
        <v>258</v>
      </c>
      <c r="M669" s="1" t="s">
        <v>1392</v>
      </c>
      <c r="N669" s="1" t="str">
        <f t="shared" si="10"/>
        <v>ADALTON/JANILSON RORIZ/MARIVALDO</v>
      </c>
    </row>
    <row r="670" spans="1:14" x14ac:dyDescent="0.3">
      <c r="A670" s="1">
        <v>705131</v>
      </c>
      <c r="B670" s="1" t="s">
        <v>1148</v>
      </c>
      <c r="C670" s="5" t="s">
        <v>15</v>
      </c>
      <c r="D670" s="2">
        <v>45698</v>
      </c>
      <c r="E670" s="2" t="s">
        <v>230</v>
      </c>
      <c r="F670" s="1">
        <v>39601</v>
      </c>
      <c r="G670" s="1" t="s">
        <v>660</v>
      </c>
      <c r="H670" s="1" t="s">
        <v>661</v>
      </c>
      <c r="J670" s="2" t="s">
        <v>662</v>
      </c>
      <c r="K670" s="1" t="s">
        <v>666</v>
      </c>
      <c r="L670" s="1" t="s">
        <v>258</v>
      </c>
      <c r="N670" s="1" t="str">
        <f t="shared" si="10"/>
        <v>MATHEUS ALMEIDA</v>
      </c>
    </row>
    <row r="671" spans="1:14" x14ac:dyDescent="0.3">
      <c r="A671" s="1">
        <v>703945</v>
      </c>
      <c r="B671" s="1" t="s">
        <v>714</v>
      </c>
      <c r="C671" s="5" t="s">
        <v>15</v>
      </c>
      <c r="D671" s="2">
        <v>45089</v>
      </c>
      <c r="E671" s="2" t="s">
        <v>16</v>
      </c>
      <c r="F671" s="1">
        <v>24102</v>
      </c>
      <c r="G671" s="1" t="s">
        <v>669</v>
      </c>
      <c r="H671" s="1" t="s">
        <v>661</v>
      </c>
      <c r="J671" s="2" t="s">
        <v>682</v>
      </c>
      <c r="K671" s="1" t="s">
        <v>666</v>
      </c>
      <c r="L671" s="1" t="s">
        <v>1390</v>
      </c>
      <c r="M671" s="1" t="s">
        <v>1391</v>
      </c>
      <c r="N671" s="1" t="str">
        <f t="shared" si="10"/>
        <v>ALCENO JUNIOR/JOÃO MARCOS</v>
      </c>
    </row>
    <row r="672" spans="1:14" x14ac:dyDescent="0.3">
      <c r="A672" s="1">
        <v>704625</v>
      </c>
      <c r="B672" s="1" t="s">
        <v>715</v>
      </c>
      <c r="C672" s="5" t="s">
        <v>15</v>
      </c>
      <c r="D672" s="2">
        <v>45476</v>
      </c>
      <c r="E672" s="2" t="s">
        <v>31</v>
      </c>
      <c r="F672" s="1">
        <v>24201</v>
      </c>
      <c r="G672" s="1" t="s">
        <v>664</v>
      </c>
      <c r="H672" s="1" t="s">
        <v>661</v>
      </c>
      <c r="J672" s="2" t="s">
        <v>665</v>
      </c>
      <c r="K672" s="1" t="s">
        <v>666</v>
      </c>
      <c r="L672" s="1" t="s">
        <v>258</v>
      </c>
      <c r="M672" s="1" t="s">
        <v>667</v>
      </c>
      <c r="N672" s="1" t="str">
        <f t="shared" si="10"/>
        <v>JOSIEL NEVES</v>
      </c>
    </row>
    <row r="673" spans="1:14" x14ac:dyDescent="0.3">
      <c r="A673" s="1">
        <v>705322</v>
      </c>
      <c r="B673" s="1" t="s">
        <v>1238</v>
      </c>
      <c r="C673" s="5" t="s">
        <v>15</v>
      </c>
      <c r="D673" s="2">
        <v>45784</v>
      </c>
      <c r="E673" s="2" t="s">
        <v>31</v>
      </c>
      <c r="F673" s="1">
        <v>24201</v>
      </c>
      <c r="G673" s="1" t="s">
        <v>664</v>
      </c>
      <c r="H673" s="1" t="s">
        <v>661</v>
      </c>
      <c r="J673" s="2" t="s">
        <v>665</v>
      </c>
      <c r="K673" s="1" t="s">
        <v>666</v>
      </c>
      <c r="L673" s="1" t="s">
        <v>258</v>
      </c>
      <c r="M673" s="1" t="s">
        <v>667</v>
      </c>
      <c r="N673" s="1" t="str">
        <f t="shared" si="10"/>
        <v>JOSIEL NEVES</v>
      </c>
    </row>
    <row r="674" spans="1:14" x14ac:dyDescent="0.3">
      <c r="A674" s="1">
        <v>704666</v>
      </c>
      <c r="B674" s="1" t="s">
        <v>716</v>
      </c>
      <c r="C674" s="5" t="s">
        <v>15</v>
      </c>
      <c r="D674" s="2">
        <v>45482</v>
      </c>
      <c r="E674" s="2" t="s">
        <v>418</v>
      </c>
      <c r="F674" s="1">
        <v>39601</v>
      </c>
      <c r="G674" s="1" t="s">
        <v>660</v>
      </c>
      <c r="H674" s="1" t="s">
        <v>661</v>
      </c>
      <c r="J674" s="2" t="s">
        <v>684</v>
      </c>
      <c r="K674" s="1" t="s">
        <v>666</v>
      </c>
      <c r="L674" s="1" t="s">
        <v>258</v>
      </c>
      <c r="M674" s="1" t="s">
        <v>1392</v>
      </c>
      <c r="N674" s="1" t="str">
        <f t="shared" si="10"/>
        <v>ADALTON/JANILSON RORIZ/MARIVALDO</v>
      </c>
    </row>
    <row r="675" spans="1:14" x14ac:dyDescent="0.3">
      <c r="A675" s="1">
        <v>705487</v>
      </c>
      <c r="B675" s="1" t="s">
        <v>1303</v>
      </c>
      <c r="C675" s="5" t="s">
        <v>15</v>
      </c>
      <c r="D675" s="2">
        <v>45839</v>
      </c>
      <c r="E675" s="2" t="s">
        <v>31</v>
      </c>
      <c r="F675" s="1">
        <v>39601</v>
      </c>
      <c r="G675" s="1" t="s">
        <v>660</v>
      </c>
      <c r="H675" s="1" t="s">
        <v>661</v>
      </c>
      <c r="J675" s="2" t="s">
        <v>662</v>
      </c>
      <c r="K675" s="1" t="s">
        <v>666</v>
      </c>
      <c r="L675" s="1" t="s">
        <v>258</v>
      </c>
      <c r="N675" s="1" t="str">
        <f t="shared" si="10"/>
        <v>MATHEUS ALMEIDA</v>
      </c>
    </row>
    <row r="676" spans="1:14" x14ac:dyDescent="0.3">
      <c r="A676" s="1">
        <v>705013</v>
      </c>
      <c r="B676" s="1" t="s">
        <v>717</v>
      </c>
      <c r="C676" s="5" t="s">
        <v>15</v>
      </c>
      <c r="D676" s="2">
        <v>45635</v>
      </c>
      <c r="E676" s="2" t="s">
        <v>1086</v>
      </c>
      <c r="F676" s="1">
        <v>31103</v>
      </c>
      <c r="G676" s="1" t="s">
        <v>718</v>
      </c>
      <c r="H676" s="1" t="s">
        <v>661</v>
      </c>
      <c r="J676" s="2" t="s">
        <v>719</v>
      </c>
      <c r="K676" s="1" t="s">
        <v>132</v>
      </c>
      <c r="L676" s="1" t="s">
        <v>132</v>
      </c>
      <c r="M676" s="1" t="s">
        <v>1381</v>
      </c>
      <c r="N676" s="1" t="str">
        <f t="shared" si="10"/>
        <v>MARCOS OLIVEIRA</v>
      </c>
    </row>
    <row r="677" spans="1:14" x14ac:dyDescent="0.3">
      <c r="A677" s="1">
        <v>705169</v>
      </c>
      <c r="B677" s="1" t="s">
        <v>1169</v>
      </c>
      <c r="C677" s="5" t="s">
        <v>15</v>
      </c>
      <c r="D677" s="2">
        <v>45726</v>
      </c>
      <c r="E677" s="2" t="s">
        <v>31</v>
      </c>
      <c r="F677" s="1">
        <v>24102</v>
      </c>
      <c r="G677" s="1" t="s">
        <v>669</v>
      </c>
      <c r="H677" s="1" t="s">
        <v>661</v>
      </c>
      <c r="J677" s="2" t="s">
        <v>672</v>
      </c>
      <c r="K677" s="1" t="s">
        <v>666</v>
      </c>
      <c r="L677" s="1" t="s">
        <v>1388</v>
      </c>
      <c r="M677" s="1" t="s">
        <v>1389</v>
      </c>
      <c r="N677" s="1" t="str">
        <f t="shared" si="10"/>
        <v>JUNIO TEIXEIRA /GEOVANI RORIZ</v>
      </c>
    </row>
    <row r="678" spans="1:14" x14ac:dyDescent="0.3">
      <c r="A678" s="1">
        <v>702696</v>
      </c>
      <c r="B678" s="1" t="s">
        <v>720</v>
      </c>
      <c r="C678" s="5" t="s">
        <v>15</v>
      </c>
      <c r="D678" s="2">
        <v>44537</v>
      </c>
      <c r="E678" s="2" t="s">
        <v>179</v>
      </c>
      <c r="F678" s="1">
        <v>32102</v>
      </c>
      <c r="G678" s="1" t="s">
        <v>674</v>
      </c>
      <c r="H678" s="1" t="s">
        <v>661</v>
      </c>
      <c r="J678" s="2" t="s">
        <v>675</v>
      </c>
      <c r="K678" s="1" t="s">
        <v>25</v>
      </c>
      <c r="L678" s="1" t="s">
        <v>1369</v>
      </c>
      <c r="M678" s="1" t="s">
        <v>676</v>
      </c>
      <c r="N678" s="1" t="str">
        <f t="shared" si="10"/>
        <v>MARCELO DOURADO</v>
      </c>
    </row>
    <row r="679" spans="1:14" x14ac:dyDescent="0.3">
      <c r="A679" s="1">
        <v>704714</v>
      </c>
      <c r="B679" s="1" t="s">
        <v>721</v>
      </c>
      <c r="C679" s="5" t="s">
        <v>15</v>
      </c>
      <c r="D679" s="2">
        <v>45518</v>
      </c>
      <c r="E679" s="2" t="s">
        <v>31</v>
      </c>
      <c r="F679" s="1">
        <v>39601</v>
      </c>
      <c r="G679" s="1" t="s">
        <v>660</v>
      </c>
      <c r="H679" s="1" t="s">
        <v>661</v>
      </c>
      <c r="J679" s="2" t="s">
        <v>684</v>
      </c>
      <c r="K679" s="1" t="s">
        <v>666</v>
      </c>
      <c r="L679" s="1" t="s">
        <v>258</v>
      </c>
      <c r="M679" s="1" t="s">
        <v>1392</v>
      </c>
      <c r="N679" s="1" t="str">
        <f t="shared" si="10"/>
        <v>ADALTON/JANILSON RORIZ/MARIVALDO</v>
      </c>
    </row>
    <row r="680" spans="1:14" x14ac:dyDescent="0.3">
      <c r="A680" s="1">
        <v>705648</v>
      </c>
      <c r="B680" s="1" t="s">
        <v>1418</v>
      </c>
      <c r="C680" s="5" t="s">
        <v>15</v>
      </c>
      <c r="D680" s="2">
        <v>45944</v>
      </c>
      <c r="E680" s="2" t="s">
        <v>31</v>
      </c>
      <c r="F680" s="1">
        <v>39601</v>
      </c>
      <c r="G680" s="1" t="s">
        <v>660</v>
      </c>
      <c r="H680" s="1" t="s">
        <v>661</v>
      </c>
      <c r="J680" s="2" t="s">
        <v>662</v>
      </c>
      <c r="K680" s="1" t="s">
        <v>666</v>
      </c>
      <c r="L680" s="1" t="s">
        <v>258</v>
      </c>
      <c r="N680" s="1" t="str">
        <f t="shared" si="10"/>
        <v>MATHEUS ALMEIDA</v>
      </c>
    </row>
    <row r="681" spans="1:14" x14ac:dyDescent="0.3">
      <c r="A681" s="1">
        <v>101551</v>
      </c>
      <c r="B681" s="1" t="s">
        <v>722</v>
      </c>
      <c r="C681" s="5" t="s">
        <v>15</v>
      </c>
      <c r="D681" s="2">
        <v>42989</v>
      </c>
      <c r="E681" s="2" t="s">
        <v>16</v>
      </c>
      <c r="F681" s="1">
        <v>24102</v>
      </c>
      <c r="G681" s="1" t="s">
        <v>669</v>
      </c>
      <c r="H681" s="1" t="s">
        <v>661</v>
      </c>
      <c r="J681" s="2" t="s">
        <v>682</v>
      </c>
      <c r="K681" s="1" t="s">
        <v>666</v>
      </c>
      <c r="L681" s="1" t="s">
        <v>1390</v>
      </c>
      <c r="M681" s="1" t="s">
        <v>1391</v>
      </c>
      <c r="N681" s="1" t="str">
        <f t="shared" si="10"/>
        <v>ALCENO JUNIOR/JOÃO MARCOS</v>
      </c>
    </row>
    <row r="682" spans="1:14" x14ac:dyDescent="0.3">
      <c r="A682" s="1">
        <v>704463</v>
      </c>
      <c r="B682" s="1" t="s">
        <v>723</v>
      </c>
      <c r="C682" s="5" t="s">
        <v>15</v>
      </c>
      <c r="D682" s="2">
        <v>45419</v>
      </c>
      <c r="E682" s="2" t="s">
        <v>60</v>
      </c>
      <c r="F682" s="1">
        <v>39601</v>
      </c>
      <c r="G682" s="1" t="s">
        <v>660</v>
      </c>
      <c r="H682" s="1" t="s">
        <v>661</v>
      </c>
      <c r="J682" s="2" t="s">
        <v>684</v>
      </c>
      <c r="K682" s="1" t="s">
        <v>666</v>
      </c>
      <c r="L682" s="1" t="s">
        <v>258</v>
      </c>
      <c r="M682" s="1" t="s">
        <v>1392</v>
      </c>
      <c r="N682" s="1" t="str">
        <f t="shared" si="10"/>
        <v>ADALTON/JANILSON RORIZ/MARIVALDO</v>
      </c>
    </row>
    <row r="683" spans="1:14" x14ac:dyDescent="0.3">
      <c r="A683" s="1">
        <v>702873</v>
      </c>
      <c r="B683" s="1" t="s">
        <v>724</v>
      </c>
      <c r="C683" s="5" t="s">
        <v>15</v>
      </c>
      <c r="D683" s="2">
        <v>44635</v>
      </c>
      <c r="E683" s="2" t="s">
        <v>230</v>
      </c>
      <c r="F683" s="1">
        <v>38102</v>
      </c>
      <c r="G683" s="1" t="s">
        <v>725</v>
      </c>
      <c r="H683" s="1" t="s">
        <v>661</v>
      </c>
      <c r="J683" s="2" t="s">
        <v>726</v>
      </c>
      <c r="K683" s="1" t="s">
        <v>1372</v>
      </c>
      <c r="L683" s="1" t="s">
        <v>1372</v>
      </c>
      <c r="M683" s="1" t="s">
        <v>1373</v>
      </c>
      <c r="N683" s="1" t="str">
        <f t="shared" si="10"/>
        <v>DENIS ACASSIO</v>
      </c>
    </row>
    <row r="684" spans="1:14" x14ac:dyDescent="0.3">
      <c r="A684" s="1">
        <v>704393</v>
      </c>
      <c r="B684" s="1" t="s">
        <v>727</v>
      </c>
      <c r="C684" s="5" t="s">
        <v>15</v>
      </c>
      <c r="D684" s="2">
        <v>45391</v>
      </c>
      <c r="E684" s="2" t="s">
        <v>418</v>
      </c>
      <c r="F684" s="1">
        <v>39601</v>
      </c>
      <c r="G684" s="1" t="s">
        <v>660</v>
      </c>
      <c r="H684" s="1" t="s">
        <v>661</v>
      </c>
      <c r="J684" s="2" t="s">
        <v>684</v>
      </c>
      <c r="K684" s="1" t="s">
        <v>666</v>
      </c>
      <c r="L684" s="1" t="s">
        <v>258</v>
      </c>
      <c r="M684" s="1" t="s">
        <v>1392</v>
      </c>
      <c r="N684" s="1" t="str">
        <f t="shared" si="10"/>
        <v>ADALTON/JANILSON RORIZ/MARIVALDO</v>
      </c>
    </row>
    <row r="685" spans="1:14" x14ac:dyDescent="0.3">
      <c r="A685" s="1">
        <v>702416</v>
      </c>
      <c r="B685" s="1" t="s">
        <v>728</v>
      </c>
      <c r="C685" s="5" t="s">
        <v>15</v>
      </c>
      <c r="D685" s="2">
        <v>44390</v>
      </c>
      <c r="E685" s="2" t="s">
        <v>31</v>
      </c>
      <c r="F685" s="1">
        <v>39601</v>
      </c>
      <c r="G685" s="1" t="s">
        <v>660</v>
      </c>
      <c r="H685" s="1" t="s">
        <v>661</v>
      </c>
      <c r="J685" s="2" t="s">
        <v>672</v>
      </c>
      <c r="K685" s="1" t="s">
        <v>666</v>
      </c>
      <c r="L685" s="1" t="s">
        <v>1388</v>
      </c>
      <c r="M685" s="1" t="s">
        <v>1389</v>
      </c>
      <c r="N685" s="1" t="str">
        <f t="shared" si="10"/>
        <v>JUNIO TEIXEIRA /GEOVANI RORIZ</v>
      </c>
    </row>
    <row r="686" spans="1:14" x14ac:dyDescent="0.3">
      <c r="A686" s="1">
        <v>704341</v>
      </c>
      <c r="B686" s="1" t="s">
        <v>729</v>
      </c>
      <c r="C686" s="5" t="s">
        <v>15</v>
      </c>
      <c r="D686" s="2">
        <v>45363</v>
      </c>
      <c r="E686" s="2" t="s">
        <v>686</v>
      </c>
      <c r="F686" s="1">
        <v>39601</v>
      </c>
      <c r="G686" s="1" t="s">
        <v>660</v>
      </c>
      <c r="H686" s="1" t="s">
        <v>661</v>
      </c>
      <c r="J686" s="2" t="s">
        <v>684</v>
      </c>
      <c r="K686" s="1" t="s">
        <v>666</v>
      </c>
      <c r="L686" s="1" t="s">
        <v>258</v>
      </c>
      <c r="M686" s="1" t="s">
        <v>1392</v>
      </c>
      <c r="N686" s="1" t="str">
        <f t="shared" si="10"/>
        <v>ADALTON/JANILSON RORIZ/MARIVALDO</v>
      </c>
    </row>
    <row r="687" spans="1:14" x14ac:dyDescent="0.3">
      <c r="A687" s="1">
        <v>704208</v>
      </c>
      <c r="B687" s="1" t="s">
        <v>730</v>
      </c>
      <c r="C687" s="5" t="s">
        <v>15</v>
      </c>
      <c r="D687" s="2">
        <v>45300</v>
      </c>
      <c r="E687" s="2" t="s">
        <v>138</v>
      </c>
      <c r="F687" s="1">
        <v>24102</v>
      </c>
      <c r="G687" s="1" t="s">
        <v>669</v>
      </c>
      <c r="H687" s="1" t="s">
        <v>661</v>
      </c>
      <c r="J687" s="2" t="s">
        <v>682</v>
      </c>
      <c r="K687" s="1" t="s">
        <v>666</v>
      </c>
      <c r="L687" s="1" t="s">
        <v>1390</v>
      </c>
      <c r="M687" s="1" t="s">
        <v>1391</v>
      </c>
      <c r="N687" s="1" t="str">
        <f t="shared" si="10"/>
        <v>ALCENO JUNIOR/JOÃO MARCOS</v>
      </c>
    </row>
    <row r="688" spans="1:14" x14ac:dyDescent="0.3">
      <c r="A688" s="1">
        <v>701113</v>
      </c>
      <c r="B688" s="1" t="s">
        <v>731</v>
      </c>
      <c r="C688" s="5" t="s">
        <v>15</v>
      </c>
      <c r="D688" s="2">
        <v>43641</v>
      </c>
      <c r="E688" s="2" t="s">
        <v>146</v>
      </c>
      <c r="F688" s="1">
        <v>39601</v>
      </c>
      <c r="G688" s="1" t="s">
        <v>660</v>
      </c>
      <c r="H688" s="1" t="s">
        <v>661</v>
      </c>
      <c r="J688" s="2" t="s">
        <v>684</v>
      </c>
      <c r="K688" s="1" t="s">
        <v>666</v>
      </c>
      <c r="L688" s="1" t="s">
        <v>258</v>
      </c>
      <c r="M688" s="1" t="s">
        <v>1392</v>
      </c>
      <c r="N688" s="1" t="str">
        <f t="shared" si="10"/>
        <v>ADALTON/JANILSON RORIZ/MARIVALDO</v>
      </c>
    </row>
    <row r="689" spans="1:14" x14ac:dyDescent="0.3">
      <c r="A689" s="1">
        <v>703397</v>
      </c>
      <c r="B689" s="1" t="s">
        <v>732</v>
      </c>
      <c r="C689" s="5" t="s">
        <v>15</v>
      </c>
      <c r="D689" s="2">
        <v>44851</v>
      </c>
      <c r="E689" s="2" t="s">
        <v>146</v>
      </c>
      <c r="F689" s="1">
        <v>39601</v>
      </c>
      <c r="G689" s="1" t="s">
        <v>660</v>
      </c>
      <c r="H689" s="1" t="s">
        <v>661</v>
      </c>
      <c r="J689" s="2" t="s">
        <v>684</v>
      </c>
      <c r="K689" s="1" t="s">
        <v>666</v>
      </c>
      <c r="L689" s="1" t="s">
        <v>258</v>
      </c>
      <c r="M689" s="1" t="s">
        <v>1392</v>
      </c>
      <c r="N689" s="1" t="str">
        <f t="shared" si="10"/>
        <v>ADALTON/JANILSON RORIZ/MARIVALDO</v>
      </c>
    </row>
    <row r="690" spans="1:14" x14ac:dyDescent="0.3">
      <c r="A690" s="1">
        <v>702558</v>
      </c>
      <c r="B690" s="1" t="s">
        <v>733</v>
      </c>
      <c r="C690" s="5" t="s">
        <v>15</v>
      </c>
      <c r="D690" s="2">
        <v>44459</v>
      </c>
      <c r="E690" s="2" t="s">
        <v>734</v>
      </c>
      <c r="F690" s="1">
        <v>24201</v>
      </c>
      <c r="G690" s="1" t="s">
        <v>664</v>
      </c>
      <c r="H690" s="1" t="s">
        <v>661</v>
      </c>
      <c r="J690" s="2" t="s">
        <v>665</v>
      </c>
      <c r="K690" s="1" t="s">
        <v>666</v>
      </c>
      <c r="L690" s="1" t="s">
        <v>258</v>
      </c>
      <c r="M690" s="1" t="s">
        <v>667</v>
      </c>
      <c r="N690" s="1" t="str">
        <f t="shared" si="10"/>
        <v>JOSIEL NEVES</v>
      </c>
    </row>
    <row r="691" spans="1:14" x14ac:dyDescent="0.3">
      <c r="A691" s="1">
        <v>704424</v>
      </c>
      <c r="B691" s="1" t="s">
        <v>735</v>
      </c>
      <c r="C691" s="5" t="s">
        <v>15</v>
      </c>
      <c r="D691" s="2">
        <v>45391</v>
      </c>
      <c r="E691" s="2" t="s">
        <v>27</v>
      </c>
      <c r="F691" s="1">
        <v>39601</v>
      </c>
      <c r="G691" s="1" t="s">
        <v>660</v>
      </c>
      <c r="H691" s="1" t="s">
        <v>661</v>
      </c>
      <c r="J691" s="2" t="s">
        <v>684</v>
      </c>
      <c r="K691" s="1" t="s">
        <v>666</v>
      </c>
      <c r="L691" s="1" t="s">
        <v>258</v>
      </c>
      <c r="M691" s="1" t="s">
        <v>1392</v>
      </c>
      <c r="N691" s="1" t="str">
        <f t="shared" si="10"/>
        <v>ADALTON/JANILSON RORIZ/MARIVALDO</v>
      </c>
    </row>
    <row r="692" spans="1:14" x14ac:dyDescent="0.3">
      <c r="A692" s="1">
        <v>705349</v>
      </c>
      <c r="B692" s="1" t="s">
        <v>1239</v>
      </c>
      <c r="C692" s="5" t="s">
        <v>15</v>
      </c>
      <c r="D692" s="2">
        <v>45784</v>
      </c>
      <c r="E692" s="2" t="s">
        <v>31</v>
      </c>
      <c r="F692" s="1">
        <v>24201</v>
      </c>
      <c r="G692" s="1" t="s">
        <v>664</v>
      </c>
      <c r="H692" s="1" t="s">
        <v>661</v>
      </c>
      <c r="J692" s="2" t="s">
        <v>665</v>
      </c>
      <c r="K692" s="1" t="s">
        <v>666</v>
      </c>
      <c r="L692" s="1" t="s">
        <v>258</v>
      </c>
      <c r="M692" s="1" t="s">
        <v>667</v>
      </c>
      <c r="N692" s="1" t="str">
        <f t="shared" si="10"/>
        <v>JOSIEL NEVES</v>
      </c>
    </row>
    <row r="693" spans="1:14" x14ac:dyDescent="0.3">
      <c r="A693" s="1">
        <v>704408</v>
      </c>
      <c r="B693" s="1" t="s">
        <v>736</v>
      </c>
      <c r="C693" s="5" t="s">
        <v>15</v>
      </c>
      <c r="D693" s="2">
        <v>45391</v>
      </c>
      <c r="E693" s="2" t="s">
        <v>16</v>
      </c>
      <c r="F693" s="1">
        <v>24102</v>
      </c>
      <c r="G693" s="1" t="s">
        <v>669</v>
      </c>
      <c r="H693" s="1" t="s">
        <v>661</v>
      </c>
      <c r="J693" s="2" t="s">
        <v>682</v>
      </c>
      <c r="K693" s="1" t="s">
        <v>666</v>
      </c>
      <c r="L693" s="1" t="s">
        <v>1390</v>
      </c>
      <c r="M693" s="1" t="s">
        <v>1391</v>
      </c>
      <c r="N693" s="1" t="str">
        <f t="shared" si="10"/>
        <v>ALCENO JUNIOR/JOÃO MARCOS</v>
      </c>
    </row>
    <row r="694" spans="1:14" x14ac:dyDescent="0.3">
      <c r="A694" s="1">
        <v>704871</v>
      </c>
      <c r="B694" s="1" t="s">
        <v>737</v>
      </c>
      <c r="C694" s="5" t="s">
        <v>15</v>
      </c>
      <c r="D694" s="2">
        <v>45579</v>
      </c>
      <c r="E694" s="2" t="s">
        <v>31</v>
      </c>
      <c r="F694" s="1">
        <v>24201</v>
      </c>
      <c r="G694" s="1" t="s">
        <v>664</v>
      </c>
      <c r="H694" s="1" t="s">
        <v>661</v>
      </c>
      <c r="J694" s="2" t="s">
        <v>665</v>
      </c>
      <c r="K694" s="1" t="s">
        <v>666</v>
      </c>
      <c r="L694" s="1" t="s">
        <v>258</v>
      </c>
      <c r="M694" s="1" t="s">
        <v>667</v>
      </c>
      <c r="N694" s="1" t="str">
        <f t="shared" si="10"/>
        <v>JOSIEL NEVES</v>
      </c>
    </row>
    <row r="695" spans="1:14" x14ac:dyDescent="0.3">
      <c r="A695" s="1">
        <v>705771</v>
      </c>
      <c r="B695" s="1" t="s">
        <v>1496</v>
      </c>
      <c r="C695" s="5" t="s">
        <v>15</v>
      </c>
      <c r="D695" s="2">
        <v>45993</v>
      </c>
      <c r="E695" s="2" t="s">
        <v>31</v>
      </c>
      <c r="F695" s="1">
        <v>24201</v>
      </c>
      <c r="G695" s="1" t="s">
        <v>664</v>
      </c>
      <c r="H695" s="1" t="s">
        <v>661</v>
      </c>
      <c r="J695" s="2" t="s">
        <v>665</v>
      </c>
      <c r="K695" s="1" t="s">
        <v>666</v>
      </c>
      <c r="L695" s="1" t="s">
        <v>258</v>
      </c>
      <c r="M695" s="1" t="s">
        <v>667</v>
      </c>
      <c r="N695" s="1" t="str">
        <f t="shared" si="10"/>
        <v>JOSIEL NEVES</v>
      </c>
    </row>
    <row r="696" spans="1:14" x14ac:dyDescent="0.3">
      <c r="A696" s="1">
        <v>702994</v>
      </c>
      <c r="B696" s="1" t="s">
        <v>738</v>
      </c>
      <c r="C696" s="5" t="s">
        <v>15</v>
      </c>
      <c r="D696" s="2">
        <v>44691</v>
      </c>
      <c r="E696" s="2" t="s">
        <v>31</v>
      </c>
      <c r="F696" s="1">
        <v>24201</v>
      </c>
      <c r="G696" s="1" t="s">
        <v>664</v>
      </c>
      <c r="H696" s="1" t="s">
        <v>661</v>
      </c>
      <c r="J696" s="2" t="s">
        <v>665</v>
      </c>
      <c r="K696" s="1" t="s">
        <v>666</v>
      </c>
      <c r="L696" s="1" t="s">
        <v>258</v>
      </c>
      <c r="M696" s="1" t="s">
        <v>667</v>
      </c>
      <c r="N696" s="1" t="str">
        <f t="shared" si="10"/>
        <v>JOSIEL NEVES</v>
      </c>
    </row>
    <row r="697" spans="1:14" x14ac:dyDescent="0.3">
      <c r="A697" s="1">
        <v>703178</v>
      </c>
      <c r="B697" s="1" t="s">
        <v>739</v>
      </c>
      <c r="C697" s="5" t="s">
        <v>15</v>
      </c>
      <c r="D697" s="2">
        <v>44753</v>
      </c>
      <c r="E697" s="2" t="s">
        <v>255</v>
      </c>
      <c r="F697" s="1">
        <v>24201</v>
      </c>
      <c r="G697" s="1" t="s">
        <v>664</v>
      </c>
      <c r="H697" s="1" t="s">
        <v>661</v>
      </c>
      <c r="J697" s="2" t="s">
        <v>665</v>
      </c>
      <c r="K697" s="1" t="s">
        <v>666</v>
      </c>
      <c r="L697" s="1" t="s">
        <v>258</v>
      </c>
      <c r="M697" s="1" t="s">
        <v>667</v>
      </c>
      <c r="N697" s="1" t="str">
        <f t="shared" si="10"/>
        <v>JOSIEL NEVES</v>
      </c>
    </row>
    <row r="698" spans="1:14" x14ac:dyDescent="0.3">
      <c r="A698" s="1">
        <v>705100</v>
      </c>
      <c r="B698" s="1" t="s">
        <v>740</v>
      </c>
      <c r="C698" s="5" t="s">
        <v>15</v>
      </c>
      <c r="D698" s="2">
        <v>45670</v>
      </c>
      <c r="E698" s="2" t="s">
        <v>31</v>
      </c>
      <c r="F698" s="1">
        <v>24201</v>
      </c>
      <c r="G698" s="1" t="s">
        <v>664</v>
      </c>
      <c r="H698" s="1" t="s">
        <v>661</v>
      </c>
      <c r="J698" s="2" t="s">
        <v>665</v>
      </c>
      <c r="K698" s="1" t="s">
        <v>666</v>
      </c>
      <c r="L698" s="1" t="s">
        <v>258</v>
      </c>
      <c r="M698" s="1" t="s">
        <v>667</v>
      </c>
      <c r="N698" s="1" t="str">
        <f t="shared" si="10"/>
        <v>JOSIEL NEVES</v>
      </c>
    </row>
    <row r="699" spans="1:14" x14ac:dyDescent="0.3">
      <c r="A699" s="1">
        <v>705523</v>
      </c>
      <c r="B699" s="1" t="s">
        <v>1329</v>
      </c>
      <c r="C699" s="5" t="s">
        <v>15</v>
      </c>
      <c r="D699" s="2">
        <v>45874</v>
      </c>
      <c r="E699" s="2" t="s">
        <v>31</v>
      </c>
      <c r="F699" s="1">
        <v>39601</v>
      </c>
      <c r="G699" s="1" t="s">
        <v>660</v>
      </c>
      <c r="H699" s="1" t="s">
        <v>661</v>
      </c>
      <c r="J699" s="2" t="s">
        <v>684</v>
      </c>
      <c r="K699" s="1" t="s">
        <v>666</v>
      </c>
      <c r="L699" s="1" t="s">
        <v>258</v>
      </c>
      <c r="M699" s="1" t="s">
        <v>1392</v>
      </c>
      <c r="N699" s="1" t="str">
        <f t="shared" si="10"/>
        <v>ADALTON/JANILSON RORIZ/MARIVALDO</v>
      </c>
    </row>
    <row r="700" spans="1:14" x14ac:dyDescent="0.3">
      <c r="A700" s="1">
        <v>705650</v>
      </c>
      <c r="B700" s="1" t="s">
        <v>1419</v>
      </c>
      <c r="C700" s="5" t="s">
        <v>92</v>
      </c>
      <c r="D700" s="2">
        <v>45944</v>
      </c>
      <c r="E700" s="2" t="s">
        <v>31</v>
      </c>
      <c r="F700" s="1">
        <v>39601</v>
      </c>
      <c r="G700" s="1" t="s">
        <v>660</v>
      </c>
      <c r="H700" s="1" t="s">
        <v>661</v>
      </c>
      <c r="I700" s="2">
        <v>46033</v>
      </c>
      <c r="J700" s="2" t="s">
        <v>684</v>
      </c>
      <c r="K700" s="1" t="s">
        <v>666</v>
      </c>
      <c r="L700" s="1" t="s">
        <v>258</v>
      </c>
      <c r="M700" s="1" t="s">
        <v>1392</v>
      </c>
      <c r="N700" s="1" t="str">
        <f t="shared" si="10"/>
        <v>ADALTON/JANILSON RORIZ/MARIVALDO</v>
      </c>
    </row>
    <row r="701" spans="1:14" x14ac:dyDescent="0.3">
      <c r="A701" s="1">
        <v>705290</v>
      </c>
      <c r="B701" s="1" t="s">
        <v>1189</v>
      </c>
      <c r="C701" s="5" t="s">
        <v>15</v>
      </c>
      <c r="D701" s="2">
        <v>45762</v>
      </c>
      <c r="E701" s="2" t="s">
        <v>31</v>
      </c>
      <c r="F701" s="1">
        <v>24201</v>
      </c>
      <c r="G701" s="1" t="s">
        <v>664</v>
      </c>
      <c r="H701" s="1" t="s">
        <v>661</v>
      </c>
      <c r="J701" s="2" t="s">
        <v>665</v>
      </c>
      <c r="K701" s="1" t="s">
        <v>666</v>
      </c>
      <c r="L701" s="1" t="s">
        <v>258</v>
      </c>
      <c r="M701" s="1" t="s">
        <v>667</v>
      </c>
      <c r="N701" s="1" t="str">
        <f t="shared" si="10"/>
        <v>JOSIEL NEVES</v>
      </c>
    </row>
    <row r="702" spans="1:14" x14ac:dyDescent="0.3">
      <c r="A702" s="1">
        <v>705430</v>
      </c>
      <c r="B702" s="1" t="s">
        <v>1240</v>
      </c>
      <c r="C702" s="5" t="s">
        <v>15</v>
      </c>
      <c r="D702" s="2">
        <v>45797</v>
      </c>
      <c r="E702" s="2" t="s">
        <v>31</v>
      </c>
      <c r="F702" s="1">
        <v>39601</v>
      </c>
      <c r="G702" s="1" t="s">
        <v>660</v>
      </c>
      <c r="H702" s="1" t="s">
        <v>661</v>
      </c>
      <c r="J702" s="2" t="s">
        <v>662</v>
      </c>
      <c r="K702" s="1" t="s">
        <v>666</v>
      </c>
      <c r="L702" s="1" t="s">
        <v>258</v>
      </c>
      <c r="N702" s="1" t="str">
        <f t="shared" si="10"/>
        <v>MATHEUS ALMEIDA</v>
      </c>
    </row>
    <row r="703" spans="1:14" x14ac:dyDescent="0.3">
      <c r="A703" s="1">
        <v>702324</v>
      </c>
      <c r="B703" s="1" t="s">
        <v>741</v>
      </c>
      <c r="C703" s="5" t="s">
        <v>15</v>
      </c>
      <c r="D703" s="2">
        <v>44355</v>
      </c>
      <c r="E703" s="2" t="s">
        <v>255</v>
      </c>
      <c r="F703" s="1">
        <v>39601</v>
      </c>
      <c r="G703" s="1" t="s">
        <v>660</v>
      </c>
      <c r="H703" s="1" t="s">
        <v>661</v>
      </c>
      <c r="J703" s="2" t="s">
        <v>684</v>
      </c>
      <c r="K703" s="1" t="s">
        <v>666</v>
      </c>
      <c r="L703" s="1" t="s">
        <v>258</v>
      </c>
      <c r="M703" s="1" t="s">
        <v>1392</v>
      </c>
      <c r="N703" s="1" t="str">
        <f t="shared" si="10"/>
        <v>ADALTON/JANILSON RORIZ/MARIVALDO</v>
      </c>
    </row>
    <row r="704" spans="1:14" x14ac:dyDescent="0.3">
      <c r="A704" s="1">
        <v>700890</v>
      </c>
      <c r="B704" s="1" t="s">
        <v>742</v>
      </c>
      <c r="C704" s="5" t="s">
        <v>15</v>
      </c>
      <c r="D704" s="2">
        <v>43529</v>
      </c>
      <c r="E704" s="2" t="s">
        <v>166</v>
      </c>
      <c r="F704" s="1">
        <v>24102</v>
      </c>
      <c r="G704" s="1" t="s">
        <v>669</v>
      </c>
      <c r="H704" s="1" t="s">
        <v>661</v>
      </c>
      <c r="J704" s="2" t="s">
        <v>670</v>
      </c>
      <c r="K704" s="1" t="s">
        <v>666</v>
      </c>
      <c r="L704" s="1" t="s">
        <v>1388</v>
      </c>
      <c r="M704" s="1" t="s">
        <v>1389</v>
      </c>
      <c r="N704" s="1" t="str">
        <f t="shared" si="10"/>
        <v>JUNIO TEIXEIRA /GEOVANI RORIZ</v>
      </c>
    </row>
    <row r="705" spans="1:14" x14ac:dyDescent="0.3">
      <c r="A705" s="1">
        <v>702360</v>
      </c>
      <c r="B705" s="1" t="s">
        <v>743</v>
      </c>
      <c r="C705" s="5" t="s">
        <v>15</v>
      </c>
      <c r="D705" s="2">
        <v>44362</v>
      </c>
      <c r="E705" s="2" t="s">
        <v>1364</v>
      </c>
      <c r="F705" s="1">
        <v>37102</v>
      </c>
      <c r="G705" s="1" t="s">
        <v>694</v>
      </c>
      <c r="H705" s="1" t="s">
        <v>661</v>
      </c>
      <c r="J705" s="2" t="s">
        <v>744</v>
      </c>
      <c r="K705" s="1" t="s">
        <v>132</v>
      </c>
      <c r="N705" s="1" t="str">
        <f t="shared" si="10"/>
        <v xml:space="preserve">GISELE NASCENTE </v>
      </c>
    </row>
    <row r="706" spans="1:14" x14ac:dyDescent="0.3">
      <c r="A706" s="1">
        <v>705550</v>
      </c>
      <c r="B706" s="1" t="s">
        <v>1330</v>
      </c>
      <c r="C706" s="5" t="s">
        <v>15</v>
      </c>
      <c r="D706" s="2">
        <v>45881</v>
      </c>
      <c r="E706" s="2" t="s">
        <v>336</v>
      </c>
      <c r="F706" s="1">
        <v>24102</v>
      </c>
      <c r="G706" s="1" t="s">
        <v>669</v>
      </c>
      <c r="H706" s="1" t="s">
        <v>661</v>
      </c>
      <c r="J706" s="2" t="s">
        <v>680</v>
      </c>
      <c r="K706" s="1" t="s">
        <v>666</v>
      </c>
      <c r="L706" s="1" t="s">
        <v>1388</v>
      </c>
      <c r="M706" s="1" t="s">
        <v>1389</v>
      </c>
      <c r="N706" s="1" t="str">
        <f t="shared" si="10"/>
        <v>JUNIO TEIXEIRA /GEOVANI RORIZ</v>
      </c>
    </row>
    <row r="707" spans="1:14" x14ac:dyDescent="0.3">
      <c r="A707" s="1">
        <v>705696</v>
      </c>
      <c r="B707" s="1" t="s">
        <v>1461</v>
      </c>
      <c r="C707" s="5" t="s">
        <v>15</v>
      </c>
      <c r="D707" s="2">
        <v>45971</v>
      </c>
      <c r="E707" s="2" t="s">
        <v>1346</v>
      </c>
      <c r="F707" s="1">
        <v>39203</v>
      </c>
      <c r="G707" s="1" t="s">
        <v>709</v>
      </c>
      <c r="H707" s="1" t="s">
        <v>661</v>
      </c>
      <c r="J707" s="2" t="s">
        <v>710</v>
      </c>
      <c r="K707" s="1" t="s">
        <v>50</v>
      </c>
      <c r="L707" s="1" t="s">
        <v>50</v>
      </c>
      <c r="M707" s="1" t="s">
        <v>1382</v>
      </c>
      <c r="N707" s="1" t="str">
        <f t="shared" ref="N707:N770" si="11">IF(M707&lt;&gt;"", M707, IF(L707&lt;&gt;"", L707, K707))</f>
        <v>ADENILTON RODRIGUES</v>
      </c>
    </row>
    <row r="708" spans="1:14" x14ac:dyDescent="0.3">
      <c r="A708" s="1">
        <v>705651</v>
      </c>
      <c r="B708" s="1" t="s">
        <v>1420</v>
      </c>
      <c r="C708" s="5" t="s">
        <v>15</v>
      </c>
      <c r="D708" s="2">
        <v>45944</v>
      </c>
      <c r="E708" s="2" t="s">
        <v>31</v>
      </c>
      <c r="F708" s="1">
        <v>39601</v>
      </c>
      <c r="G708" s="1" t="s">
        <v>660</v>
      </c>
      <c r="H708" s="1" t="s">
        <v>661</v>
      </c>
      <c r="J708" s="2" t="s">
        <v>684</v>
      </c>
      <c r="K708" s="1" t="s">
        <v>666</v>
      </c>
      <c r="L708" s="1" t="s">
        <v>258</v>
      </c>
      <c r="M708" s="1" t="s">
        <v>1392</v>
      </c>
      <c r="N708" s="1" t="str">
        <f t="shared" si="11"/>
        <v>ADALTON/JANILSON RORIZ/MARIVALDO</v>
      </c>
    </row>
    <row r="709" spans="1:14" x14ac:dyDescent="0.3">
      <c r="A709" s="1">
        <v>702534</v>
      </c>
      <c r="B709" s="1" t="s">
        <v>745</v>
      </c>
      <c r="C709" s="5" t="s">
        <v>15</v>
      </c>
      <c r="D709" s="2">
        <v>44425</v>
      </c>
      <c r="E709" s="2" t="s">
        <v>686</v>
      </c>
      <c r="F709" s="1">
        <v>39601</v>
      </c>
      <c r="G709" s="1" t="s">
        <v>660</v>
      </c>
      <c r="H709" s="1" t="s">
        <v>661</v>
      </c>
      <c r="J709" s="2" t="s">
        <v>684</v>
      </c>
      <c r="K709" s="1" t="s">
        <v>666</v>
      </c>
      <c r="L709" s="1" t="s">
        <v>258</v>
      </c>
      <c r="M709" s="1" t="s">
        <v>1392</v>
      </c>
      <c r="N709" s="1" t="str">
        <f t="shared" si="11"/>
        <v>ADALTON/JANILSON RORIZ/MARIVALDO</v>
      </c>
    </row>
    <row r="710" spans="1:14" x14ac:dyDescent="0.3">
      <c r="A710" s="1">
        <v>703234</v>
      </c>
      <c r="B710" s="1" t="s">
        <v>746</v>
      </c>
      <c r="C710" s="5" t="s">
        <v>15</v>
      </c>
      <c r="D710" s="2">
        <v>44760</v>
      </c>
      <c r="E710" s="2" t="s">
        <v>686</v>
      </c>
      <c r="F710" s="1">
        <v>39601</v>
      </c>
      <c r="G710" s="1" t="s">
        <v>660</v>
      </c>
      <c r="H710" s="1" t="s">
        <v>661</v>
      </c>
      <c r="J710" s="2" t="s">
        <v>684</v>
      </c>
      <c r="K710" s="1" t="s">
        <v>666</v>
      </c>
      <c r="L710" s="1" t="s">
        <v>258</v>
      </c>
      <c r="M710" s="1" t="s">
        <v>1392</v>
      </c>
      <c r="N710" s="1" t="str">
        <f t="shared" si="11"/>
        <v>ADALTON/JANILSON RORIZ/MARIVALDO</v>
      </c>
    </row>
    <row r="711" spans="1:14" x14ac:dyDescent="0.3">
      <c r="A711" s="1">
        <v>101108</v>
      </c>
      <c r="B711" s="1" t="s">
        <v>748</v>
      </c>
      <c r="C711" s="5" t="s">
        <v>15</v>
      </c>
      <c r="D711" s="2">
        <v>42681</v>
      </c>
      <c r="E711" s="2" t="s">
        <v>166</v>
      </c>
      <c r="F711" s="1">
        <v>24102</v>
      </c>
      <c r="G711" s="1" t="s">
        <v>669</v>
      </c>
      <c r="H711" s="1" t="s">
        <v>661</v>
      </c>
      <c r="J711" s="2" t="s">
        <v>682</v>
      </c>
      <c r="K711" s="1" t="s">
        <v>666</v>
      </c>
      <c r="L711" s="1" t="s">
        <v>1390</v>
      </c>
      <c r="M711" s="1" t="s">
        <v>1391</v>
      </c>
      <c r="N711" s="1" t="str">
        <f t="shared" si="11"/>
        <v>ALCENO JUNIOR/JOÃO MARCOS</v>
      </c>
    </row>
    <row r="712" spans="1:14" x14ac:dyDescent="0.3">
      <c r="A712" s="1">
        <v>704340</v>
      </c>
      <c r="B712" s="1" t="s">
        <v>749</v>
      </c>
      <c r="C712" s="5" t="s">
        <v>15</v>
      </c>
      <c r="D712" s="2">
        <v>45363</v>
      </c>
      <c r="E712" s="2" t="s">
        <v>31</v>
      </c>
      <c r="F712" s="1">
        <v>24102</v>
      </c>
      <c r="G712" s="1" t="s">
        <v>669</v>
      </c>
      <c r="H712" s="1" t="s">
        <v>661</v>
      </c>
      <c r="J712" s="2" t="s">
        <v>672</v>
      </c>
      <c r="K712" s="1" t="s">
        <v>666</v>
      </c>
      <c r="L712" s="1" t="s">
        <v>1388</v>
      </c>
      <c r="M712" s="1" t="s">
        <v>1389</v>
      </c>
      <c r="N712" s="1" t="str">
        <f t="shared" si="11"/>
        <v>JUNIO TEIXEIRA /GEOVANI RORIZ</v>
      </c>
    </row>
    <row r="713" spans="1:14" x14ac:dyDescent="0.3">
      <c r="A713" s="1">
        <v>705653</v>
      </c>
      <c r="B713" s="1" t="s">
        <v>1421</v>
      </c>
      <c r="C713" s="5" t="s">
        <v>15</v>
      </c>
      <c r="D713" s="2">
        <v>45944</v>
      </c>
      <c r="E713" s="2" t="s">
        <v>31</v>
      </c>
      <c r="F713" s="1">
        <v>39601</v>
      </c>
      <c r="G713" s="1" t="s">
        <v>660</v>
      </c>
      <c r="H713" s="1" t="s">
        <v>661</v>
      </c>
      <c r="J713" s="2" t="s">
        <v>662</v>
      </c>
      <c r="K713" s="1" t="s">
        <v>666</v>
      </c>
      <c r="L713" s="1" t="s">
        <v>258</v>
      </c>
      <c r="N713" s="1" t="str">
        <f t="shared" si="11"/>
        <v>MATHEUS ALMEIDA</v>
      </c>
    </row>
    <row r="714" spans="1:14" x14ac:dyDescent="0.3">
      <c r="A714" s="1">
        <v>700930</v>
      </c>
      <c r="B714" s="1" t="s">
        <v>751</v>
      </c>
      <c r="C714" s="5" t="s">
        <v>15</v>
      </c>
      <c r="D714" s="2">
        <v>43542</v>
      </c>
      <c r="E714" s="2" t="s">
        <v>179</v>
      </c>
      <c r="F714" s="1">
        <v>32102</v>
      </c>
      <c r="G714" s="1" t="s">
        <v>674</v>
      </c>
      <c r="H714" s="1" t="s">
        <v>661</v>
      </c>
      <c r="J714" s="2" t="s">
        <v>675</v>
      </c>
      <c r="K714" s="1" t="s">
        <v>25</v>
      </c>
      <c r="L714" s="1" t="s">
        <v>1369</v>
      </c>
      <c r="M714" s="1" t="s">
        <v>676</v>
      </c>
      <c r="N714" s="1" t="str">
        <f t="shared" si="11"/>
        <v>MARCELO DOURADO</v>
      </c>
    </row>
    <row r="715" spans="1:14" x14ac:dyDescent="0.3">
      <c r="A715" s="1">
        <v>704850</v>
      </c>
      <c r="B715" s="1" t="s">
        <v>752</v>
      </c>
      <c r="C715" s="5" t="s">
        <v>15</v>
      </c>
      <c r="D715" s="2">
        <v>45580</v>
      </c>
      <c r="E715" s="2" t="s">
        <v>474</v>
      </c>
      <c r="F715" s="1">
        <v>32102</v>
      </c>
      <c r="G715" s="1" t="s">
        <v>674</v>
      </c>
      <c r="H715" s="1" t="s">
        <v>661</v>
      </c>
      <c r="J715" s="2" t="s">
        <v>675</v>
      </c>
      <c r="K715" s="1" t="s">
        <v>25</v>
      </c>
      <c r="L715" s="1" t="s">
        <v>1369</v>
      </c>
      <c r="M715" s="1" t="s">
        <v>676</v>
      </c>
      <c r="N715" s="1" t="str">
        <f t="shared" si="11"/>
        <v>MARCELO DOURADO</v>
      </c>
    </row>
    <row r="716" spans="1:14" x14ac:dyDescent="0.3">
      <c r="A716" s="1">
        <v>705557</v>
      </c>
      <c r="B716" s="1" t="s">
        <v>1331</v>
      </c>
      <c r="C716" s="5" t="s">
        <v>15</v>
      </c>
      <c r="D716" s="2">
        <v>45874</v>
      </c>
      <c r="E716" s="2" t="s">
        <v>31</v>
      </c>
      <c r="F716" s="1">
        <v>39601</v>
      </c>
      <c r="G716" s="1" t="s">
        <v>660</v>
      </c>
      <c r="H716" s="1" t="s">
        <v>661</v>
      </c>
      <c r="J716" s="2" t="s">
        <v>684</v>
      </c>
      <c r="K716" s="1" t="s">
        <v>666</v>
      </c>
      <c r="L716" s="1" t="s">
        <v>258</v>
      </c>
      <c r="M716" s="1" t="s">
        <v>1392</v>
      </c>
      <c r="N716" s="1" t="str">
        <f t="shared" si="11"/>
        <v>ADALTON/JANILSON RORIZ/MARIVALDO</v>
      </c>
    </row>
    <row r="717" spans="1:14" x14ac:dyDescent="0.3">
      <c r="A717" s="1">
        <v>701350</v>
      </c>
      <c r="B717" s="1" t="s">
        <v>753</v>
      </c>
      <c r="C717" s="5" t="s">
        <v>15</v>
      </c>
      <c r="D717" s="2">
        <v>43759</v>
      </c>
      <c r="E717" s="2" t="s">
        <v>423</v>
      </c>
      <c r="F717" s="1">
        <v>31103</v>
      </c>
      <c r="G717" s="1" t="s">
        <v>718</v>
      </c>
      <c r="H717" s="1" t="s">
        <v>661</v>
      </c>
      <c r="J717" s="2" t="s">
        <v>719</v>
      </c>
      <c r="K717" s="1" t="s">
        <v>132</v>
      </c>
      <c r="L717" s="1" t="s">
        <v>132</v>
      </c>
      <c r="M717" s="1" t="s">
        <v>1381</v>
      </c>
      <c r="N717" s="1" t="str">
        <f t="shared" si="11"/>
        <v>MARCOS OLIVEIRA</v>
      </c>
    </row>
    <row r="718" spans="1:14" x14ac:dyDescent="0.3">
      <c r="A718" s="1">
        <v>705330</v>
      </c>
      <c r="B718" s="1" t="s">
        <v>1242</v>
      </c>
      <c r="C718" s="5" t="s">
        <v>233</v>
      </c>
      <c r="D718" s="2">
        <v>45784</v>
      </c>
      <c r="E718" s="2" t="s">
        <v>93</v>
      </c>
      <c r="F718" s="1">
        <v>34201</v>
      </c>
      <c r="G718" s="1" t="s">
        <v>84</v>
      </c>
      <c r="H718" s="1" t="s">
        <v>18</v>
      </c>
      <c r="J718" s="2" t="s">
        <v>94</v>
      </c>
      <c r="K718" s="1" t="s">
        <v>1371</v>
      </c>
      <c r="L718" s="1" t="s">
        <v>1378</v>
      </c>
      <c r="M718" s="1" t="s">
        <v>95</v>
      </c>
      <c r="N718" s="1" t="str">
        <f t="shared" si="11"/>
        <v>LUAN ABADIA</v>
      </c>
    </row>
    <row r="719" spans="1:14" x14ac:dyDescent="0.3">
      <c r="A719" s="1">
        <v>705654</v>
      </c>
      <c r="B719" s="1" t="s">
        <v>1422</v>
      </c>
      <c r="C719" s="5" t="s">
        <v>92</v>
      </c>
      <c r="D719" s="2">
        <v>45944</v>
      </c>
      <c r="E719" s="2" t="s">
        <v>31</v>
      </c>
      <c r="F719" s="1">
        <v>39601</v>
      </c>
      <c r="G719" s="1" t="s">
        <v>660</v>
      </c>
      <c r="H719" s="1" t="s">
        <v>661</v>
      </c>
      <c r="I719" s="2">
        <v>46033</v>
      </c>
      <c r="J719" s="2" t="s">
        <v>684</v>
      </c>
      <c r="K719" s="1" t="s">
        <v>666</v>
      </c>
      <c r="L719" s="1" t="s">
        <v>258</v>
      </c>
      <c r="M719" s="1" t="s">
        <v>1392</v>
      </c>
      <c r="N719" s="1" t="str">
        <f t="shared" si="11"/>
        <v>ADALTON/JANILSON RORIZ/MARIVALDO</v>
      </c>
    </row>
    <row r="720" spans="1:14" x14ac:dyDescent="0.3">
      <c r="A720" s="1">
        <v>704456</v>
      </c>
      <c r="B720" s="1" t="s">
        <v>754</v>
      </c>
      <c r="C720" s="5" t="s">
        <v>15</v>
      </c>
      <c r="D720" s="2">
        <v>45419</v>
      </c>
      <c r="E720" s="2" t="s">
        <v>31</v>
      </c>
      <c r="F720" s="1">
        <v>39601</v>
      </c>
      <c r="G720" s="1" t="s">
        <v>660</v>
      </c>
      <c r="H720" s="1" t="s">
        <v>661</v>
      </c>
      <c r="J720" s="2" t="s">
        <v>684</v>
      </c>
      <c r="K720" s="1" t="s">
        <v>666</v>
      </c>
      <c r="L720" s="1" t="s">
        <v>258</v>
      </c>
      <c r="M720" s="1" t="s">
        <v>1392</v>
      </c>
      <c r="N720" s="1" t="str">
        <f t="shared" si="11"/>
        <v>ADALTON/JANILSON RORIZ/MARIVALDO</v>
      </c>
    </row>
    <row r="721" spans="1:14" x14ac:dyDescent="0.3">
      <c r="A721" s="1">
        <v>702612</v>
      </c>
      <c r="B721" s="1" t="s">
        <v>755</v>
      </c>
      <c r="C721" s="5" t="s">
        <v>15</v>
      </c>
      <c r="D721" s="2">
        <v>44487</v>
      </c>
      <c r="E721" s="2" t="s">
        <v>219</v>
      </c>
      <c r="F721" s="1">
        <v>32102</v>
      </c>
      <c r="G721" s="1" t="s">
        <v>674</v>
      </c>
      <c r="H721" s="1" t="s">
        <v>661</v>
      </c>
      <c r="J721" s="2" t="s">
        <v>675</v>
      </c>
      <c r="K721" s="1" t="s">
        <v>25</v>
      </c>
      <c r="L721" s="1" t="s">
        <v>1369</v>
      </c>
      <c r="M721" s="1" t="s">
        <v>676</v>
      </c>
      <c r="N721" s="1" t="str">
        <f t="shared" si="11"/>
        <v>MARCELO DOURADO</v>
      </c>
    </row>
    <row r="722" spans="1:14" x14ac:dyDescent="0.3">
      <c r="A722" s="1">
        <v>703620</v>
      </c>
      <c r="B722" s="1" t="s">
        <v>756</v>
      </c>
      <c r="C722" s="5" t="s">
        <v>15</v>
      </c>
      <c r="D722" s="2">
        <v>44991</v>
      </c>
      <c r="E722" s="2" t="s">
        <v>138</v>
      </c>
      <c r="F722" s="1">
        <v>24102</v>
      </c>
      <c r="G722" s="1" t="s">
        <v>669</v>
      </c>
      <c r="H722" s="1" t="s">
        <v>661</v>
      </c>
      <c r="J722" s="2" t="s">
        <v>682</v>
      </c>
      <c r="K722" s="1" t="s">
        <v>666</v>
      </c>
      <c r="L722" s="1" t="s">
        <v>1390</v>
      </c>
      <c r="M722" s="1" t="s">
        <v>1391</v>
      </c>
      <c r="N722" s="1" t="str">
        <f t="shared" si="11"/>
        <v>ALCENO JUNIOR/JOÃO MARCOS</v>
      </c>
    </row>
    <row r="723" spans="1:14" x14ac:dyDescent="0.3">
      <c r="A723" s="1">
        <v>704038</v>
      </c>
      <c r="B723" s="1" t="s">
        <v>758</v>
      </c>
      <c r="C723" s="5" t="s">
        <v>15</v>
      </c>
      <c r="D723" s="2">
        <v>45145</v>
      </c>
      <c r="E723" s="2" t="s">
        <v>31</v>
      </c>
      <c r="F723" s="1">
        <v>39601</v>
      </c>
      <c r="G723" s="1" t="s">
        <v>660</v>
      </c>
      <c r="H723" s="1" t="s">
        <v>661</v>
      </c>
      <c r="J723" s="2" t="s">
        <v>672</v>
      </c>
      <c r="K723" s="1" t="s">
        <v>666</v>
      </c>
      <c r="L723" s="1" t="s">
        <v>1388</v>
      </c>
      <c r="M723" s="1" t="s">
        <v>1389</v>
      </c>
      <c r="N723" s="1" t="str">
        <f t="shared" si="11"/>
        <v>JUNIO TEIXEIRA /GEOVANI RORIZ</v>
      </c>
    </row>
    <row r="724" spans="1:14" x14ac:dyDescent="0.3">
      <c r="A724" s="1">
        <v>704313</v>
      </c>
      <c r="B724" s="1" t="s">
        <v>759</v>
      </c>
      <c r="C724" s="5" t="s">
        <v>15</v>
      </c>
      <c r="D724" s="2">
        <v>45356</v>
      </c>
      <c r="E724" s="2" t="s">
        <v>16</v>
      </c>
      <c r="F724" s="1">
        <v>24102</v>
      </c>
      <c r="G724" s="1" t="s">
        <v>669</v>
      </c>
      <c r="H724" s="1" t="s">
        <v>661</v>
      </c>
      <c r="J724" s="2" t="s">
        <v>682</v>
      </c>
      <c r="K724" s="1" t="s">
        <v>666</v>
      </c>
      <c r="L724" s="1" t="s">
        <v>1390</v>
      </c>
      <c r="M724" s="1" t="s">
        <v>1391</v>
      </c>
      <c r="N724" s="1" t="str">
        <f t="shared" si="11"/>
        <v>ALCENO JUNIOR/JOÃO MARCOS</v>
      </c>
    </row>
    <row r="725" spans="1:14" x14ac:dyDescent="0.3">
      <c r="A725" s="1">
        <v>101262</v>
      </c>
      <c r="B725" s="1" t="s">
        <v>760</v>
      </c>
      <c r="C725" s="5" t="s">
        <v>15</v>
      </c>
      <c r="D725" s="2">
        <v>42800</v>
      </c>
      <c r="E725" s="2" t="s">
        <v>1179</v>
      </c>
      <c r="F725" s="1">
        <v>24102</v>
      </c>
      <c r="G725" s="1" t="s">
        <v>669</v>
      </c>
      <c r="H725" s="1" t="s">
        <v>661</v>
      </c>
      <c r="J725" s="2" t="s">
        <v>197</v>
      </c>
      <c r="K725" s="1" t="s">
        <v>1508</v>
      </c>
      <c r="N725" s="1" t="str">
        <f t="shared" si="11"/>
        <v xml:space="preserve">CARLOS OLIVEIRA </v>
      </c>
    </row>
    <row r="726" spans="1:14" x14ac:dyDescent="0.3">
      <c r="A726" s="1">
        <v>705655</v>
      </c>
      <c r="B726" s="1" t="s">
        <v>1423</v>
      </c>
      <c r="C726" s="5" t="s">
        <v>15</v>
      </c>
      <c r="D726" s="2">
        <v>45944</v>
      </c>
      <c r="E726" s="2" t="s">
        <v>31</v>
      </c>
      <c r="F726" s="1">
        <v>24102</v>
      </c>
      <c r="G726" s="1" t="s">
        <v>669</v>
      </c>
      <c r="H726" s="1" t="s">
        <v>661</v>
      </c>
      <c r="J726" s="2" t="s">
        <v>680</v>
      </c>
      <c r="K726" s="1" t="s">
        <v>666</v>
      </c>
      <c r="L726" s="1" t="s">
        <v>1388</v>
      </c>
      <c r="M726" s="1" t="s">
        <v>1389</v>
      </c>
      <c r="N726" s="1" t="str">
        <f t="shared" si="11"/>
        <v>JUNIO TEIXEIRA /GEOVANI RORIZ</v>
      </c>
    </row>
    <row r="727" spans="1:14" x14ac:dyDescent="0.3">
      <c r="A727" s="1">
        <v>704169</v>
      </c>
      <c r="B727" s="1" t="s">
        <v>761</v>
      </c>
      <c r="C727" s="5" t="s">
        <v>15</v>
      </c>
      <c r="D727" s="2">
        <v>45272</v>
      </c>
      <c r="E727" s="2" t="s">
        <v>1348</v>
      </c>
      <c r="F727" s="1">
        <v>32102</v>
      </c>
      <c r="G727" s="1" t="s">
        <v>674</v>
      </c>
      <c r="H727" s="1" t="s">
        <v>661</v>
      </c>
      <c r="J727" s="2" t="s">
        <v>675</v>
      </c>
      <c r="K727" s="1" t="s">
        <v>25</v>
      </c>
      <c r="L727" s="1" t="s">
        <v>1369</v>
      </c>
      <c r="M727" s="1" t="s">
        <v>676</v>
      </c>
      <c r="N727" s="1" t="str">
        <f t="shared" si="11"/>
        <v>MARCELO DOURADO</v>
      </c>
    </row>
    <row r="728" spans="1:14" x14ac:dyDescent="0.3">
      <c r="A728" s="1">
        <v>704252</v>
      </c>
      <c r="B728" s="1" t="s">
        <v>762</v>
      </c>
      <c r="C728" s="5" t="s">
        <v>15</v>
      </c>
      <c r="D728" s="2">
        <v>45342</v>
      </c>
      <c r="E728" s="2" t="s">
        <v>31</v>
      </c>
      <c r="F728" s="1">
        <v>24102</v>
      </c>
      <c r="G728" s="1" t="s">
        <v>669</v>
      </c>
      <c r="H728" s="1" t="s">
        <v>661</v>
      </c>
      <c r="J728" s="2" t="s">
        <v>680</v>
      </c>
      <c r="K728" s="1" t="s">
        <v>666</v>
      </c>
      <c r="L728" s="1" t="s">
        <v>1388</v>
      </c>
      <c r="M728" s="1" t="s">
        <v>1389</v>
      </c>
      <c r="N728" s="1" t="str">
        <f t="shared" si="11"/>
        <v>JUNIO TEIXEIRA /GEOVANI RORIZ</v>
      </c>
    </row>
    <row r="729" spans="1:14" x14ac:dyDescent="0.3">
      <c r="A729" s="1">
        <v>101702</v>
      </c>
      <c r="B729" s="1" t="s">
        <v>763</v>
      </c>
      <c r="C729" s="5" t="s">
        <v>15</v>
      </c>
      <c r="D729" s="2">
        <v>43060</v>
      </c>
      <c r="E729" s="2" t="s">
        <v>146</v>
      </c>
      <c r="F729" s="1">
        <v>39601</v>
      </c>
      <c r="G729" s="1" t="s">
        <v>660</v>
      </c>
      <c r="H729" s="1" t="s">
        <v>661</v>
      </c>
      <c r="J729" s="2" t="s">
        <v>662</v>
      </c>
      <c r="K729" s="1" t="s">
        <v>666</v>
      </c>
      <c r="L729" s="1" t="s">
        <v>258</v>
      </c>
      <c r="N729" s="1" t="str">
        <f t="shared" si="11"/>
        <v>MATHEUS ALMEIDA</v>
      </c>
    </row>
    <row r="730" spans="1:14" x14ac:dyDescent="0.3">
      <c r="A730" s="1">
        <v>705656</v>
      </c>
      <c r="B730" s="1" t="s">
        <v>1424</v>
      </c>
      <c r="C730" s="5" t="s">
        <v>15</v>
      </c>
      <c r="D730" s="2">
        <v>45944</v>
      </c>
      <c r="E730" s="2" t="s">
        <v>31</v>
      </c>
      <c r="F730" s="1">
        <v>39601</v>
      </c>
      <c r="G730" s="1" t="s">
        <v>660</v>
      </c>
      <c r="H730" s="1" t="s">
        <v>661</v>
      </c>
      <c r="J730" s="2" t="s">
        <v>684</v>
      </c>
      <c r="K730" s="1" t="s">
        <v>666</v>
      </c>
      <c r="L730" s="1" t="s">
        <v>258</v>
      </c>
      <c r="M730" s="1" t="s">
        <v>1392</v>
      </c>
      <c r="N730" s="1" t="str">
        <f t="shared" si="11"/>
        <v>ADALTON/JANILSON RORIZ/MARIVALDO</v>
      </c>
    </row>
    <row r="731" spans="1:14" x14ac:dyDescent="0.3">
      <c r="A731" s="1">
        <v>704782</v>
      </c>
      <c r="B731" s="1" t="s">
        <v>764</v>
      </c>
      <c r="C731" s="5" t="s">
        <v>15</v>
      </c>
      <c r="D731" s="2">
        <v>45551</v>
      </c>
      <c r="E731" s="2" t="s">
        <v>31</v>
      </c>
      <c r="F731" s="1">
        <v>39601</v>
      </c>
      <c r="G731" s="1" t="s">
        <v>660</v>
      </c>
      <c r="H731" s="1" t="s">
        <v>661</v>
      </c>
      <c r="J731" s="2" t="s">
        <v>684</v>
      </c>
      <c r="K731" s="1" t="s">
        <v>666</v>
      </c>
      <c r="L731" s="1" t="s">
        <v>258</v>
      </c>
      <c r="M731" s="1" t="s">
        <v>1392</v>
      </c>
      <c r="N731" s="1" t="str">
        <f t="shared" si="11"/>
        <v>ADALTON/JANILSON RORIZ/MARIVALDO</v>
      </c>
    </row>
    <row r="732" spans="1:14" x14ac:dyDescent="0.3">
      <c r="A732" s="1">
        <v>704378</v>
      </c>
      <c r="B732" s="1" t="s">
        <v>765</v>
      </c>
      <c r="C732" s="5" t="s">
        <v>15</v>
      </c>
      <c r="D732" s="2">
        <v>45384</v>
      </c>
      <c r="E732" s="2" t="s">
        <v>60</v>
      </c>
      <c r="F732" s="1">
        <v>39601</v>
      </c>
      <c r="G732" s="1" t="s">
        <v>660</v>
      </c>
      <c r="H732" s="1" t="s">
        <v>661</v>
      </c>
      <c r="J732" s="2" t="s">
        <v>684</v>
      </c>
      <c r="K732" s="1" t="s">
        <v>666</v>
      </c>
      <c r="L732" s="1" t="s">
        <v>258</v>
      </c>
      <c r="M732" s="1" t="s">
        <v>1392</v>
      </c>
      <c r="N732" s="1" t="str">
        <f t="shared" si="11"/>
        <v>ADALTON/JANILSON RORIZ/MARIVALDO</v>
      </c>
    </row>
    <row r="733" spans="1:14" x14ac:dyDescent="0.3">
      <c r="A733" s="1">
        <v>704317</v>
      </c>
      <c r="B733" s="1" t="s">
        <v>766</v>
      </c>
      <c r="C733" s="5" t="s">
        <v>15</v>
      </c>
      <c r="D733" s="2">
        <v>45356</v>
      </c>
      <c r="E733" s="2" t="s">
        <v>109</v>
      </c>
      <c r="F733" s="1">
        <v>32102</v>
      </c>
      <c r="G733" s="1" t="s">
        <v>674</v>
      </c>
      <c r="H733" s="1" t="s">
        <v>661</v>
      </c>
      <c r="J733" s="2" t="s">
        <v>675</v>
      </c>
      <c r="K733" s="1" t="s">
        <v>25</v>
      </c>
      <c r="L733" s="1" t="s">
        <v>1369</v>
      </c>
      <c r="M733" s="1" t="s">
        <v>676</v>
      </c>
      <c r="N733" s="1" t="str">
        <f t="shared" si="11"/>
        <v>MARCELO DOURADO</v>
      </c>
    </row>
    <row r="734" spans="1:14" x14ac:dyDescent="0.3">
      <c r="A734" s="1">
        <v>705483</v>
      </c>
      <c r="B734" s="1" t="s">
        <v>1281</v>
      </c>
      <c r="C734" s="5" t="s">
        <v>15</v>
      </c>
      <c r="D734" s="2">
        <v>45824</v>
      </c>
      <c r="E734" s="2" t="s">
        <v>336</v>
      </c>
      <c r="F734" s="1">
        <v>24102</v>
      </c>
      <c r="G734" s="1" t="s">
        <v>669</v>
      </c>
      <c r="H734" s="1" t="s">
        <v>661</v>
      </c>
      <c r="J734" s="2" t="s">
        <v>804</v>
      </c>
      <c r="K734" s="1" t="s">
        <v>1371</v>
      </c>
      <c r="L734" s="1" t="s">
        <v>1378</v>
      </c>
      <c r="M734" s="1" t="s">
        <v>805</v>
      </c>
      <c r="N734" s="1" t="str">
        <f t="shared" si="11"/>
        <v>JAILSON RORIZ</v>
      </c>
    </row>
    <row r="735" spans="1:14" x14ac:dyDescent="0.3">
      <c r="A735" s="1">
        <v>702137</v>
      </c>
      <c r="B735" s="1" t="s">
        <v>767</v>
      </c>
      <c r="C735" s="5" t="s">
        <v>15</v>
      </c>
      <c r="D735" s="2">
        <v>44299</v>
      </c>
      <c r="E735" s="2" t="s">
        <v>31</v>
      </c>
      <c r="F735" s="1">
        <v>24102</v>
      </c>
      <c r="G735" s="1" t="s">
        <v>669</v>
      </c>
      <c r="H735" s="1" t="s">
        <v>661</v>
      </c>
      <c r="J735" s="2" t="s">
        <v>680</v>
      </c>
      <c r="K735" s="1" t="s">
        <v>666</v>
      </c>
      <c r="L735" s="1" t="s">
        <v>1388</v>
      </c>
      <c r="M735" s="1" t="s">
        <v>1389</v>
      </c>
      <c r="N735" s="1" t="str">
        <f t="shared" si="11"/>
        <v>JUNIO TEIXEIRA /GEOVANI RORIZ</v>
      </c>
    </row>
    <row r="736" spans="1:14" x14ac:dyDescent="0.3">
      <c r="A736" s="1">
        <v>704669</v>
      </c>
      <c r="B736" s="1" t="s">
        <v>769</v>
      </c>
      <c r="C736" s="5" t="s">
        <v>15</v>
      </c>
      <c r="D736" s="2">
        <v>45489</v>
      </c>
      <c r="E736" s="2" t="s">
        <v>427</v>
      </c>
      <c r="F736" s="1">
        <v>39602</v>
      </c>
      <c r="G736" s="1" t="s">
        <v>699</v>
      </c>
      <c r="H736" s="1" t="s">
        <v>661</v>
      </c>
      <c r="J736" s="2" t="s">
        <v>700</v>
      </c>
      <c r="K736" s="1" t="s">
        <v>666</v>
      </c>
      <c r="L736" s="1" t="s">
        <v>258</v>
      </c>
      <c r="M736" s="1" t="s">
        <v>701</v>
      </c>
      <c r="N736" s="1" t="str">
        <f t="shared" si="11"/>
        <v>IURY GUEDES</v>
      </c>
    </row>
    <row r="737" spans="1:14" x14ac:dyDescent="0.3">
      <c r="A737" s="1">
        <v>705221</v>
      </c>
      <c r="B737" s="1" t="s">
        <v>1170</v>
      </c>
      <c r="C737" s="5" t="s">
        <v>15</v>
      </c>
      <c r="D737" s="2">
        <v>45734</v>
      </c>
      <c r="E737" s="2" t="s">
        <v>31</v>
      </c>
      <c r="F737" s="1">
        <v>24102</v>
      </c>
      <c r="G737" s="1" t="s">
        <v>669</v>
      </c>
      <c r="H737" s="1" t="s">
        <v>661</v>
      </c>
      <c r="J737" s="2" t="s">
        <v>680</v>
      </c>
      <c r="K737" s="1" t="s">
        <v>666</v>
      </c>
      <c r="L737" s="1" t="s">
        <v>1388</v>
      </c>
      <c r="M737" s="1" t="s">
        <v>1389</v>
      </c>
      <c r="N737" s="1" t="str">
        <f t="shared" si="11"/>
        <v>JUNIO TEIXEIRA /GEOVANI RORIZ</v>
      </c>
    </row>
    <row r="738" spans="1:14" x14ac:dyDescent="0.3">
      <c r="A738" s="1">
        <v>705390</v>
      </c>
      <c r="B738" s="1" t="s">
        <v>1244</v>
      </c>
      <c r="C738" s="5" t="s">
        <v>15</v>
      </c>
      <c r="D738" s="2">
        <v>45791</v>
      </c>
      <c r="E738" s="2" t="s">
        <v>31</v>
      </c>
      <c r="F738" s="1">
        <v>39601</v>
      </c>
      <c r="G738" s="1" t="s">
        <v>660</v>
      </c>
      <c r="H738" s="1" t="s">
        <v>661</v>
      </c>
      <c r="J738" s="2" t="s">
        <v>662</v>
      </c>
      <c r="K738" s="1" t="s">
        <v>666</v>
      </c>
      <c r="L738" s="1" t="s">
        <v>258</v>
      </c>
      <c r="N738" s="1" t="str">
        <f t="shared" si="11"/>
        <v>MATHEUS ALMEIDA</v>
      </c>
    </row>
    <row r="739" spans="1:14" x14ac:dyDescent="0.3">
      <c r="A739" s="1">
        <v>703007</v>
      </c>
      <c r="B739" s="1" t="s">
        <v>770</v>
      </c>
      <c r="C739" s="5" t="s">
        <v>15</v>
      </c>
      <c r="D739" s="2">
        <v>44691</v>
      </c>
      <c r="E739" s="2" t="s">
        <v>31</v>
      </c>
      <c r="F739" s="1">
        <v>24102</v>
      </c>
      <c r="G739" s="1" t="s">
        <v>669</v>
      </c>
      <c r="H739" s="1" t="s">
        <v>661</v>
      </c>
      <c r="J739" s="2" t="s">
        <v>672</v>
      </c>
      <c r="K739" s="1" t="s">
        <v>666</v>
      </c>
      <c r="L739" s="1" t="s">
        <v>1388</v>
      </c>
      <c r="M739" s="1" t="s">
        <v>1389</v>
      </c>
      <c r="N739" s="1" t="str">
        <f t="shared" si="11"/>
        <v>JUNIO TEIXEIRA /GEOVANI RORIZ</v>
      </c>
    </row>
    <row r="740" spans="1:14" x14ac:dyDescent="0.3">
      <c r="A740" s="1">
        <v>703809</v>
      </c>
      <c r="B740" s="1" t="s">
        <v>771</v>
      </c>
      <c r="C740" s="5" t="s">
        <v>15</v>
      </c>
      <c r="D740" s="2">
        <v>45050</v>
      </c>
      <c r="E740" s="2" t="s">
        <v>31</v>
      </c>
      <c r="F740" s="1">
        <v>39601</v>
      </c>
      <c r="G740" s="1" t="s">
        <v>660</v>
      </c>
      <c r="H740" s="1" t="s">
        <v>661</v>
      </c>
      <c r="J740" s="2" t="s">
        <v>684</v>
      </c>
      <c r="K740" s="1" t="s">
        <v>666</v>
      </c>
      <c r="L740" s="1" t="s">
        <v>258</v>
      </c>
      <c r="M740" s="1" t="s">
        <v>1392</v>
      </c>
      <c r="N740" s="1" t="str">
        <f t="shared" si="11"/>
        <v>ADALTON/JANILSON RORIZ/MARIVALDO</v>
      </c>
    </row>
    <row r="741" spans="1:14" x14ac:dyDescent="0.3">
      <c r="A741" s="1">
        <v>701689</v>
      </c>
      <c r="B741" s="1" t="s">
        <v>772</v>
      </c>
      <c r="C741" s="5" t="s">
        <v>15</v>
      </c>
      <c r="D741" s="2">
        <v>44025</v>
      </c>
      <c r="E741" s="2" t="s">
        <v>60</v>
      </c>
      <c r="F741" s="1">
        <v>24102</v>
      </c>
      <c r="G741" s="1" t="s">
        <v>669</v>
      </c>
      <c r="H741" s="1" t="s">
        <v>661</v>
      </c>
      <c r="J741" s="2" t="s">
        <v>697</v>
      </c>
      <c r="K741" s="1" t="s">
        <v>666</v>
      </c>
      <c r="L741" s="1" t="s">
        <v>1390</v>
      </c>
      <c r="N741" s="1" t="str">
        <f t="shared" si="11"/>
        <v>JOÃO FILHO</v>
      </c>
    </row>
    <row r="742" spans="1:14" x14ac:dyDescent="0.3">
      <c r="A742" s="1">
        <v>703514</v>
      </c>
      <c r="B742" s="1" t="s">
        <v>773</v>
      </c>
      <c r="C742" s="5" t="s">
        <v>15</v>
      </c>
      <c r="D742" s="2">
        <v>44901</v>
      </c>
      <c r="E742" s="2" t="s">
        <v>427</v>
      </c>
      <c r="F742" s="1">
        <v>39602</v>
      </c>
      <c r="G742" s="1" t="s">
        <v>699</v>
      </c>
      <c r="H742" s="1" t="s">
        <v>661</v>
      </c>
      <c r="J742" s="2" t="s">
        <v>700</v>
      </c>
      <c r="K742" s="1" t="s">
        <v>666</v>
      </c>
      <c r="L742" s="1" t="s">
        <v>258</v>
      </c>
      <c r="M742" s="1" t="s">
        <v>701</v>
      </c>
      <c r="N742" s="1" t="str">
        <f t="shared" si="11"/>
        <v>IURY GUEDES</v>
      </c>
    </row>
    <row r="743" spans="1:14" x14ac:dyDescent="0.3">
      <c r="A743" s="1">
        <v>705282</v>
      </c>
      <c r="B743" s="1" t="s">
        <v>1190</v>
      </c>
      <c r="C743" s="5" t="s">
        <v>15</v>
      </c>
      <c r="D743" s="2">
        <v>45762</v>
      </c>
      <c r="E743" s="2" t="s">
        <v>31</v>
      </c>
      <c r="F743" s="1">
        <v>39601</v>
      </c>
      <c r="G743" s="1" t="s">
        <v>660</v>
      </c>
      <c r="H743" s="1" t="s">
        <v>661</v>
      </c>
      <c r="J743" s="2" t="s">
        <v>684</v>
      </c>
      <c r="K743" s="1" t="s">
        <v>666</v>
      </c>
      <c r="L743" s="1" t="s">
        <v>258</v>
      </c>
      <c r="M743" s="1" t="s">
        <v>1392</v>
      </c>
      <c r="N743" s="1" t="str">
        <f t="shared" si="11"/>
        <v>ADALTON/JANILSON RORIZ/MARIVALDO</v>
      </c>
    </row>
    <row r="744" spans="1:14" x14ac:dyDescent="0.3">
      <c r="A744" s="1">
        <v>702584</v>
      </c>
      <c r="B744" s="1" t="s">
        <v>774</v>
      </c>
      <c r="C744" s="5" t="s">
        <v>15</v>
      </c>
      <c r="D744" s="2">
        <v>44474</v>
      </c>
      <c r="E744" s="2" t="s">
        <v>427</v>
      </c>
      <c r="F744" s="1">
        <v>24201</v>
      </c>
      <c r="G744" s="1" t="s">
        <v>664</v>
      </c>
      <c r="H744" s="1" t="s">
        <v>661</v>
      </c>
      <c r="J744" s="2" t="s">
        <v>665</v>
      </c>
      <c r="K744" s="1" t="s">
        <v>666</v>
      </c>
      <c r="L744" s="1" t="s">
        <v>258</v>
      </c>
      <c r="M744" s="1" t="s">
        <v>667</v>
      </c>
      <c r="N744" s="1" t="str">
        <f t="shared" si="11"/>
        <v>JOSIEL NEVES</v>
      </c>
    </row>
    <row r="745" spans="1:14" x14ac:dyDescent="0.3">
      <c r="A745" s="1">
        <v>705279</v>
      </c>
      <c r="B745" s="1" t="s">
        <v>1191</v>
      </c>
      <c r="C745" s="5" t="s">
        <v>15</v>
      </c>
      <c r="D745" s="2">
        <v>45762</v>
      </c>
      <c r="E745" s="2" t="s">
        <v>31</v>
      </c>
      <c r="F745" s="1">
        <v>39601</v>
      </c>
      <c r="G745" s="1" t="s">
        <v>660</v>
      </c>
      <c r="H745" s="1" t="s">
        <v>661</v>
      </c>
      <c r="J745" s="2" t="s">
        <v>684</v>
      </c>
      <c r="K745" s="1" t="s">
        <v>666</v>
      </c>
      <c r="L745" s="1" t="s">
        <v>258</v>
      </c>
      <c r="M745" s="1" t="s">
        <v>1392</v>
      </c>
      <c r="N745" s="1" t="str">
        <f t="shared" si="11"/>
        <v>ADALTON/JANILSON RORIZ/MARIVALDO</v>
      </c>
    </row>
    <row r="746" spans="1:14" x14ac:dyDescent="0.3">
      <c r="A746" s="1">
        <v>704908</v>
      </c>
      <c r="B746" s="1" t="s">
        <v>775</v>
      </c>
      <c r="C746" s="5" t="s">
        <v>15</v>
      </c>
      <c r="D746" s="2">
        <v>45601</v>
      </c>
      <c r="E746" s="2" t="s">
        <v>31</v>
      </c>
      <c r="F746" s="1">
        <v>39601</v>
      </c>
      <c r="G746" s="1" t="s">
        <v>660</v>
      </c>
      <c r="H746" s="1" t="s">
        <v>661</v>
      </c>
      <c r="J746" s="2" t="s">
        <v>684</v>
      </c>
      <c r="K746" s="1" t="s">
        <v>666</v>
      </c>
      <c r="L746" s="1" t="s">
        <v>258</v>
      </c>
      <c r="M746" s="1" t="s">
        <v>1392</v>
      </c>
      <c r="N746" s="1" t="str">
        <f t="shared" si="11"/>
        <v>ADALTON/JANILSON RORIZ/MARIVALDO</v>
      </c>
    </row>
    <row r="747" spans="1:14" x14ac:dyDescent="0.3">
      <c r="A747" s="1">
        <v>705594</v>
      </c>
      <c r="B747" s="1" t="s">
        <v>1332</v>
      </c>
      <c r="C747" s="5" t="s">
        <v>15</v>
      </c>
      <c r="D747" s="2">
        <v>45881</v>
      </c>
      <c r="E747" s="2" t="s">
        <v>31</v>
      </c>
      <c r="F747" s="1">
        <v>24102</v>
      </c>
      <c r="G747" s="1" t="s">
        <v>669</v>
      </c>
      <c r="H747" s="1" t="s">
        <v>661</v>
      </c>
      <c r="J747" s="2" t="s">
        <v>680</v>
      </c>
      <c r="K747" s="1" t="s">
        <v>666</v>
      </c>
      <c r="L747" s="1" t="s">
        <v>1388</v>
      </c>
      <c r="M747" s="1" t="s">
        <v>1389</v>
      </c>
      <c r="N747" s="1" t="str">
        <f t="shared" si="11"/>
        <v>JUNIO TEIXEIRA /GEOVANI RORIZ</v>
      </c>
    </row>
    <row r="748" spans="1:14" x14ac:dyDescent="0.3">
      <c r="A748" s="1">
        <v>704999</v>
      </c>
      <c r="B748" s="1" t="s">
        <v>776</v>
      </c>
      <c r="C748" s="5" t="s">
        <v>15</v>
      </c>
      <c r="D748" s="2">
        <v>45629</v>
      </c>
      <c r="E748" s="2" t="s">
        <v>31</v>
      </c>
      <c r="F748" s="1">
        <v>39601</v>
      </c>
      <c r="G748" s="1" t="s">
        <v>660</v>
      </c>
      <c r="H748" s="1" t="s">
        <v>661</v>
      </c>
      <c r="J748" s="2" t="s">
        <v>684</v>
      </c>
      <c r="K748" s="1" t="s">
        <v>666</v>
      </c>
      <c r="L748" s="1" t="s">
        <v>258</v>
      </c>
      <c r="M748" s="1" t="s">
        <v>1392</v>
      </c>
      <c r="N748" s="1" t="str">
        <f t="shared" si="11"/>
        <v>ADALTON/JANILSON RORIZ/MARIVALDO</v>
      </c>
    </row>
    <row r="749" spans="1:14" x14ac:dyDescent="0.3">
      <c r="A749" s="1">
        <v>701855</v>
      </c>
      <c r="B749" s="1" t="s">
        <v>777</v>
      </c>
      <c r="C749" s="5" t="s">
        <v>15</v>
      </c>
      <c r="D749" s="2">
        <v>44125</v>
      </c>
      <c r="E749" s="2" t="s">
        <v>31</v>
      </c>
      <c r="F749" s="1">
        <v>24102</v>
      </c>
      <c r="G749" s="1" t="s">
        <v>669</v>
      </c>
      <c r="H749" s="1" t="s">
        <v>661</v>
      </c>
      <c r="J749" s="2" t="s">
        <v>680</v>
      </c>
      <c r="K749" s="1" t="s">
        <v>666</v>
      </c>
      <c r="L749" s="1" t="s">
        <v>1388</v>
      </c>
      <c r="M749" s="1" t="s">
        <v>1389</v>
      </c>
      <c r="N749" s="1" t="str">
        <f t="shared" si="11"/>
        <v>JUNIO TEIXEIRA /GEOVANI RORIZ</v>
      </c>
    </row>
    <row r="750" spans="1:14" x14ac:dyDescent="0.3">
      <c r="A750" s="1">
        <v>703149</v>
      </c>
      <c r="B750" s="1" t="s">
        <v>778</v>
      </c>
      <c r="C750" s="5" t="s">
        <v>15</v>
      </c>
      <c r="D750" s="2">
        <v>44725</v>
      </c>
      <c r="E750" s="2" t="s">
        <v>31</v>
      </c>
      <c r="F750" s="1">
        <v>24102</v>
      </c>
      <c r="G750" s="1" t="s">
        <v>669</v>
      </c>
      <c r="H750" s="1" t="s">
        <v>661</v>
      </c>
      <c r="J750" s="2" t="s">
        <v>672</v>
      </c>
      <c r="K750" s="1" t="s">
        <v>666</v>
      </c>
      <c r="L750" s="1" t="s">
        <v>1388</v>
      </c>
      <c r="M750" s="1" t="s">
        <v>1389</v>
      </c>
      <c r="N750" s="1" t="str">
        <f t="shared" si="11"/>
        <v>JUNIO TEIXEIRA /GEOVANI RORIZ</v>
      </c>
    </row>
    <row r="751" spans="1:14" x14ac:dyDescent="0.3">
      <c r="A751" s="1">
        <v>701115</v>
      </c>
      <c r="B751" s="1" t="s">
        <v>779</v>
      </c>
      <c r="C751" s="5" t="s">
        <v>15</v>
      </c>
      <c r="D751" s="2">
        <v>43641</v>
      </c>
      <c r="E751" s="2" t="s">
        <v>27</v>
      </c>
      <c r="F751" s="1">
        <v>39601</v>
      </c>
      <c r="G751" s="1" t="s">
        <v>660</v>
      </c>
      <c r="H751" s="1" t="s">
        <v>661</v>
      </c>
      <c r="J751" s="2" t="s">
        <v>662</v>
      </c>
      <c r="K751" s="1" t="s">
        <v>666</v>
      </c>
      <c r="L751" s="1" t="s">
        <v>258</v>
      </c>
      <c r="N751" s="1" t="str">
        <f t="shared" si="11"/>
        <v>MATHEUS ALMEIDA</v>
      </c>
    </row>
    <row r="752" spans="1:14" x14ac:dyDescent="0.3">
      <c r="A752" s="1">
        <v>702401</v>
      </c>
      <c r="B752" s="1" t="s">
        <v>780</v>
      </c>
      <c r="C752" s="5" t="s">
        <v>15</v>
      </c>
      <c r="D752" s="2">
        <v>44383</v>
      </c>
      <c r="E752" s="2" t="s">
        <v>179</v>
      </c>
      <c r="F752" s="1">
        <v>32102</v>
      </c>
      <c r="G752" s="1" t="s">
        <v>674</v>
      </c>
      <c r="H752" s="1" t="s">
        <v>661</v>
      </c>
      <c r="J752" s="2" t="s">
        <v>675</v>
      </c>
      <c r="K752" s="1" t="s">
        <v>25</v>
      </c>
      <c r="L752" s="1" t="s">
        <v>1369</v>
      </c>
      <c r="M752" s="1" t="s">
        <v>676</v>
      </c>
      <c r="N752" s="1" t="str">
        <f t="shared" si="11"/>
        <v>MARCELO DOURADO</v>
      </c>
    </row>
    <row r="753" spans="1:14" x14ac:dyDescent="0.3">
      <c r="A753" s="1">
        <v>705232</v>
      </c>
      <c r="B753" s="1" t="s">
        <v>1192</v>
      </c>
      <c r="C753" s="5" t="s">
        <v>15</v>
      </c>
      <c r="D753" s="2">
        <v>45755</v>
      </c>
      <c r="E753" s="2" t="s">
        <v>381</v>
      </c>
      <c r="F753" s="1">
        <v>39602</v>
      </c>
      <c r="G753" s="1" t="s">
        <v>699</v>
      </c>
      <c r="H753" s="1" t="s">
        <v>661</v>
      </c>
      <c r="J753" s="2" t="s">
        <v>700</v>
      </c>
      <c r="K753" s="1" t="s">
        <v>666</v>
      </c>
      <c r="L753" s="1" t="s">
        <v>258</v>
      </c>
      <c r="M753" s="1" t="s">
        <v>701</v>
      </c>
      <c r="N753" s="1" t="str">
        <f t="shared" si="11"/>
        <v>IURY GUEDES</v>
      </c>
    </row>
    <row r="754" spans="1:14" x14ac:dyDescent="0.3">
      <c r="A754" s="1">
        <v>703919</v>
      </c>
      <c r="B754" s="1" t="s">
        <v>781</v>
      </c>
      <c r="C754" s="5" t="s">
        <v>15</v>
      </c>
      <c r="D754" s="2">
        <v>45083</v>
      </c>
      <c r="E754" s="2" t="s">
        <v>31</v>
      </c>
      <c r="F754" s="1">
        <v>24102</v>
      </c>
      <c r="G754" s="1" t="s">
        <v>669</v>
      </c>
      <c r="H754" s="1" t="s">
        <v>661</v>
      </c>
      <c r="J754" s="2" t="s">
        <v>672</v>
      </c>
      <c r="K754" s="1" t="s">
        <v>666</v>
      </c>
      <c r="L754" s="1" t="s">
        <v>1388</v>
      </c>
      <c r="M754" s="1" t="s">
        <v>1389</v>
      </c>
      <c r="N754" s="1" t="str">
        <f t="shared" si="11"/>
        <v>JUNIO TEIXEIRA /GEOVANI RORIZ</v>
      </c>
    </row>
    <row r="755" spans="1:14" x14ac:dyDescent="0.3">
      <c r="A755" s="1">
        <v>700910</v>
      </c>
      <c r="B755" s="1" t="s">
        <v>782</v>
      </c>
      <c r="C755" s="5" t="s">
        <v>15</v>
      </c>
      <c r="D755" s="2">
        <v>43535</v>
      </c>
      <c r="E755" s="2" t="s">
        <v>427</v>
      </c>
      <c r="F755" s="1">
        <v>39602</v>
      </c>
      <c r="G755" s="1" t="s">
        <v>699</v>
      </c>
      <c r="H755" s="1" t="s">
        <v>661</v>
      </c>
      <c r="J755" s="2" t="s">
        <v>700</v>
      </c>
      <c r="K755" s="1" t="s">
        <v>666</v>
      </c>
      <c r="L755" s="1" t="s">
        <v>258</v>
      </c>
      <c r="M755" s="1" t="s">
        <v>701</v>
      </c>
      <c r="N755" s="1" t="str">
        <f t="shared" si="11"/>
        <v>IURY GUEDES</v>
      </c>
    </row>
    <row r="756" spans="1:14" x14ac:dyDescent="0.3">
      <c r="A756" s="1">
        <v>702997</v>
      </c>
      <c r="B756" s="1" t="s">
        <v>783</v>
      </c>
      <c r="C756" s="5" t="s">
        <v>15</v>
      </c>
      <c r="D756" s="2">
        <v>44691</v>
      </c>
      <c r="E756" s="2" t="s">
        <v>27</v>
      </c>
      <c r="F756" s="1">
        <v>39601</v>
      </c>
      <c r="G756" s="1" t="s">
        <v>660</v>
      </c>
      <c r="H756" s="1" t="s">
        <v>661</v>
      </c>
      <c r="J756" s="2" t="s">
        <v>662</v>
      </c>
      <c r="K756" s="1" t="s">
        <v>666</v>
      </c>
      <c r="L756" s="1" t="s">
        <v>258</v>
      </c>
      <c r="N756" s="1" t="str">
        <f t="shared" si="11"/>
        <v>MATHEUS ALMEIDA</v>
      </c>
    </row>
    <row r="757" spans="1:14" x14ac:dyDescent="0.3">
      <c r="A757" s="1">
        <v>705166</v>
      </c>
      <c r="B757" s="1" t="s">
        <v>1171</v>
      </c>
      <c r="C757" s="5" t="s">
        <v>15</v>
      </c>
      <c r="D757" s="2">
        <v>45726</v>
      </c>
      <c r="E757" s="2" t="s">
        <v>31</v>
      </c>
      <c r="F757" s="1">
        <v>39601</v>
      </c>
      <c r="G757" s="1" t="s">
        <v>660</v>
      </c>
      <c r="H757" s="1" t="s">
        <v>661</v>
      </c>
      <c r="J757" s="2" t="s">
        <v>672</v>
      </c>
      <c r="K757" s="1" t="s">
        <v>666</v>
      </c>
      <c r="L757" s="1" t="s">
        <v>1388</v>
      </c>
      <c r="M757" s="1" t="s">
        <v>1389</v>
      </c>
      <c r="N757" s="1" t="str">
        <f t="shared" si="11"/>
        <v>JUNIO TEIXEIRA /GEOVANI RORIZ</v>
      </c>
    </row>
    <row r="758" spans="1:14" x14ac:dyDescent="0.3">
      <c r="A758" s="1">
        <v>101594</v>
      </c>
      <c r="B758" s="1" t="s">
        <v>784</v>
      </c>
      <c r="C758" s="5" t="s">
        <v>15</v>
      </c>
      <c r="D758" s="2">
        <v>42996</v>
      </c>
      <c r="E758" s="2" t="s">
        <v>60</v>
      </c>
      <c r="F758" s="1">
        <v>24102</v>
      </c>
      <c r="G758" s="1" t="s">
        <v>669</v>
      </c>
      <c r="H758" s="1" t="s">
        <v>661</v>
      </c>
      <c r="J758" s="2" t="s">
        <v>682</v>
      </c>
      <c r="K758" s="1" t="s">
        <v>666</v>
      </c>
      <c r="L758" s="1" t="s">
        <v>1390</v>
      </c>
      <c r="M758" s="1" t="s">
        <v>1391</v>
      </c>
      <c r="N758" s="1" t="str">
        <f t="shared" si="11"/>
        <v>ALCENO JUNIOR/JOÃO MARCOS</v>
      </c>
    </row>
    <row r="759" spans="1:14" x14ac:dyDescent="0.3">
      <c r="A759" s="1">
        <v>705723</v>
      </c>
      <c r="B759" s="1" t="s">
        <v>1462</v>
      </c>
      <c r="C759" s="5" t="s">
        <v>15</v>
      </c>
      <c r="D759" s="2">
        <v>45971</v>
      </c>
      <c r="E759" s="2" t="s">
        <v>31</v>
      </c>
      <c r="F759" s="1">
        <v>24102</v>
      </c>
      <c r="G759" s="1" t="s">
        <v>669</v>
      </c>
      <c r="H759" s="1" t="s">
        <v>661</v>
      </c>
      <c r="J759" s="2" t="s">
        <v>672</v>
      </c>
      <c r="K759" s="1" t="s">
        <v>666</v>
      </c>
      <c r="L759" s="1" t="s">
        <v>1388</v>
      </c>
      <c r="M759" s="1" t="s">
        <v>1389</v>
      </c>
      <c r="N759" s="1" t="str">
        <f t="shared" si="11"/>
        <v>JUNIO TEIXEIRA /GEOVANI RORIZ</v>
      </c>
    </row>
    <row r="760" spans="1:14" x14ac:dyDescent="0.3">
      <c r="A760" s="1">
        <v>705515</v>
      </c>
      <c r="B760" s="1" t="s">
        <v>1305</v>
      </c>
      <c r="C760" s="5" t="s">
        <v>15</v>
      </c>
      <c r="D760" s="2">
        <v>45847</v>
      </c>
      <c r="E760" s="2" t="s">
        <v>60</v>
      </c>
      <c r="F760" s="1">
        <v>39601</v>
      </c>
      <c r="G760" s="1" t="s">
        <v>660</v>
      </c>
      <c r="H760" s="1" t="s">
        <v>661</v>
      </c>
      <c r="J760" s="2" t="s">
        <v>684</v>
      </c>
      <c r="K760" s="1" t="s">
        <v>666</v>
      </c>
      <c r="L760" s="1" t="s">
        <v>258</v>
      </c>
      <c r="M760" s="1" t="s">
        <v>1392</v>
      </c>
      <c r="N760" s="1" t="str">
        <f t="shared" si="11"/>
        <v>ADALTON/JANILSON RORIZ/MARIVALDO</v>
      </c>
    </row>
    <row r="761" spans="1:14" x14ac:dyDescent="0.3">
      <c r="A761" s="1">
        <v>704810</v>
      </c>
      <c r="B761" s="1" t="s">
        <v>785</v>
      </c>
      <c r="C761" s="5" t="s">
        <v>15</v>
      </c>
      <c r="D761" s="2">
        <v>45566</v>
      </c>
      <c r="E761" s="2" t="s">
        <v>31</v>
      </c>
      <c r="F761" s="1">
        <v>39601</v>
      </c>
      <c r="G761" s="1" t="s">
        <v>660</v>
      </c>
      <c r="H761" s="1" t="s">
        <v>661</v>
      </c>
      <c r="J761" s="2" t="s">
        <v>662</v>
      </c>
      <c r="K761" s="1" t="s">
        <v>666</v>
      </c>
      <c r="L761" s="1" t="s">
        <v>258</v>
      </c>
      <c r="N761" s="1" t="str">
        <f t="shared" si="11"/>
        <v>MATHEUS ALMEIDA</v>
      </c>
    </row>
    <row r="762" spans="1:14" x14ac:dyDescent="0.3">
      <c r="A762" s="1">
        <v>700702</v>
      </c>
      <c r="B762" s="1" t="s">
        <v>786</v>
      </c>
      <c r="C762" s="5" t="s">
        <v>15</v>
      </c>
      <c r="D762" s="2">
        <v>43396</v>
      </c>
      <c r="E762" s="2" t="s">
        <v>146</v>
      </c>
      <c r="F762" s="1">
        <v>39601</v>
      </c>
      <c r="G762" s="1" t="s">
        <v>660</v>
      </c>
      <c r="H762" s="1" t="s">
        <v>661</v>
      </c>
      <c r="J762" s="2" t="s">
        <v>662</v>
      </c>
      <c r="K762" s="1" t="s">
        <v>666</v>
      </c>
      <c r="L762" s="1" t="s">
        <v>258</v>
      </c>
      <c r="N762" s="1" t="str">
        <f t="shared" si="11"/>
        <v>MATHEUS ALMEIDA</v>
      </c>
    </row>
    <row r="763" spans="1:14" x14ac:dyDescent="0.3">
      <c r="A763" s="1">
        <v>702140</v>
      </c>
      <c r="B763" s="1" t="s">
        <v>787</v>
      </c>
      <c r="C763" s="5" t="s">
        <v>15</v>
      </c>
      <c r="D763" s="2">
        <v>44299</v>
      </c>
      <c r="E763" s="2" t="s">
        <v>31</v>
      </c>
      <c r="F763" s="1">
        <v>24102</v>
      </c>
      <c r="G763" s="1" t="s">
        <v>669</v>
      </c>
      <c r="H763" s="1" t="s">
        <v>661</v>
      </c>
      <c r="J763" s="2" t="s">
        <v>680</v>
      </c>
      <c r="K763" s="1" t="s">
        <v>666</v>
      </c>
      <c r="L763" s="1" t="s">
        <v>1388</v>
      </c>
      <c r="M763" s="1" t="s">
        <v>1389</v>
      </c>
      <c r="N763" s="1" t="str">
        <f t="shared" si="11"/>
        <v>JUNIO TEIXEIRA /GEOVANI RORIZ</v>
      </c>
    </row>
    <row r="764" spans="1:14" x14ac:dyDescent="0.3">
      <c r="A764" s="1">
        <v>702868</v>
      </c>
      <c r="B764" s="1" t="s">
        <v>788</v>
      </c>
      <c r="C764" s="5" t="s">
        <v>15</v>
      </c>
      <c r="D764" s="2">
        <v>44635</v>
      </c>
      <c r="E764" s="2" t="s">
        <v>31</v>
      </c>
      <c r="F764" s="1">
        <v>24102</v>
      </c>
      <c r="G764" s="1" t="s">
        <v>669</v>
      </c>
      <c r="H764" s="1" t="s">
        <v>661</v>
      </c>
      <c r="J764" s="2" t="s">
        <v>680</v>
      </c>
      <c r="K764" s="1" t="s">
        <v>666</v>
      </c>
      <c r="L764" s="1" t="s">
        <v>1388</v>
      </c>
      <c r="M764" s="1" t="s">
        <v>1389</v>
      </c>
      <c r="N764" s="1" t="str">
        <f t="shared" si="11"/>
        <v>JUNIO TEIXEIRA /GEOVANI RORIZ</v>
      </c>
    </row>
    <row r="765" spans="1:14" x14ac:dyDescent="0.3">
      <c r="A765" s="1">
        <v>705099</v>
      </c>
      <c r="B765" s="1" t="s">
        <v>789</v>
      </c>
      <c r="C765" s="5" t="s">
        <v>15</v>
      </c>
      <c r="D765" s="2">
        <v>45670</v>
      </c>
      <c r="E765" s="2" t="s">
        <v>31</v>
      </c>
      <c r="F765" s="1">
        <v>39601</v>
      </c>
      <c r="G765" s="1" t="s">
        <v>660</v>
      </c>
      <c r="H765" s="1" t="s">
        <v>661</v>
      </c>
      <c r="J765" s="2" t="s">
        <v>672</v>
      </c>
      <c r="K765" s="1" t="s">
        <v>666</v>
      </c>
      <c r="L765" s="1" t="s">
        <v>1388</v>
      </c>
      <c r="M765" s="1" t="s">
        <v>1389</v>
      </c>
      <c r="N765" s="1" t="str">
        <f t="shared" si="11"/>
        <v>JUNIO TEIXEIRA /GEOVANI RORIZ</v>
      </c>
    </row>
    <row r="766" spans="1:14" x14ac:dyDescent="0.3">
      <c r="A766" s="1">
        <v>703964</v>
      </c>
      <c r="B766" s="1" t="s">
        <v>790</v>
      </c>
      <c r="C766" s="5" t="s">
        <v>15</v>
      </c>
      <c r="D766" s="2">
        <v>45113</v>
      </c>
      <c r="E766" s="2" t="s">
        <v>31</v>
      </c>
      <c r="F766" s="1">
        <v>39601</v>
      </c>
      <c r="G766" s="1" t="s">
        <v>660</v>
      </c>
      <c r="H766" s="1" t="s">
        <v>661</v>
      </c>
      <c r="J766" s="2" t="s">
        <v>672</v>
      </c>
      <c r="K766" s="1" t="s">
        <v>666</v>
      </c>
      <c r="L766" s="1" t="s">
        <v>1388</v>
      </c>
      <c r="M766" s="1" t="s">
        <v>1389</v>
      </c>
      <c r="N766" s="1" t="str">
        <f t="shared" si="11"/>
        <v>JUNIO TEIXEIRA /GEOVANI RORIZ</v>
      </c>
    </row>
    <row r="767" spans="1:14" x14ac:dyDescent="0.3">
      <c r="A767" s="1">
        <v>705714</v>
      </c>
      <c r="B767" s="1" t="s">
        <v>1463</v>
      </c>
      <c r="C767" s="5" t="s">
        <v>15</v>
      </c>
      <c r="D767" s="2">
        <v>45971</v>
      </c>
      <c r="E767" s="2" t="s">
        <v>31</v>
      </c>
      <c r="F767" s="1">
        <v>24102</v>
      </c>
      <c r="G767" s="1" t="s">
        <v>669</v>
      </c>
      <c r="H767" s="1" t="s">
        <v>661</v>
      </c>
      <c r="J767" s="2" t="s">
        <v>672</v>
      </c>
      <c r="K767" s="1" t="s">
        <v>666</v>
      </c>
      <c r="L767" s="1" t="s">
        <v>1388</v>
      </c>
      <c r="M767" s="1" t="s">
        <v>1389</v>
      </c>
      <c r="N767" s="1" t="str">
        <f t="shared" si="11"/>
        <v>JUNIO TEIXEIRA /GEOVANI RORIZ</v>
      </c>
    </row>
    <row r="768" spans="1:14" x14ac:dyDescent="0.3">
      <c r="A768" s="1">
        <v>705350</v>
      </c>
      <c r="B768" s="1" t="s">
        <v>1245</v>
      </c>
      <c r="C768" s="5" t="s">
        <v>15</v>
      </c>
      <c r="D768" s="2">
        <v>45784</v>
      </c>
      <c r="E768" s="2" t="s">
        <v>31</v>
      </c>
      <c r="F768" s="1">
        <v>39601</v>
      </c>
      <c r="G768" s="1" t="s">
        <v>660</v>
      </c>
      <c r="H768" s="1" t="s">
        <v>661</v>
      </c>
      <c r="J768" s="2" t="s">
        <v>684</v>
      </c>
      <c r="K768" s="1" t="s">
        <v>666</v>
      </c>
      <c r="L768" s="1" t="s">
        <v>258</v>
      </c>
      <c r="M768" s="1" t="s">
        <v>1392</v>
      </c>
      <c r="N768" s="1" t="str">
        <f t="shared" si="11"/>
        <v>ADALTON/JANILSON RORIZ/MARIVALDO</v>
      </c>
    </row>
    <row r="769" spans="1:14" x14ac:dyDescent="0.3">
      <c r="A769" s="1">
        <v>705772</v>
      </c>
      <c r="B769" s="1" t="s">
        <v>1497</v>
      </c>
      <c r="C769" s="5" t="s">
        <v>15</v>
      </c>
      <c r="D769" s="2">
        <v>45993</v>
      </c>
      <c r="E769" s="2" t="s">
        <v>31</v>
      </c>
      <c r="F769" s="1">
        <v>24201</v>
      </c>
      <c r="G769" s="1" t="s">
        <v>664</v>
      </c>
      <c r="H769" s="1" t="s">
        <v>661</v>
      </c>
      <c r="J769" s="2" t="s">
        <v>665</v>
      </c>
      <c r="K769" s="1" t="s">
        <v>666</v>
      </c>
      <c r="L769" s="1" t="s">
        <v>258</v>
      </c>
      <c r="M769" s="1" t="s">
        <v>667</v>
      </c>
      <c r="N769" s="1" t="str">
        <f t="shared" si="11"/>
        <v>JOSIEL NEVES</v>
      </c>
    </row>
    <row r="770" spans="1:14" x14ac:dyDescent="0.3">
      <c r="A770" s="1">
        <v>700152</v>
      </c>
      <c r="B770" s="1" t="s">
        <v>791</v>
      </c>
      <c r="C770" s="5" t="s">
        <v>15</v>
      </c>
      <c r="D770" s="2">
        <v>43227</v>
      </c>
      <c r="E770" s="2" t="s">
        <v>60</v>
      </c>
      <c r="F770" s="1">
        <v>24102</v>
      </c>
      <c r="G770" s="1" t="s">
        <v>669</v>
      </c>
      <c r="H770" s="1" t="s">
        <v>661</v>
      </c>
      <c r="J770" s="2" t="s">
        <v>682</v>
      </c>
      <c r="K770" s="1" t="s">
        <v>666</v>
      </c>
      <c r="L770" s="1" t="s">
        <v>1390</v>
      </c>
      <c r="M770" s="1" t="s">
        <v>1391</v>
      </c>
      <c r="N770" s="1" t="str">
        <f t="shared" si="11"/>
        <v>ALCENO JUNIOR/JOÃO MARCOS</v>
      </c>
    </row>
    <row r="771" spans="1:14" x14ac:dyDescent="0.3">
      <c r="A771" s="1">
        <v>700426</v>
      </c>
      <c r="B771" s="1" t="s">
        <v>792</v>
      </c>
      <c r="C771" s="5" t="s">
        <v>15</v>
      </c>
      <c r="D771" s="2">
        <v>43326</v>
      </c>
      <c r="E771" s="2" t="s">
        <v>141</v>
      </c>
      <c r="F771" s="1">
        <v>24102</v>
      </c>
      <c r="G771" s="1" t="s">
        <v>669</v>
      </c>
      <c r="H771" s="1" t="s">
        <v>661</v>
      </c>
      <c r="J771" s="2" t="s">
        <v>697</v>
      </c>
      <c r="K771" s="1" t="s">
        <v>666</v>
      </c>
      <c r="L771" s="1" t="s">
        <v>1390</v>
      </c>
      <c r="N771" s="1" t="str">
        <f t="shared" ref="N771:N834" si="12">IF(M771&lt;&gt;"", M771, IF(L771&lt;&gt;"", L771, K771))</f>
        <v>JOÃO FILHO</v>
      </c>
    </row>
    <row r="772" spans="1:14" x14ac:dyDescent="0.3">
      <c r="A772" s="1">
        <v>101077</v>
      </c>
      <c r="B772" s="1" t="s">
        <v>793</v>
      </c>
      <c r="C772" s="5" t="s">
        <v>15</v>
      </c>
      <c r="D772" s="2">
        <v>42667</v>
      </c>
      <c r="E772" s="2" t="s">
        <v>686</v>
      </c>
      <c r="F772" s="1">
        <v>39601</v>
      </c>
      <c r="G772" s="1" t="s">
        <v>660</v>
      </c>
      <c r="H772" s="1" t="s">
        <v>661</v>
      </c>
      <c r="J772" s="2" t="s">
        <v>684</v>
      </c>
      <c r="K772" s="1" t="s">
        <v>666</v>
      </c>
      <c r="L772" s="1" t="s">
        <v>258</v>
      </c>
      <c r="M772" s="1" t="s">
        <v>1392</v>
      </c>
      <c r="N772" s="1" t="str">
        <f t="shared" si="12"/>
        <v>ADALTON/JANILSON RORIZ/MARIVALDO</v>
      </c>
    </row>
    <row r="773" spans="1:14" x14ac:dyDescent="0.3">
      <c r="A773" s="1">
        <v>705383</v>
      </c>
      <c r="B773" s="1" t="s">
        <v>1246</v>
      </c>
      <c r="C773" s="5" t="s">
        <v>15</v>
      </c>
      <c r="D773" s="2">
        <v>45784</v>
      </c>
      <c r="E773" s="2" t="s">
        <v>31</v>
      </c>
      <c r="F773" s="1">
        <v>39601</v>
      </c>
      <c r="G773" s="1" t="s">
        <v>660</v>
      </c>
      <c r="H773" s="1" t="s">
        <v>661</v>
      </c>
      <c r="J773" s="2" t="s">
        <v>684</v>
      </c>
      <c r="K773" s="1" t="s">
        <v>666</v>
      </c>
      <c r="L773" s="1" t="s">
        <v>258</v>
      </c>
      <c r="M773" s="1" t="s">
        <v>1392</v>
      </c>
      <c r="N773" s="1" t="str">
        <f t="shared" si="12"/>
        <v>ADALTON/JANILSON RORIZ/MARIVALDO</v>
      </c>
    </row>
    <row r="774" spans="1:14" x14ac:dyDescent="0.3">
      <c r="A774" s="1">
        <v>705298</v>
      </c>
      <c r="B774" s="1" t="s">
        <v>1193</v>
      </c>
      <c r="C774" s="5" t="s">
        <v>15</v>
      </c>
      <c r="D774" s="2">
        <v>45762</v>
      </c>
      <c r="E774" s="2" t="s">
        <v>31</v>
      </c>
      <c r="F774" s="1">
        <v>39601</v>
      </c>
      <c r="G774" s="1" t="s">
        <v>660</v>
      </c>
      <c r="H774" s="1" t="s">
        <v>661</v>
      </c>
      <c r="J774" s="2" t="s">
        <v>684</v>
      </c>
      <c r="K774" s="1" t="s">
        <v>666</v>
      </c>
      <c r="L774" s="1" t="s">
        <v>258</v>
      </c>
      <c r="M774" s="1" t="s">
        <v>1392</v>
      </c>
      <c r="N774" s="1" t="str">
        <f t="shared" si="12"/>
        <v>ADALTON/JANILSON RORIZ/MARIVALDO</v>
      </c>
    </row>
    <row r="775" spans="1:14" x14ac:dyDescent="0.3">
      <c r="A775" s="1">
        <v>704814</v>
      </c>
      <c r="B775" s="1" t="s">
        <v>795</v>
      </c>
      <c r="C775" s="5" t="s">
        <v>15</v>
      </c>
      <c r="D775" s="2">
        <v>45572</v>
      </c>
      <c r="E775" s="2" t="s">
        <v>418</v>
      </c>
      <c r="F775" s="1">
        <v>39601</v>
      </c>
      <c r="G775" s="1" t="s">
        <v>660</v>
      </c>
      <c r="H775" s="1" t="s">
        <v>661</v>
      </c>
      <c r="J775" s="2" t="s">
        <v>684</v>
      </c>
      <c r="K775" s="1" t="s">
        <v>666</v>
      </c>
      <c r="L775" s="1" t="s">
        <v>258</v>
      </c>
      <c r="M775" s="1" t="s">
        <v>1392</v>
      </c>
      <c r="N775" s="1" t="str">
        <f t="shared" si="12"/>
        <v>ADALTON/JANILSON RORIZ/MARIVALDO</v>
      </c>
    </row>
    <row r="776" spans="1:14" x14ac:dyDescent="0.3">
      <c r="A776" s="1">
        <v>704912</v>
      </c>
      <c r="B776" s="1" t="s">
        <v>796</v>
      </c>
      <c r="C776" s="5" t="s">
        <v>15</v>
      </c>
      <c r="D776" s="2">
        <v>45601</v>
      </c>
      <c r="E776" s="2" t="s">
        <v>31</v>
      </c>
      <c r="F776" s="1">
        <v>39601</v>
      </c>
      <c r="G776" s="1" t="s">
        <v>660</v>
      </c>
      <c r="H776" s="1" t="s">
        <v>661</v>
      </c>
      <c r="J776" s="2" t="s">
        <v>662</v>
      </c>
      <c r="K776" s="1" t="s">
        <v>666</v>
      </c>
      <c r="L776" s="1" t="s">
        <v>258</v>
      </c>
      <c r="N776" s="1" t="str">
        <f t="shared" si="12"/>
        <v>MATHEUS ALMEIDA</v>
      </c>
    </row>
    <row r="777" spans="1:14" x14ac:dyDescent="0.3">
      <c r="A777" s="1">
        <v>705478</v>
      </c>
      <c r="B777" s="1" t="s">
        <v>1282</v>
      </c>
      <c r="C777" s="5" t="s">
        <v>92</v>
      </c>
      <c r="D777" s="2">
        <v>45824</v>
      </c>
      <c r="E777" s="2" t="s">
        <v>31</v>
      </c>
      <c r="F777" s="1">
        <v>24102</v>
      </c>
      <c r="G777" s="1" t="s">
        <v>669</v>
      </c>
      <c r="H777" s="1" t="s">
        <v>661</v>
      </c>
      <c r="I777" s="2">
        <v>46037</v>
      </c>
      <c r="J777" s="2" t="s">
        <v>680</v>
      </c>
      <c r="K777" s="1" t="s">
        <v>666</v>
      </c>
      <c r="L777" s="1" t="s">
        <v>1388</v>
      </c>
      <c r="M777" s="1" t="s">
        <v>1389</v>
      </c>
      <c r="N777" s="1" t="str">
        <f t="shared" si="12"/>
        <v>JUNIO TEIXEIRA /GEOVANI RORIZ</v>
      </c>
    </row>
    <row r="778" spans="1:14" x14ac:dyDescent="0.3">
      <c r="A778" s="1">
        <v>701469</v>
      </c>
      <c r="B778" s="1" t="s">
        <v>797</v>
      </c>
      <c r="C778" s="5" t="s">
        <v>15</v>
      </c>
      <c r="D778" s="2">
        <v>43795</v>
      </c>
      <c r="E778" s="2" t="s">
        <v>179</v>
      </c>
      <c r="F778" s="1">
        <v>32102</v>
      </c>
      <c r="G778" s="1" t="s">
        <v>674</v>
      </c>
      <c r="H778" s="1" t="s">
        <v>661</v>
      </c>
      <c r="J778" s="2" t="s">
        <v>675</v>
      </c>
      <c r="K778" s="1" t="s">
        <v>25</v>
      </c>
      <c r="L778" s="1" t="s">
        <v>1369</v>
      </c>
      <c r="M778" s="1" t="s">
        <v>676</v>
      </c>
      <c r="N778" s="1" t="str">
        <f t="shared" si="12"/>
        <v>MARCELO DOURADO</v>
      </c>
    </row>
    <row r="779" spans="1:14" x14ac:dyDescent="0.3">
      <c r="A779" s="1">
        <v>704852</v>
      </c>
      <c r="B779" s="1" t="s">
        <v>798</v>
      </c>
      <c r="C779" s="5" t="s">
        <v>15</v>
      </c>
      <c r="D779" s="2">
        <v>45573</v>
      </c>
      <c r="E779" s="2" t="s">
        <v>418</v>
      </c>
      <c r="F779" s="1">
        <v>39601</v>
      </c>
      <c r="G779" s="1" t="s">
        <v>660</v>
      </c>
      <c r="H779" s="1" t="s">
        <v>661</v>
      </c>
      <c r="J779" s="2" t="s">
        <v>662</v>
      </c>
      <c r="K779" s="1" t="s">
        <v>666</v>
      </c>
      <c r="L779" s="1" t="s">
        <v>258</v>
      </c>
      <c r="N779" s="1" t="str">
        <f t="shared" si="12"/>
        <v>MATHEUS ALMEIDA</v>
      </c>
    </row>
    <row r="780" spans="1:14" x14ac:dyDescent="0.3">
      <c r="A780" s="1">
        <v>704037</v>
      </c>
      <c r="B780" s="1" t="s">
        <v>799</v>
      </c>
      <c r="C780" s="5" t="s">
        <v>15</v>
      </c>
      <c r="D780" s="2">
        <v>45145</v>
      </c>
      <c r="E780" s="2" t="s">
        <v>507</v>
      </c>
      <c r="F780" s="1">
        <v>24201</v>
      </c>
      <c r="G780" s="1" t="s">
        <v>664</v>
      </c>
      <c r="H780" s="1" t="s">
        <v>661</v>
      </c>
      <c r="J780" s="2" t="s">
        <v>665</v>
      </c>
      <c r="K780" s="1" t="s">
        <v>666</v>
      </c>
      <c r="L780" s="1" t="s">
        <v>258</v>
      </c>
      <c r="M780" s="1" t="s">
        <v>667</v>
      </c>
      <c r="N780" s="1" t="str">
        <f t="shared" si="12"/>
        <v>JOSIEL NEVES</v>
      </c>
    </row>
    <row r="781" spans="1:14" x14ac:dyDescent="0.3">
      <c r="A781" s="1">
        <v>702905</v>
      </c>
      <c r="B781" s="1" t="s">
        <v>800</v>
      </c>
      <c r="C781" s="5" t="s">
        <v>15</v>
      </c>
      <c r="D781" s="2">
        <v>44656</v>
      </c>
      <c r="E781" s="2" t="s">
        <v>60</v>
      </c>
      <c r="F781" s="1">
        <v>24102</v>
      </c>
      <c r="G781" s="1" t="s">
        <v>669</v>
      </c>
      <c r="H781" s="1" t="s">
        <v>661</v>
      </c>
      <c r="J781" s="2" t="s">
        <v>682</v>
      </c>
      <c r="K781" s="1" t="s">
        <v>666</v>
      </c>
      <c r="L781" s="1" t="s">
        <v>1390</v>
      </c>
      <c r="M781" s="1" t="s">
        <v>1391</v>
      </c>
      <c r="N781" s="1" t="str">
        <f t="shared" si="12"/>
        <v>ALCENO JUNIOR/JOÃO MARCOS</v>
      </c>
    </row>
    <row r="782" spans="1:14" x14ac:dyDescent="0.3">
      <c r="A782" s="1">
        <v>701710</v>
      </c>
      <c r="B782" s="1" t="s">
        <v>801</v>
      </c>
      <c r="C782" s="5" t="s">
        <v>15</v>
      </c>
      <c r="D782" s="2">
        <v>44025</v>
      </c>
      <c r="E782" s="2" t="s">
        <v>31</v>
      </c>
      <c r="F782" s="1">
        <v>24102</v>
      </c>
      <c r="G782" s="1" t="s">
        <v>669</v>
      </c>
      <c r="H782" s="1" t="s">
        <v>661</v>
      </c>
      <c r="J782" s="2" t="s">
        <v>670</v>
      </c>
      <c r="K782" s="1" t="s">
        <v>666</v>
      </c>
      <c r="L782" s="1" t="s">
        <v>1388</v>
      </c>
      <c r="M782" s="1" t="s">
        <v>1389</v>
      </c>
      <c r="N782" s="1" t="str">
        <f t="shared" si="12"/>
        <v>JUNIO TEIXEIRA /GEOVANI RORIZ</v>
      </c>
    </row>
    <row r="783" spans="1:14" x14ac:dyDescent="0.3">
      <c r="A783" s="1">
        <v>703069</v>
      </c>
      <c r="B783" s="1" t="s">
        <v>802</v>
      </c>
      <c r="C783" s="5" t="s">
        <v>15</v>
      </c>
      <c r="D783" s="2">
        <v>44713</v>
      </c>
      <c r="E783" s="2" t="s">
        <v>418</v>
      </c>
      <c r="F783" s="1">
        <v>39601</v>
      </c>
      <c r="G783" s="1" t="s">
        <v>660</v>
      </c>
      <c r="H783" s="1" t="s">
        <v>661</v>
      </c>
      <c r="J783" s="2" t="s">
        <v>662</v>
      </c>
      <c r="K783" s="1" t="s">
        <v>666</v>
      </c>
      <c r="L783" s="1" t="s">
        <v>258</v>
      </c>
      <c r="N783" s="1" t="str">
        <f t="shared" si="12"/>
        <v>MATHEUS ALMEIDA</v>
      </c>
    </row>
    <row r="784" spans="1:14" x14ac:dyDescent="0.3">
      <c r="A784" s="1">
        <v>705762</v>
      </c>
      <c r="B784" s="1" t="s">
        <v>1498</v>
      </c>
      <c r="C784" s="5" t="s">
        <v>15</v>
      </c>
      <c r="D784" s="2">
        <v>45993</v>
      </c>
      <c r="E784" s="2" t="s">
        <v>230</v>
      </c>
      <c r="F784" s="1">
        <v>24201</v>
      </c>
      <c r="G784" s="1" t="s">
        <v>664</v>
      </c>
      <c r="H784" s="1" t="s">
        <v>661</v>
      </c>
      <c r="J784" s="2" t="s">
        <v>1012</v>
      </c>
      <c r="K784" s="1" t="s">
        <v>666</v>
      </c>
      <c r="L784" s="1" t="s">
        <v>258</v>
      </c>
      <c r="N784" s="1" t="str">
        <f t="shared" si="12"/>
        <v>MATHEUS ALMEIDA</v>
      </c>
    </row>
    <row r="785" spans="1:14" x14ac:dyDescent="0.3">
      <c r="A785" s="1">
        <v>705303</v>
      </c>
      <c r="B785" s="1" t="s">
        <v>1194</v>
      </c>
      <c r="C785" s="5" t="s">
        <v>15</v>
      </c>
      <c r="D785" s="2">
        <v>45762</v>
      </c>
      <c r="E785" s="2" t="s">
        <v>31</v>
      </c>
      <c r="F785" s="1">
        <v>24102</v>
      </c>
      <c r="G785" s="1" t="s">
        <v>669</v>
      </c>
      <c r="H785" s="1" t="s">
        <v>661</v>
      </c>
      <c r="J785" s="2" t="s">
        <v>680</v>
      </c>
      <c r="K785" s="1" t="s">
        <v>666</v>
      </c>
      <c r="L785" s="1" t="s">
        <v>1388</v>
      </c>
      <c r="M785" s="1" t="s">
        <v>1389</v>
      </c>
      <c r="N785" s="1" t="str">
        <f t="shared" si="12"/>
        <v>JUNIO TEIXEIRA /GEOVANI RORIZ</v>
      </c>
    </row>
    <row r="786" spans="1:14" x14ac:dyDescent="0.3">
      <c r="A786" s="1">
        <v>701747</v>
      </c>
      <c r="B786" s="1" t="s">
        <v>808</v>
      </c>
      <c r="C786" s="5" t="s">
        <v>15</v>
      </c>
      <c r="D786" s="2">
        <v>44053</v>
      </c>
      <c r="E786" s="2" t="s">
        <v>507</v>
      </c>
      <c r="F786" s="1">
        <v>24201</v>
      </c>
      <c r="G786" s="1" t="s">
        <v>664</v>
      </c>
      <c r="H786" s="1" t="s">
        <v>661</v>
      </c>
      <c r="J786" s="2" t="s">
        <v>665</v>
      </c>
      <c r="K786" s="1" t="s">
        <v>666</v>
      </c>
      <c r="L786" s="1" t="s">
        <v>258</v>
      </c>
      <c r="M786" s="1" t="s">
        <v>667</v>
      </c>
      <c r="N786" s="1" t="str">
        <f t="shared" si="12"/>
        <v>JOSIEL NEVES</v>
      </c>
    </row>
    <row r="787" spans="1:14" x14ac:dyDescent="0.3">
      <c r="A787" s="1">
        <v>700420</v>
      </c>
      <c r="B787" s="1" t="s">
        <v>809</v>
      </c>
      <c r="C787" s="5" t="s">
        <v>15</v>
      </c>
      <c r="D787" s="2">
        <v>43318</v>
      </c>
      <c r="E787" s="2" t="s">
        <v>60</v>
      </c>
      <c r="F787" s="1">
        <v>24102</v>
      </c>
      <c r="G787" s="1" t="s">
        <v>669</v>
      </c>
      <c r="H787" s="1" t="s">
        <v>661</v>
      </c>
      <c r="J787" s="2" t="s">
        <v>672</v>
      </c>
      <c r="K787" s="1" t="s">
        <v>666</v>
      </c>
      <c r="L787" s="1" t="s">
        <v>1388</v>
      </c>
      <c r="M787" s="1" t="s">
        <v>1389</v>
      </c>
      <c r="N787" s="1" t="str">
        <f t="shared" si="12"/>
        <v>JUNIO TEIXEIRA /GEOVANI RORIZ</v>
      </c>
    </row>
    <row r="788" spans="1:14" x14ac:dyDescent="0.3">
      <c r="A788" s="1">
        <v>704757</v>
      </c>
      <c r="B788" s="1" t="s">
        <v>810</v>
      </c>
      <c r="C788" s="5" t="s">
        <v>15</v>
      </c>
      <c r="D788" s="2">
        <v>45545</v>
      </c>
      <c r="E788" s="2" t="s">
        <v>31</v>
      </c>
      <c r="F788" s="1">
        <v>39601</v>
      </c>
      <c r="G788" s="1" t="s">
        <v>660</v>
      </c>
      <c r="H788" s="1" t="s">
        <v>661</v>
      </c>
      <c r="J788" s="2" t="s">
        <v>684</v>
      </c>
      <c r="K788" s="1" t="s">
        <v>666</v>
      </c>
      <c r="L788" s="1" t="s">
        <v>258</v>
      </c>
      <c r="M788" s="1" t="s">
        <v>1392</v>
      </c>
      <c r="N788" s="1" t="str">
        <f t="shared" si="12"/>
        <v>ADALTON/JANILSON RORIZ/MARIVALDO</v>
      </c>
    </row>
    <row r="789" spans="1:14" x14ac:dyDescent="0.3">
      <c r="A789" s="1">
        <v>705306</v>
      </c>
      <c r="B789" s="1" t="s">
        <v>1195</v>
      </c>
      <c r="C789" s="5" t="s">
        <v>15</v>
      </c>
      <c r="D789" s="2">
        <v>45762</v>
      </c>
      <c r="E789" s="2" t="s">
        <v>31</v>
      </c>
      <c r="F789" s="1">
        <v>24102</v>
      </c>
      <c r="G789" s="1" t="s">
        <v>669</v>
      </c>
      <c r="H789" s="1" t="s">
        <v>661</v>
      </c>
      <c r="J789" s="2" t="s">
        <v>672</v>
      </c>
      <c r="K789" s="1" t="s">
        <v>666</v>
      </c>
      <c r="L789" s="1" t="s">
        <v>1388</v>
      </c>
      <c r="M789" s="1" t="s">
        <v>1389</v>
      </c>
      <c r="N789" s="1" t="str">
        <f t="shared" si="12"/>
        <v>JUNIO TEIXEIRA /GEOVANI RORIZ</v>
      </c>
    </row>
    <row r="790" spans="1:14" x14ac:dyDescent="0.3">
      <c r="A790" s="1">
        <v>704688</v>
      </c>
      <c r="B790" s="1" t="s">
        <v>811</v>
      </c>
      <c r="C790" s="5" t="s">
        <v>15</v>
      </c>
      <c r="D790" s="2">
        <v>45510</v>
      </c>
      <c r="E790" s="2" t="s">
        <v>31</v>
      </c>
      <c r="F790" s="1">
        <v>39601</v>
      </c>
      <c r="G790" s="1" t="s">
        <v>660</v>
      </c>
      <c r="H790" s="1" t="s">
        <v>661</v>
      </c>
      <c r="J790" s="2" t="s">
        <v>662</v>
      </c>
      <c r="K790" s="1" t="s">
        <v>666</v>
      </c>
      <c r="L790" s="1" t="s">
        <v>258</v>
      </c>
      <c r="N790" s="1" t="str">
        <f t="shared" si="12"/>
        <v>MATHEUS ALMEIDA</v>
      </c>
    </row>
    <row r="791" spans="1:14" x14ac:dyDescent="0.3">
      <c r="A791" s="1">
        <v>705657</v>
      </c>
      <c r="B791" s="1" t="s">
        <v>1425</v>
      </c>
      <c r="C791" s="5" t="s">
        <v>15</v>
      </c>
      <c r="D791" s="2">
        <v>45944</v>
      </c>
      <c r="E791" s="2" t="s">
        <v>31</v>
      </c>
      <c r="F791" s="1">
        <v>24201</v>
      </c>
      <c r="G791" s="1" t="s">
        <v>664</v>
      </c>
      <c r="H791" s="1" t="s">
        <v>661</v>
      </c>
      <c r="J791" s="2" t="s">
        <v>665</v>
      </c>
      <c r="K791" s="1" t="s">
        <v>666</v>
      </c>
      <c r="L791" s="1" t="s">
        <v>258</v>
      </c>
      <c r="M791" s="1" t="s">
        <v>667</v>
      </c>
      <c r="N791" s="1" t="str">
        <f t="shared" si="12"/>
        <v>JOSIEL NEVES</v>
      </c>
    </row>
    <row r="792" spans="1:14" x14ac:dyDescent="0.3">
      <c r="A792" s="1">
        <v>705658</v>
      </c>
      <c r="B792" s="1" t="s">
        <v>1426</v>
      </c>
      <c r="C792" s="5" t="s">
        <v>92</v>
      </c>
      <c r="D792" s="2">
        <v>45944</v>
      </c>
      <c r="E792" s="2" t="s">
        <v>31</v>
      </c>
      <c r="F792" s="1">
        <v>39601</v>
      </c>
      <c r="G792" s="1" t="s">
        <v>660</v>
      </c>
      <c r="H792" s="1" t="s">
        <v>661</v>
      </c>
      <c r="I792" s="2">
        <v>46033</v>
      </c>
      <c r="J792" s="2" t="s">
        <v>684</v>
      </c>
      <c r="K792" s="1" t="s">
        <v>666</v>
      </c>
      <c r="L792" s="1" t="s">
        <v>258</v>
      </c>
      <c r="M792" s="1" t="s">
        <v>1392</v>
      </c>
      <c r="N792" s="1" t="str">
        <f t="shared" si="12"/>
        <v>ADALTON/JANILSON RORIZ/MARIVALDO</v>
      </c>
    </row>
    <row r="793" spans="1:14" x14ac:dyDescent="0.3">
      <c r="A793" s="1">
        <v>101321</v>
      </c>
      <c r="B793" s="1" t="s">
        <v>812</v>
      </c>
      <c r="C793" s="5" t="s">
        <v>15</v>
      </c>
      <c r="D793" s="2">
        <v>42863</v>
      </c>
      <c r="E793" s="2" t="s">
        <v>507</v>
      </c>
      <c r="F793" s="1">
        <v>24201</v>
      </c>
      <c r="G793" s="1" t="s">
        <v>664</v>
      </c>
      <c r="H793" s="1" t="s">
        <v>661</v>
      </c>
      <c r="J793" s="2" t="s">
        <v>665</v>
      </c>
      <c r="K793" s="1" t="s">
        <v>666</v>
      </c>
      <c r="L793" s="1" t="s">
        <v>258</v>
      </c>
      <c r="M793" s="1" t="s">
        <v>667</v>
      </c>
      <c r="N793" s="1" t="str">
        <f t="shared" si="12"/>
        <v>JOSIEL NEVES</v>
      </c>
    </row>
    <row r="794" spans="1:14" x14ac:dyDescent="0.3">
      <c r="A794" s="1">
        <v>700822</v>
      </c>
      <c r="B794" s="1" t="s">
        <v>813</v>
      </c>
      <c r="C794" s="5" t="s">
        <v>15</v>
      </c>
      <c r="D794" s="2">
        <v>43234</v>
      </c>
      <c r="E794" s="2" t="s">
        <v>16</v>
      </c>
      <c r="F794" s="1">
        <v>24102</v>
      </c>
      <c r="G794" s="1" t="s">
        <v>669</v>
      </c>
      <c r="H794" s="1" t="s">
        <v>661</v>
      </c>
      <c r="J794" s="2" t="s">
        <v>682</v>
      </c>
      <c r="K794" s="1" t="s">
        <v>666</v>
      </c>
      <c r="L794" s="1" t="s">
        <v>1390</v>
      </c>
      <c r="M794" s="1" t="s">
        <v>1391</v>
      </c>
      <c r="N794" s="1" t="str">
        <f t="shared" si="12"/>
        <v>ALCENO JUNIOR/JOÃO MARCOS</v>
      </c>
    </row>
    <row r="795" spans="1:14" x14ac:dyDescent="0.3">
      <c r="A795" s="1">
        <v>703672</v>
      </c>
      <c r="B795" s="1" t="s">
        <v>814</v>
      </c>
      <c r="C795" s="5" t="s">
        <v>15</v>
      </c>
      <c r="D795" s="2">
        <v>45019</v>
      </c>
      <c r="E795" s="2" t="s">
        <v>371</v>
      </c>
      <c r="F795" s="1">
        <v>39601</v>
      </c>
      <c r="G795" s="1" t="s">
        <v>660</v>
      </c>
      <c r="H795" s="1" t="s">
        <v>661</v>
      </c>
      <c r="J795" s="2" t="s">
        <v>684</v>
      </c>
      <c r="K795" s="1" t="s">
        <v>666</v>
      </c>
      <c r="L795" s="1" t="s">
        <v>258</v>
      </c>
      <c r="M795" s="1" t="s">
        <v>1392</v>
      </c>
      <c r="N795" s="1" t="str">
        <f t="shared" si="12"/>
        <v>ADALTON/JANILSON RORIZ/MARIVALDO</v>
      </c>
    </row>
    <row r="796" spans="1:14" x14ac:dyDescent="0.3">
      <c r="A796" s="1">
        <v>700644</v>
      </c>
      <c r="B796" s="1" t="s">
        <v>815</v>
      </c>
      <c r="C796" s="5" t="s">
        <v>15</v>
      </c>
      <c r="D796" s="2">
        <v>43374</v>
      </c>
      <c r="E796" s="2" t="s">
        <v>31</v>
      </c>
      <c r="F796" s="1">
        <v>24102</v>
      </c>
      <c r="G796" s="1" t="s">
        <v>669</v>
      </c>
      <c r="H796" s="1" t="s">
        <v>661</v>
      </c>
      <c r="J796" s="2" t="s">
        <v>680</v>
      </c>
      <c r="K796" s="1" t="s">
        <v>666</v>
      </c>
      <c r="L796" s="1" t="s">
        <v>1388</v>
      </c>
      <c r="M796" s="1" t="s">
        <v>1389</v>
      </c>
      <c r="N796" s="1" t="str">
        <f t="shared" si="12"/>
        <v>JUNIO TEIXEIRA /GEOVANI RORIZ</v>
      </c>
    </row>
    <row r="797" spans="1:14" x14ac:dyDescent="0.3">
      <c r="A797" s="1">
        <v>705292</v>
      </c>
      <c r="B797" s="1" t="s">
        <v>1196</v>
      </c>
      <c r="C797" s="5" t="s">
        <v>15</v>
      </c>
      <c r="D797" s="2">
        <v>45762</v>
      </c>
      <c r="E797" s="2" t="s">
        <v>230</v>
      </c>
      <c r="F797" s="1">
        <v>39601</v>
      </c>
      <c r="G797" s="1" t="s">
        <v>660</v>
      </c>
      <c r="H797" s="1" t="s">
        <v>661</v>
      </c>
      <c r="J797" s="2" t="s">
        <v>684</v>
      </c>
      <c r="K797" s="1" t="s">
        <v>666</v>
      </c>
      <c r="L797" s="1" t="s">
        <v>258</v>
      </c>
      <c r="M797" s="1" t="s">
        <v>1392</v>
      </c>
      <c r="N797" s="1" t="str">
        <f t="shared" si="12"/>
        <v>ADALTON/JANILSON RORIZ/MARIVALDO</v>
      </c>
    </row>
    <row r="798" spans="1:14" x14ac:dyDescent="0.3">
      <c r="A798" s="1">
        <v>704112</v>
      </c>
      <c r="B798" s="1" t="s">
        <v>816</v>
      </c>
      <c r="C798" s="5" t="s">
        <v>15</v>
      </c>
      <c r="D798" s="2">
        <v>45215</v>
      </c>
      <c r="E798" s="2" t="s">
        <v>109</v>
      </c>
      <c r="F798" s="1">
        <v>32102</v>
      </c>
      <c r="G798" s="1" t="s">
        <v>674</v>
      </c>
      <c r="H798" s="1" t="s">
        <v>661</v>
      </c>
      <c r="J798" s="2" t="s">
        <v>675</v>
      </c>
      <c r="K798" s="1" t="s">
        <v>25</v>
      </c>
      <c r="L798" s="1" t="s">
        <v>1369</v>
      </c>
      <c r="M798" s="1" t="s">
        <v>676</v>
      </c>
      <c r="N798" s="1" t="str">
        <f t="shared" si="12"/>
        <v>MARCELO DOURADO</v>
      </c>
    </row>
    <row r="799" spans="1:14" x14ac:dyDescent="0.3">
      <c r="A799" s="1">
        <v>700166</v>
      </c>
      <c r="B799" s="1" t="s">
        <v>818</v>
      </c>
      <c r="C799" s="5" t="s">
        <v>15</v>
      </c>
      <c r="D799" s="2">
        <v>43234</v>
      </c>
      <c r="E799" s="2" t="s">
        <v>255</v>
      </c>
      <c r="F799" s="1">
        <v>39601</v>
      </c>
      <c r="G799" s="1" t="s">
        <v>660</v>
      </c>
      <c r="H799" s="1" t="s">
        <v>661</v>
      </c>
      <c r="J799" s="2" t="s">
        <v>684</v>
      </c>
      <c r="K799" s="1" t="s">
        <v>666</v>
      </c>
      <c r="L799" s="1" t="s">
        <v>258</v>
      </c>
      <c r="M799" s="1" t="s">
        <v>1392</v>
      </c>
      <c r="N799" s="1" t="str">
        <f t="shared" si="12"/>
        <v>ADALTON/JANILSON RORIZ/MARIVALDO</v>
      </c>
    </row>
    <row r="800" spans="1:14" x14ac:dyDescent="0.3">
      <c r="A800" s="1">
        <v>705409</v>
      </c>
      <c r="B800" s="1" t="s">
        <v>1248</v>
      </c>
      <c r="C800" s="5" t="s">
        <v>15</v>
      </c>
      <c r="D800" s="2">
        <v>45791</v>
      </c>
      <c r="E800" s="2" t="s">
        <v>31</v>
      </c>
      <c r="F800" s="1">
        <v>39601</v>
      </c>
      <c r="G800" s="1" t="s">
        <v>660</v>
      </c>
      <c r="H800" s="1" t="s">
        <v>661</v>
      </c>
      <c r="J800" s="2" t="s">
        <v>662</v>
      </c>
      <c r="K800" s="1" t="s">
        <v>666</v>
      </c>
      <c r="L800" s="1" t="s">
        <v>258</v>
      </c>
      <c r="N800" s="1" t="str">
        <f t="shared" si="12"/>
        <v>MATHEUS ALMEIDA</v>
      </c>
    </row>
    <row r="801" spans="1:14" x14ac:dyDescent="0.3">
      <c r="A801" s="1">
        <v>703108</v>
      </c>
      <c r="B801" s="1" t="s">
        <v>820</v>
      </c>
      <c r="C801" s="5" t="s">
        <v>15</v>
      </c>
      <c r="D801" s="2">
        <v>44713</v>
      </c>
      <c r="E801" s="2" t="s">
        <v>418</v>
      </c>
      <c r="F801" s="1">
        <v>39601</v>
      </c>
      <c r="G801" s="1" t="s">
        <v>660</v>
      </c>
      <c r="H801" s="1" t="s">
        <v>661</v>
      </c>
      <c r="J801" s="2" t="s">
        <v>684</v>
      </c>
      <c r="K801" s="1" t="s">
        <v>666</v>
      </c>
      <c r="L801" s="1" t="s">
        <v>258</v>
      </c>
      <c r="M801" s="1" t="s">
        <v>1392</v>
      </c>
      <c r="N801" s="1" t="str">
        <f t="shared" si="12"/>
        <v>ADALTON/JANILSON RORIZ/MARIVALDO</v>
      </c>
    </row>
    <row r="802" spans="1:14" x14ac:dyDescent="0.3">
      <c r="A802" s="1">
        <v>101708</v>
      </c>
      <c r="B802" s="1" t="s">
        <v>821</v>
      </c>
      <c r="C802" s="5" t="s">
        <v>15</v>
      </c>
      <c r="D802" s="2">
        <v>43060</v>
      </c>
      <c r="E802" s="2" t="s">
        <v>31</v>
      </c>
      <c r="F802" s="1">
        <v>39601</v>
      </c>
      <c r="G802" s="1" t="s">
        <v>660</v>
      </c>
      <c r="H802" s="1" t="s">
        <v>661</v>
      </c>
      <c r="J802" s="2" t="s">
        <v>672</v>
      </c>
      <c r="K802" s="1" t="s">
        <v>666</v>
      </c>
      <c r="L802" s="1" t="s">
        <v>1388</v>
      </c>
      <c r="M802" s="1" t="s">
        <v>1389</v>
      </c>
      <c r="N802" s="1" t="str">
        <f t="shared" si="12"/>
        <v>JUNIO TEIXEIRA /GEOVANI RORIZ</v>
      </c>
    </row>
    <row r="803" spans="1:14" x14ac:dyDescent="0.3">
      <c r="A803" s="1">
        <v>701752</v>
      </c>
      <c r="B803" s="1" t="s">
        <v>822</v>
      </c>
      <c r="C803" s="5" t="s">
        <v>15</v>
      </c>
      <c r="D803" s="2">
        <v>44053</v>
      </c>
      <c r="E803" s="2" t="s">
        <v>219</v>
      </c>
      <c r="F803" s="1">
        <v>32102</v>
      </c>
      <c r="G803" s="1" t="s">
        <v>674</v>
      </c>
      <c r="H803" s="1" t="s">
        <v>661</v>
      </c>
      <c r="J803" s="2" t="s">
        <v>675</v>
      </c>
      <c r="K803" s="1" t="s">
        <v>25</v>
      </c>
      <c r="L803" s="1" t="s">
        <v>1369</v>
      </c>
      <c r="M803" s="1" t="s">
        <v>676</v>
      </c>
      <c r="N803" s="1" t="str">
        <f t="shared" si="12"/>
        <v>MARCELO DOURADO</v>
      </c>
    </row>
    <row r="804" spans="1:14" x14ac:dyDescent="0.3">
      <c r="A804" s="1">
        <v>705659</v>
      </c>
      <c r="B804" s="1" t="s">
        <v>1427</v>
      </c>
      <c r="C804" s="5" t="s">
        <v>92</v>
      </c>
      <c r="D804" s="2">
        <v>45944</v>
      </c>
      <c r="E804" s="2" t="s">
        <v>31</v>
      </c>
      <c r="F804" s="1">
        <v>39601</v>
      </c>
      <c r="G804" s="1" t="s">
        <v>660</v>
      </c>
      <c r="H804" s="1" t="s">
        <v>661</v>
      </c>
      <c r="I804" s="2">
        <v>46033</v>
      </c>
      <c r="J804" s="2" t="s">
        <v>684</v>
      </c>
      <c r="K804" s="1" t="s">
        <v>666</v>
      </c>
      <c r="L804" s="1" t="s">
        <v>258</v>
      </c>
      <c r="M804" s="1" t="s">
        <v>1392</v>
      </c>
      <c r="N804" s="1" t="str">
        <f t="shared" si="12"/>
        <v>ADALTON/JANILSON RORIZ/MARIVALDO</v>
      </c>
    </row>
    <row r="805" spans="1:14" x14ac:dyDescent="0.3">
      <c r="A805" s="1">
        <v>705660</v>
      </c>
      <c r="B805" s="1" t="s">
        <v>1428</v>
      </c>
      <c r="C805" s="5" t="s">
        <v>92</v>
      </c>
      <c r="D805" s="2">
        <v>45944</v>
      </c>
      <c r="E805" s="2" t="s">
        <v>31</v>
      </c>
      <c r="F805" s="1">
        <v>39601</v>
      </c>
      <c r="G805" s="1" t="s">
        <v>660</v>
      </c>
      <c r="H805" s="1" t="s">
        <v>661</v>
      </c>
      <c r="I805" s="2">
        <v>46033</v>
      </c>
      <c r="J805" s="2" t="s">
        <v>662</v>
      </c>
      <c r="K805" s="1" t="s">
        <v>666</v>
      </c>
      <c r="L805" s="1" t="s">
        <v>258</v>
      </c>
      <c r="N805" s="1" t="str">
        <f t="shared" si="12"/>
        <v>MATHEUS ALMEIDA</v>
      </c>
    </row>
    <row r="806" spans="1:14" x14ac:dyDescent="0.3">
      <c r="A806" s="1">
        <v>703056</v>
      </c>
      <c r="B806" s="1" t="s">
        <v>823</v>
      </c>
      <c r="C806" s="5" t="s">
        <v>15</v>
      </c>
      <c r="D806" s="2">
        <v>44699</v>
      </c>
      <c r="E806" s="2" t="s">
        <v>686</v>
      </c>
      <c r="F806" s="1">
        <v>39601</v>
      </c>
      <c r="G806" s="1" t="s">
        <v>660</v>
      </c>
      <c r="H806" s="1" t="s">
        <v>661</v>
      </c>
      <c r="J806" s="2" t="s">
        <v>684</v>
      </c>
      <c r="K806" s="1" t="s">
        <v>666</v>
      </c>
      <c r="L806" s="1" t="s">
        <v>258</v>
      </c>
      <c r="M806" s="1" t="s">
        <v>1392</v>
      </c>
      <c r="N806" s="1" t="str">
        <f t="shared" si="12"/>
        <v>ADALTON/JANILSON RORIZ/MARIVALDO</v>
      </c>
    </row>
    <row r="807" spans="1:14" x14ac:dyDescent="0.3">
      <c r="A807" s="1">
        <v>706573</v>
      </c>
      <c r="B807" s="1" t="s">
        <v>824</v>
      </c>
      <c r="C807" s="5" t="s">
        <v>15</v>
      </c>
      <c r="D807" s="2">
        <v>45489</v>
      </c>
      <c r="E807" s="2" t="s">
        <v>418</v>
      </c>
      <c r="F807" s="1">
        <v>39601</v>
      </c>
      <c r="G807" s="1" t="s">
        <v>660</v>
      </c>
      <c r="H807" s="1" t="s">
        <v>661</v>
      </c>
      <c r="J807" s="2" t="s">
        <v>684</v>
      </c>
      <c r="K807" s="1" t="s">
        <v>666</v>
      </c>
      <c r="L807" s="1" t="s">
        <v>258</v>
      </c>
      <c r="M807" s="1" t="s">
        <v>1392</v>
      </c>
      <c r="N807" s="1" t="str">
        <f t="shared" si="12"/>
        <v>ADALTON/JANILSON RORIZ/MARIVALDO</v>
      </c>
    </row>
    <row r="808" spans="1:14" x14ac:dyDescent="0.3">
      <c r="A808" s="1">
        <v>101761</v>
      </c>
      <c r="B808" s="1" t="s">
        <v>825</v>
      </c>
      <c r="C808" s="5" t="s">
        <v>15</v>
      </c>
      <c r="D808" s="2">
        <v>43073</v>
      </c>
      <c r="E808" s="2" t="s">
        <v>60</v>
      </c>
      <c r="F808" s="1">
        <v>24102</v>
      </c>
      <c r="G808" s="1" t="s">
        <v>669</v>
      </c>
      <c r="H808" s="1" t="s">
        <v>661</v>
      </c>
      <c r="J808" s="2" t="s">
        <v>672</v>
      </c>
      <c r="K808" s="1" t="s">
        <v>666</v>
      </c>
      <c r="L808" s="1" t="s">
        <v>1388</v>
      </c>
      <c r="M808" s="1" t="s">
        <v>1389</v>
      </c>
      <c r="N808" s="1" t="str">
        <f t="shared" si="12"/>
        <v>JUNIO TEIXEIRA /GEOVANI RORIZ</v>
      </c>
    </row>
    <row r="809" spans="1:14" x14ac:dyDescent="0.3">
      <c r="A809" s="1">
        <v>705026</v>
      </c>
      <c r="B809" s="1" t="s">
        <v>827</v>
      </c>
      <c r="C809" s="5" t="s">
        <v>15</v>
      </c>
      <c r="D809" s="2">
        <v>45636</v>
      </c>
      <c r="E809" s="2" t="s">
        <v>31</v>
      </c>
      <c r="F809" s="1">
        <v>24102</v>
      </c>
      <c r="G809" s="1" t="s">
        <v>669</v>
      </c>
      <c r="H809" s="1" t="s">
        <v>661</v>
      </c>
      <c r="J809" s="2" t="s">
        <v>672</v>
      </c>
      <c r="K809" s="1" t="s">
        <v>666</v>
      </c>
      <c r="L809" s="1" t="s">
        <v>1388</v>
      </c>
      <c r="M809" s="1" t="s">
        <v>1389</v>
      </c>
      <c r="N809" s="1" t="str">
        <f t="shared" si="12"/>
        <v>JUNIO TEIXEIRA /GEOVANI RORIZ</v>
      </c>
    </row>
    <row r="810" spans="1:14" x14ac:dyDescent="0.3">
      <c r="A810" s="1">
        <v>705446</v>
      </c>
      <c r="B810" s="1" t="s">
        <v>1249</v>
      </c>
      <c r="C810" s="5" t="s">
        <v>15</v>
      </c>
      <c r="D810" s="2">
        <v>45797</v>
      </c>
      <c r="E810" s="2" t="s">
        <v>31</v>
      </c>
      <c r="F810" s="1">
        <v>24102</v>
      </c>
      <c r="G810" s="1" t="s">
        <v>669</v>
      </c>
      <c r="H810" s="1" t="s">
        <v>661</v>
      </c>
      <c r="J810" s="2" t="s">
        <v>672</v>
      </c>
      <c r="K810" s="1" t="s">
        <v>666</v>
      </c>
      <c r="L810" s="1" t="s">
        <v>1388</v>
      </c>
      <c r="M810" s="1" t="s">
        <v>1389</v>
      </c>
      <c r="N810" s="1" t="str">
        <f t="shared" si="12"/>
        <v>JUNIO TEIXEIRA /GEOVANI RORIZ</v>
      </c>
    </row>
    <row r="811" spans="1:14" x14ac:dyDescent="0.3">
      <c r="A811" s="1">
        <v>700501</v>
      </c>
      <c r="B811" s="1" t="s">
        <v>828</v>
      </c>
      <c r="C811" s="5" t="s">
        <v>15</v>
      </c>
      <c r="D811" s="2">
        <v>43346</v>
      </c>
      <c r="E811" s="2" t="s">
        <v>60</v>
      </c>
      <c r="F811" s="1">
        <v>24102</v>
      </c>
      <c r="G811" s="1" t="s">
        <v>669</v>
      </c>
      <c r="H811" s="1" t="s">
        <v>661</v>
      </c>
      <c r="J811" s="2" t="s">
        <v>672</v>
      </c>
      <c r="K811" s="1" t="s">
        <v>666</v>
      </c>
      <c r="L811" s="1" t="s">
        <v>1388</v>
      </c>
      <c r="M811" s="1" t="s">
        <v>1389</v>
      </c>
      <c r="N811" s="1" t="str">
        <f t="shared" si="12"/>
        <v>JUNIO TEIXEIRA /GEOVANI RORIZ</v>
      </c>
    </row>
    <row r="812" spans="1:14" x14ac:dyDescent="0.3">
      <c r="A812" s="1">
        <v>704843</v>
      </c>
      <c r="B812" s="1" t="s">
        <v>829</v>
      </c>
      <c r="C812" s="5" t="s">
        <v>15</v>
      </c>
      <c r="D812" s="2">
        <v>45572</v>
      </c>
      <c r="E812" s="2" t="s">
        <v>138</v>
      </c>
      <c r="F812" s="1">
        <v>24102</v>
      </c>
      <c r="G812" s="1" t="s">
        <v>669</v>
      </c>
      <c r="H812" s="1" t="s">
        <v>661</v>
      </c>
      <c r="J812" s="2" t="s">
        <v>682</v>
      </c>
      <c r="K812" s="1" t="s">
        <v>666</v>
      </c>
      <c r="L812" s="1" t="s">
        <v>1390</v>
      </c>
      <c r="M812" s="1" t="s">
        <v>1391</v>
      </c>
      <c r="N812" s="1" t="str">
        <f t="shared" si="12"/>
        <v>ALCENO JUNIOR/JOÃO MARCOS</v>
      </c>
    </row>
    <row r="813" spans="1:14" x14ac:dyDescent="0.3">
      <c r="A813" s="1">
        <v>705336</v>
      </c>
      <c r="B813" s="1" t="s">
        <v>1250</v>
      </c>
      <c r="C813" s="5" t="s">
        <v>15</v>
      </c>
      <c r="D813" s="2">
        <v>45784</v>
      </c>
      <c r="E813" s="2" t="s">
        <v>31</v>
      </c>
      <c r="F813" s="1">
        <v>39601</v>
      </c>
      <c r="G813" s="1" t="s">
        <v>660</v>
      </c>
      <c r="H813" s="1" t="s">
        <v>661</v>
      </c>
      <c r="J813" s="2" t="s">
        <v>684</v>
      </c>
      <c r="K813" s="1" t="s">
        <v>666</v>
      </c>
      <c r="L813" s="1" t="s">
        <v>258</v>
      </c>
      <c r="M813" s="1" t="s">
        <v>1392</v>
      </c>
      <c r="N813" s="1" t="str">
        <f t="shared" si="12"/>
        <v>ADALTON/JANILSON RORIZ/MARIVALDO</v>
      </c>
    </row>
    <row r="814" spans="1:14" x14ac:dyDescent="0.3">
      <c r="A814" s="1">
        <v>705346</v>
      </c>
      <c r="B814" s="1" t="s">
        <v>1251</v>
      </c>
      <c r="C814" s="5" t="s">
        <v>15</v>
      </c>
      <c r="D814" s="2">
        <v>45784</v>
      </c>
      <c r="E814" s="2" t="s">
        <v>31</v>
      </c>
      <c r="F814" s="1">
        <v>39601</v>
      </c>
      <c r="G814" s="1" t="s">
        <v>660</v>
      </c>
      <c r="H814" s="1" t="s">
        <v>661</v>
      </c>
      <c r="J814" s="2" t="s">
        <v>684</v>
      </c>
      <c r="K814" s="1" t="s">
        <v>666</v>
      </c>
      <c r="L814" s="1" t="s">
        <v>258</v>
      </c>
      <c r="M814" s="1" t="s">
        <v>1392</v>
      </c>
      <c r="N814" s="1" t="str">
        <f t="shared" si="12"/>
        <v>ADALTON/JANILSON RORIZ/MARIVALDO</v>
      </c>
    </row>
    <row r="815" spans="1:14" x14ac:dyDescent="0.3">
      <c r="A815" s="1">
        <v>703182</v>
      </c>
      <c r="B815" s="1" t="s">
        <v>830</v>
      </c>
      <c r="C815" s="5" t="s">
        <v>15</v>
      </c>
      <c r="D815" s="2">
        <v>44753</v>
      </c>
      <c r="E815" s="2" t="s">
        <v>686</v>
      </c>
      <c r="F815" s="1">
        <v>39601</v>
      </c>
      <c r="G815" s="1" t="s">
        <v>660</v>
      </c>
      <c r="H815" s="1" t="s">
        <v>661</v>
      </c>
      <c r="J815" s="2" t="s">
        <v>684</v>
      </c>
      <c r="K815" s="1" t="s">
        <v>666</v>
      </c>
      <c r="L815" s="1" t="s">
        <v>258</v>
      </c>
      <c r="M815" s="1" t="s">
        <v>1392</v>
      </c>
      <c r="N815" s="1" t="str">
        <f t="shared" si="12"/>
        <v>ADALTON/JANILSON RORIZ/MARIVALDO</v>
      </c>
    </row>
    <row r="816" spans="1:14" x14ac:dyDescent="0.3">
      <c r="A816" s="1">
        <v>704125</v>
      </c>
      <c r="B816" s="1" t="s">
        <v>831</v>
      </c>
      <c r="C816" s="5" t="s">
        <v>15</v>
      </c>
      <c r="D816" s="2">
        <v>45238</v>
      </c>
      <c r="E816" s="2" t="s">
        <v>138</v>
      </c>
      <c r="F816" s="1">
        <v>24102</v>
      </c>
      <c r="G816" s="1" t="s">
        <v>669</v>
      </c>
      <c r="H816" s="1" t="s">
        <v>661</v>
      </c>
      <c r="J816" s="2" t="s">
        <v>682</v>
      </c>
      <c r="K816" s="1" t="s">
        <v>666</v>
      </c>
      <c r="L816" s="1" t="s">
        <v>1390</v>
      </c>
      <c r="M816" s="1" t="s">
        <v>1391</v>
      </c>
      <c r="N816" s="1" t="str">
        <f t="shared" si="12"/>
        <v>ALCENO JUNIOR/JOÃO MARCOS</v>
      </c>
    </row>
    <row r="817" spans="1:14" x14ac:dyDescent="0.3">
      <c r="A817" s="1">
        <v>704928</v>
      </c>
      <c r="B817" s="1" t="s">
        <v>832</v>
      </c>
      <c r="C817" s="5" t="s">
        <v>15</v>
      </c>
      <c r="D817" s="2">
        <v>45601</v>
      </c>
      <c r="E817" s="2" t="s">
        <v>418</v>
      </c>
      <c r="F817" s="1">
        <v>39601</v>
      </c>
      <c r="G817" s="1" t="s">
        <v>660</v>
      </c>
      <c r="H817" s="1" t="s">
        <v>661</v>
      </c>
      <c r="J817" s="2" t="s">
        <v>662</v>
      </c>
      <c r="K817" s="1" t="s">
        <v>666</v>
      </c>
      <c r="L817" s="1" t="s">
        <v>258</v>
      </c>
      <c r="N817" s="1" t="str">
        <f t="shared" si="12"/>
        <v>MATHEUS ALMEIDA</v>
      </c>
    </row>
    <row r="818" spans="1:14" x14ac:dyDescent="0.3">
      <c r="A818" s="1">
        <v>705087</v>
      </c>
      <c r="B818" s="1" t="s">
        <v>833</v>
      </c>
      <c r="C818" s="5" t="s">
        <v>15</v>
      </c>
      <c r="D818" s="2">
        <v>45670</v>
      </c>
      <c r="E818" s="2" t="s">
        <v>31</v>
      </c>
      <c r="F818" s="1">
        <v>39601</v>
      </c>
      <c r="G818" s="1" t="s">
        <v>660</v>
      </c>
      <c r="H818" s="1" t="s">
        <v>661</v>
      </c>
      <c r="J818" s="2" t="s">
        <v>672</v>
      </c>
      <c r="K818" s="1" t="s">
        <v>666</v>
      </c>
      <c r="L818" s="1" t="s">
        <v>1388</v>
      </c>
      <c r="M818" s="1" t="s">
        <v>1389</v>
      </c>
      <c r="N818" s="1" t="str">
        <f t="shared" si="12"/>
        <v>JUNIO TEIXEIRA /GEOVANI RORIZ</v>
      </c>
    </row>
    <row r="819" spans="1:14" x14ac:dyDescent="0.3">
      <c r="A819" s="1">
        <v>705681</v>
      </c>
      <c r="B819" s="1" t="s">
        <v>1429</v>
      </c>
      <c r="C819" s="5" t="s">
        <v>15</v>
      </c>
      <c r="D819" s="2">
        <v>45944</v>
      </c>
      <c r="E819" s="2" t="s">
        <v>31</v>
      </c>
      <c r="F819" s="1">
        <v>39601</v>
      </c>
      <c r="G819" s="1" t="s">
        <v>660</v>
      </c>
      <c r="H819" s="1" t="s">
        <v>661</v>
      </c>
      <c r="J819" s="2" t="s">
        <v>662</v>
      </c>
      <c r="K819" s="1" t="s">
        <v>666</v>
      </c>
      <c r="L819" s="1" t="s">
        <v>258</v>
      </c>
      <c r="N819" s="1" t="str">
        <f t="shared" si="12"/>
        <v>MATHEUS ALMEIDA</v>
      </c>
    </row>
    <row r="820" spans="1:14" x14ac:dyDescent="0.3">
      <c r="A820" s="1">
        <v>703005</v>
      </c>
      <c r="B820" s="1" t="s">
        <v>834</v>
      </c>
      <c r="C820" s="5" t="s">
        <v>15</v>
      </c>
      <c r="D820" s="2">
        <v>44691</v>
      </c>
      <c r="E820" s="2" t="s">
        <v>146</v>
      </c>
      <c r="F820" s="1">
        <v>24102</v>
      </c>
      <c r="G820" s="1" t="s">
        <v>669</v>
      </c>
      <c r="H820" s="1" t="s">
        <v>661</v>
      </c>
      <c r="J820" s="2" t="s">
        <v>697</v>
      </c>
      <c r="K820" s="1" t="s">
        <v>666</v>
      </c>
      <c r="L820" s="1" t="s">
        <v>1390</v>
      </c>
      <c r="N820" s="1" t="str">
        <f t="shared" si="12"/>
        <v>JOÃO FILHO</v>
      </c>
    </row>
    <row r="821" spans="1:14" x14ac:dyDescent="0.3">
      <c r="A821" s="1">
        <v>702606</v>
      </c>
      <c r="B821" s="1" t="s">
        <v>835</v>
      </c>
      <c r="C821" s="5" t="s">
        <v>15</v>
      </c>
      <c r="D821" s="2">
        <v>44487</v>
      </c>
      <c r="E821" s="2" t="s">
        <v>507</v>
      </c>
      <c r="F821" s="1">
        <v>24201</v>
      </c>
      <c r="G821" s="1" t="s">
        <v>664</v>
      </c>
      <c r="H821" s="1" t="s">
        <v>661</v>
      </c>
      <c r="J821" s="2" t="s">
        <v>665</v>
      </c>
      <c r="K821" s="1" t="s">
        <v>666</v>
      </c>
      <c r="L821" s="1" t="s">
        <v>258</v>
      </c>
      <c r="M821" s="1" t="s">
        <v>667</v>
      </c>
      <c r="N821" s="1" t="str">
        <f t="shared" si="12"/>
        <v>JOSIEL NEVES</v>
      </c>
    </row>
    <row r="822" spans="1:14" x14ac:dyDescent="0.3">
      <c r="A822" s="1">
        <v>702143</v>
      </c>
      <c r="B822" s="1" t="s">
        <v>836</v>
      </c>
      <c r="C822" s="5" t="s">
        <v>15</v>
      </c>
      <c r="D822" s="2">
        <v>44299</v>
      </c>
      <c r="E822" s="2" t="s">
        <v>138</v>
      </c>
      <c r="F822" s="1">
        <v>24102</v>
      </c>
      <c r="G822" s="1" t="s">
        <v>669</v>
      </c>
      <c r="H822" s="1" t="s">
        <v>661</v>
      </c>
      <c r="J822" s="2" t="s">
        <v>682</v>
      </c>
      <c r="K822" s="1" t="s">
        <v>666</v>
      </c>
      <c r="L822" s="1" t="s">
        <v>1390</v>
      </c>
      <c r="M822" s="1" t="s">
        <v>1391</v>
      </c>
      <c r="N822" s="1" t="str">
        <f t="shared" si="12"/>
        <v>ALCENO JUNIOR/JOÃO MARCOS</v>
      </c>
    </row>
    <row r="823" spans="1:14" x14ac:dyDescent="0.3">
      <c r="A823" s="1">
        <v>705394</v>
      </c>
      <c r="B823" s="1" t="s">
        <v>1252</v>
      </c>
      <c r="C823" s="5" t="s">
        <v>15</v>
      </c>
      <c r="D823" s="2">
        <v>45791</v>
      </c>
      <c r="E823" s="2" t="s">
        <v>31</v>
      </c>
      <c r="F823" s="1">
        <v>39601</v>
      </c>
      <c r="G823" s="1" t="s">
        <v>660</v>
      </c>
      <c r="H823" s="1" t="s">
        <v>661</v>
      </c>
      <c r="J823" s="2" t="s">
        <v>662</v>
      </c>
      <c r="K823" s="1" t="s">
        <v>666</v>
      </c>
      <c r="L823" s="1" t="s">
        <v>258</v>
      </c>
      <c r="N823" s="1" t="str">
        <f t="shared" si="12"/>
        <v>MATHEUS ALMEIDA</v>
      </c>
    </row>
    <row r="824" spans="1:14" x14ac:dyDescent="0.3">
      <c r="A824" s="1">
        <v>705549</v>
      </c>
      <c r="B824" s="1" t="s">
        <v>1334</v>
      </c>
      <c r="C824" s="5" t="s">
        <v>15</v>
      </c>
      <c r="D824" s="2">
        <v>45881</v>
      </c>
      <c r="E824" s="2" t="s">
        <v>16</v>
      </c>
      <c r="F824" s="1">
        <v>24102</v>
      </c>
      <c r="G824" s="1" t="s">
        <v>669</v>
      </c>
      <c r="H824" s="1" t="s">
        <v>661</v>
      </c>
      <c r="J824" s="2" t="s">
        <v>682</v>
      </c>
      <c r="K824" s="1" t="s">
        <v>666</v>
      </c>
      <c r="L824" s="1" t="s">
        <v>1390</v>
      </c>
      <c r="M824" s="1" t="s">
        <v>1391</v>
      </c>
      <c r="N824" s="1" t="str">
        <f t="shared" si="12"/>
        <v>ALCENO JUNIOR/JOÃO MARCOS</v>
      </c>
    </row>
    <row r="825" spans="1:14" x14ac:dyDescent="0.3">
      <c r="A825" s="1">
        <v>703708</v>
      </c>
      <c r="B825" s="1" t="s">
        <v>837</v>
      </c>
      <c r="C825" s="5" t="s">
        <v>15</v>
      </c>
      <c r="D825" s="2">
        <v>45019</v>
      </c>
      <c r="E825" s="2" t="s">
        <v>686</v>
      </c>
      <c r="F825" s="1">
        <v>39602</v>
      </c>
      <c r="G825" s="1" t="s">
        <v>699</v>
      </c>
      <c r="H825" s="1" t="s">
        <v>661</v>
      </c>
      <c r="J825" s="2" t="s">
        <v>700</v>
      </c>
      <c r="K825" s="1" t="s">
        <v>666</v>
      </c>
      <c r="L825" s="1" t="s">
        <v>258</v>
      </c>
      <c r="M825" s="1" t="s">
        <v>701</v>
      </c>
      <c r="N825" s="1" t="str">
        <f t="shared" si="12"/>
        <v>IURY GUEDES</v>
      </c>
    </row>
    <row r="826" spans="1:14" x14ac:dyDescent="0.3">
      <c r="A826" s="1">
        <v>703284</v>
      </c>
      <c r="B826" s="1" t="s">
        <v>838</v>
      </c>
      <c r="C826" s="5" t="s">
        <v>15</v>
      </c>
      <c r="D826" s="2">
        <v>44788</v>
      </c>
      <c r="E826" s="2" t="s">
        <v>60</v>
      </c>
      <c r="F826" s="1">
        <v>24102</v>
      </c>
      <c r="G826" s="1" t="s">
        <v>669</v>
      </c>
      <c r="H826" s="1" t="s">
        <v>661</v>
      </c>
      <c r="J826" s="2" t="s">
        <v>697</v>
      </c>
      <c r="K826" s="1" t="s">
        <v>666</v>
      </c>
      <c r="L826" s="1" t="s">
        <v>1390</v>
      </c>
      <c r="N826" s="1" t="str">
        <f t="shared" si="12"/>
        <v>JOÃO FILHO</v>
      </c>
    </row>
    <row r="827" spans="1:14" x14ac:dyDescent="0.3">
      <c r="A827" s="1">
        <v>701082</v>
      </c>
      <c r="B827" s="1" t="s">
        <v>839</v>
      </c>
      <c r="C827" s="5" t="s">
        <v>15</v>
      </c>
      <c r="D827" s="2">
        <v>43619</v>
      </c>
      <c r="E827" s="2" t="s">
        <v>457</v>
      </c>
      <c r="F827" s="1">
        <v>24102</v>
      </c>
      <c r="G827" s="1" t="s">
        <v>669</v>
      </c>
      <c r="H827" s="1" t="s">
        <v>661</v>
      </c>
      <c r="J827" s="2" t="s">
        <v>670</v>
      </c>
      <c r="K827" s="1" t="s">
        <v>666</v>
      </c>
      <c r="L827" s="1" t="s">
        <v>1388</v>
      </c>
      <c r="M827" s="1" t="s">
        <v>1389</v>
      </c>
      <c r="N827" s="1" t="str">
        <f t="shared" si="12"/>
        <v>JUNIO TEIXEIRA /GEOVANI RORIZ</v>
      </c>
    </row>
    <row r="828" spans="1:14" x14ac:dyDescent="0.3">
      <c r="A828" s="1">
        <v>701294</v>
      </c>
      <c r="B828" s="1" t="s">
        <v>840</v>
      </c>
      <c r="C828" s="5" t="s">
        <v>15</v>
      </c>
      <c r="D828" s="2">
        <v>43718</v>
      </c>
      <c r="E828" s="2" t="s">
        <v>105</v>
      </c>
      <c r="F828" s="1">
        <v>24102</v>
      </c>
      <c r="G828" s="1" t="s">
        <v>669</v>
      </c>
      <c r="H828" s="1" t="s">
        <v>661</v>
      </c>
      <c r="J828" s="2" t="s">
        <v>697</v>
      </c>
      <c r="K828" s="1" t="s">
        <v>666</v>
      </c>
      <c r="L828" s="1" t="s">
        <v>1390</v>
      </c>
      <c r="N828" s="1" t="str">
        <f t="shared" si="12"/>
        <v>JOÃO FILHO</v>
      </c>
    </row>
    <row r="829" spans="1:14" x14ac:dyDescent="0.3">
      <c r="A829" s="1">
        <v>704322</v>
      </c>
      <c r="B829" s="1" t="s">
        <v>841</v>
      </c>
      <c r="C829" s="5" t="s">
        <v>15</v>
      </c>
      <c r="D829" s="2">
        <v>45356</v>
      </c>
      <c r="E829" s="2" t="s">
        <v>507</v>
      </c>
      <c r="F829" s="1">
        <v>24102</v>
      </c>
      <c r="G829" s="1" t="s">
        <v>669</v>
      </c>
      <c r="H829" s="1" t="s">
        <v>661</v>
      </c>
      <c r="J829" s="2" t="s">
        <v>672</v>
      </c>
      <c r="K829" s="1" t="s">
        <v>666</v>
      </c>
      <c r="L829" s="1" t="s">
        <v>1388</v>
      </c>
      <c r="M829" s="1" t="s">
        <v>1389</v>
      </c>
      <c r="N829" s="1" t="str">
        <f t="shared" si="12"/>
        <v>JUNIO TEIXEIRA /GEOVANI RORIZ</v>
      </c>
    </row>
    <row r="830" spans="1:14" x14ac:dyDescent="0.3">
      <c r="A830" s="1">
        <v>705319</v>
      </c>
      <c r="B830" s="1" t="s">
        <v>1253</v>
      </c>
      <c r="C830" s="5" t="s">
        <v>15</v>
      </c>
      <c r="D830" s="2">
        <v>45784</v>
      </c>
      <c r="E830" s="2" t="s">
        <v>60</v>
      </c>
      <c r="F830" s="1">
        <v>24102</v>
      </c>
      <c r="G830" s="1" t="s">
        <v>669</v>
      </c>
      <c r="H830" s="1" t="s">
        <v>661</v>
      </c>
      <c r="J830" s="2" t="s">
        <v>804</v>
      </c>
      <c r="K830" s="1" t="s">
        <v>1371</v>
      </c>
      <c r="L830" s="1" t="s">
        <v>1378</v>
      </c>
      <c r="M830" s="1" t="s">
        <v>805</v>
      </c>
      <c r="N830" s="1" t="str">
        <f t="shared" si="12"/>
        <v>JAILSON RORIZ</v>
      </c>
    </row>
    <row r="831" spans="1:14" x14ac:dyDescent="0.3">
      <c r="A831" s="1">
        <v>703965</v>
      </c>
      <c r="B831" s="1" t="s">
        <v>842</v>
      </c>
      <c r="C831" s="5" t="s">
        <v>15</v>
      </c>
      <c r="D831" s="2">
        <v>45113</v>
      </c>
      <c r="E831" s="2" t="s">
        <v>418</v>
      </c>
      <c r="F831" s="1">
        <v>39601</v>
      </c>
      <c r="G831" s="1" t="s">
        <v>660</v>
      </c>
      <c r="H831" s="1" t="s">
        <v>661</v>
      </c>
      <c r="J831" s="2" t="s">
        <v>662</v>
      </c>
      <c r="K831" s="1" t="s">
        <v>666</v>
      </c>
      <c r="L831" s="1" t="s">
        <v>258</v>
      </c>
      <c r="N831" s="1" t="str">
        <f t="shared" si="12"/>
        <v>MATHEUS ALMEIDA</v>
      </c>
    </row>
    <row r="832" spans="1:14" x14ac:dyDescent="0.3">
      <c r="A832" s="1">
        <v>703414</v>
      </c>
      <c r="B832" s="1" t="s">
        <v>843</v>
      </c>
      <c r="C832" s="5" t="s">
        <v>15</v>
      </c>
      <c r="D832" s="2">
        <v>44873</v>
      </c>
      <c r="E832" s="2" t="s">
        <v>52</v>
      </c>
      <c r="F832" s="1">
        <v>32102</v>
      </c>
      <c r="G832" s="1" t="s">
        <v>674</v>
      </c>
      <c r="H832" s="1" t="s">
        <v>661</v>
      </c>
      <c r="J832" s="2" t="s">
        <v>675</v>
      </c>
      <c r="K832" s="1" t="s">
        <v>25</v>
      </c>
      <c r="L832" s="1" t="s">
        <v>1369</v>
      </c>
      <c r="M832" s="1" t="s">
        <v>676</v>
      </c>
      <c r="N832" s="1" t="str">
        <f t="shared" si="12"/>
        <v>MARCELO DOURADO</v>
      </c>
    </row>
    <row r="833" spans="1:14" x14ac:dyDescent="0.3">
      <c r="A833" s="1">
        <v>101406</v>
      </c>
      <c r="B833" s="1" t="s">
        <v>844</v>
      </c>
      <c r="C833" s="5" t="s">
        <v>15</v>
      </c>
      <c r="D833" s="2">
        <v>42926</v>
      </c>
      <c r="E833" s="2" t="s">
        <v>31</v>
      </c>
      <c r="F833" s="1">
        <v>24102</v>
      </c>
      <c r="G833" s="1" t="s">
        <v>669</v>
      </c>
      <c r="H833" s="1" t="s">
        <v>661</v>
      </c>
      <c r="J833" s="2" t="s">
        <v>670</v>
      </c>
      <c r="K833" s="1" t="s">
        <v>666</v>
      </c>
      <c r="L833" s="1" t="s">
        <v>1388</v>
      </c>
      <c r="M833" s="1" t="s">
        <v>1389</v>
      </c>
      <c r="N833" s="1" t="str">
        <f t="shared" si="12"/>
        <v>JUNIO TEIXEIRA /GEOVANI RORIZ</v>
      </c>
    </row>
    <row r="834" spans="1:14" x14ac:dyDescent="0.3">
      <c r="A834" s="1">
        <v>701205</v>
      </c>
      <c r="B834" s="1" t="s">
        <v>845</v>
      </c>
      <c r="C834" s="5" t="s">
        <v>15</v>
      </c>
      <c r="D834" s="2">
        <v>43682</v>
      </c>
      <c r="E834" s="2" t="s">
        <v>31</v>
      </c>
      <c r="F834" s="1">
        <v>24102</v>
      </c>
      <c r="G834" s="1" t="s">
        <v>669</v>
      </c>
      <c r="H834" s="1" t="s">
        <v>661</v>
      </c>
      <c r="J834" s="2" t="s">
        <v>672</v>
      </c>
      <c r="K834" s="1" t="s">
        <v>666</v>
      </c>
      <c r="L834" s="1" t="s">
        <v>1388</v>
      </c>
      <c r="M834" s="1" t="s">
        <v>1389</v>
      </c>
      <c r="N834" s="1" t="str">
        <f t="shared" si="12"/>
        <v>JUNIO TEIXEIRA /GEOVANI RORIZ</v>
      </c>
    </row>
    <row r="835" spans="1:14" x14ac:dyDescent="0.3">
      <c r="A835" s="1">
        <v>702545</v>
      </c>
      <c r="B835" s="1" t="s">
        <v>846</v>
      </c>
      <c r="C835" s="5" t="s">
        <v>15</v>
      </c>
      <c r="D835" s="2">
        <v>44452</v>
      </c>
      <c r="E835" s="2" t="s">
        <v>507</v>
      </c>
      <c r="F835" s="1">
        <v>24201</v>
      </c>
      <c r="G835" s="1" t="s">
        <v>664</v>
      </c>
      <c r="H835" s="1" t="s">
        <v>661</v>
      </c>
      <c r="J835" s="2" t="s">
        <v>665</v>
      </c>
      <c r="K835" s="1" t="s">
        <v>666</v>
      </c>
      <c r="L835" s="1" t="s">
        <v>258</v>
      </c>
      <c r="M835" s="1" t="s">
        <v>667</v>
      </c>
      <c r="N835" s="1" t="str">
        <f t="shared" ref="N835:N898" si="13">IF(M835&lt;&gt;"", M835, IF(L835&lt;&gt;"", L835, K835))</f>
        <v>JOSIEL NEVES</v>
      </c>
    </row>
    <row r="836" spans="1:14" x14ac:dyDescent="0.3">
      <c r="A836" s="1">
        <v>704349</v>
      </c>
      <c r="B836" s="1" t="s">
        <v>847</v>
      </c>
      <c r="C836" s="5" t="s">
        <v>15</v>
      </c>
      <c r="D836" s="2">
        <v>45363</v>
      </c>
      <c r="E836" s="2" t="s">
        <v>16</v>
      </c>
      <c r="F836" s="1">
        <v>24102</v>
      </c>
      <c r="G836" s="1" t="s">
        <v>669</v>
      </c>
      <c r="H836" s="1" t="s">
        <v>661</v>
      </c>
      <c r="J836" s="2" t="s">
        <v>682</v>
      </c>
      <c r="K836" s="1" t="s">
        <v>666</v>
      </c>
      <c r="L836" s="1" t="s">
        <v>1390</v>
      </c>
      <c r="M836" s="1" t="s">
        <v>1391</v>
      </c>
      <c r="N836" s="1" t="str">
        <f t="shared" si="13"/>
        <v>ALCENO JUNIOR/JOÃO MARCOS</v>
      </c>
    </row>
    <row r="837" spans="1:14" x14ac:dyDescent="0.3">
      <c r="A837" s="1">
        <v>705097</v>
      </c>
      <c r="B837" s="1" t="s">
        <v>848</v>
      </c>
      <c r="C837" s="5" t="s">
        <v>15</v>
      </c>
      <c r="D837" s="2">
        <v>45670</v>
      </c>
      <c r="E837" s="2" t="s">
        <v>31</v>
      </c>
      <c r="F837" s="1">
        <v>24102</v>
      </c>
      <c r="G837" s="1" t="s">
        <v>669</v>
      </c>
      <c r="H837" s="1" t="s">
        <v>661</v>
      </c>
      <c r="J837" s="2" t="s">
        <v>697</v>
      </c>
      <c r="K837" s="1" t="s">
        <v>666</v>
      </c>
      <c r="L837" s="1" t="s">
        <v>1390</v>
      </c>
      <c r="N837" s="1" t="str">
        <f t="shared" si="13"/>
        <v>JOÃO FILHO</v>
      </c>
    </row>
    <row r="838" spans="1:14" x14ac:dyDescent="0.3">
      <c r="A838" s="1">
        <v>704579</v>
      </c>
      <c r="B838" s="1" t="s">
        <v>849</v>
      </c>
      <c r="C838" s="5" t="s">
        <v>15</v>
      </c>
      <c r="D838" s="2">
        <v>45448</v>
      </c>
      <c r="E838" s="2" t="s">
        <v>427</v>
      </c>
      <c r="F838" s="1">
        <v>39602</v>
      </c>
      <c r="G838" s="1" t="s">
        <v>699</v>
      </c>
      <c r="H838" s="1" t="s">
        <v>661</v>
      </c>
      <c r="J838" s="2" t="s">
        <v>700</v>
      </c>
      <c r="K838" s="1" t="s">
        <v>666</v>
      </c>
      <c r="L838" s="1" t="s">
        <v>258</v>
      </c>
      <c r="M838" s="1" t="s">
        <v>701</v>
      </c>
      <c r="N838" s="1" t="str">
        <f t="shared" si="13"/>
        <v>IURY GUEDES</v>
      </c>
    </row>
    <row r="839" spans="1:14" x14ac:dyDescent="0.3">
      <c r="A839" s="1">
        <v>704235</v>
      </c>
      <c r="B839" s="1" t="s">
        <v>850</v>
      </c>
      <c r="C839" s="5" t="s">
        <v>15</v>
      </c>
      <c r="D839" s="2">
        <v>45328</v>
      </c>
      <c r="E839" s="2" t="s">
        <v>31</v>
      </c>
      <c r="F839" s="1">
        <v>24102</v>
      </c>
      <c r="G839" s="1" t="s">
        <v>669</v>
      </c>
      <c r="H839" s="1" t="s">
        <v>661</v>
      </c>
      <c r="J839" s="2" t="s">
        <v>672</v>
      </c>
      <c r="K839" s="1" t="s">
        <v>666</v>
      </c>
      <c r="L839" s="1" t="s">
        <v>1388</v>
      </c>
      <c r="M839" s="1" t="s">
        <v>1389</v>
      </c>
      <c r="N839" s="1" t="str">
        <f t="shared" si="13"/>
        <v>JUNIO TEIXEIRA /GEOVANI RORIZ</v>
      </c>
    </row>
    <row r="840" spans="1:14" x14ac:dyDescent="0.3">
      <c r="A840" s="1">
        <v>703984</v>
      </c>
      <c r="B840" s="1" t="s">
        <v>851</v>
      </c>
      <c r="C840" s="5" t="s">
        <v>15</v>
      </c>
      <c r="D840" s="2">
        <v>45113</v>
      </c>
      <c r="E840" s="2" t="s">
        <v>31</v>
      </c>
      <c r="F840" s="1">
        <v>24102</v>
      </c>
      <c r="G840" s="1" t="s">
        <v>669</v>
      </c>
      <c r="H840" s="1" t="s">
        <v>661</v>
      </c>
      <c r="J840" s="2" t="s">
        <v>672</v>
      </c>
      <c r="K840" s="1" t="s">
        <v>666</v>
      </c>
      <c r="L840" s="1" t="s">
        <v>1388</v>
      </c>
      <c r="M840" s="1" t="s">
        <v>1389</v>
      </c>
      <c r="N840" s="1" t="str">
        <f t="shared" si="13"/>
        <v>JUNIO TEIXEIRA /GEOVANI RORIZ</v>
      </c>
    </row>
    <row r="841" spans="1:14" x14ac:dyDescent="0.3">
      <c r="A841" s="1">
        <v>705272</v>
      </c>
      <c r="B841" s="1" t="s">
        <v>1198</v>
      </c>
      <c r="C841" s="5" t="s">
        <v>15</v>
      </c>
      <c r="D841" s="2">
        <v>45762</v>
      </c>
      <c r="E841" s="2" t="s">
        <v>31</v>
      </c>
      <c r="F841" s="1">
        <v>24102</v>
      </c>
      <c r="G841" s="1" t="s">
        <v>669</v>
      </c>
      <c r="H841" s="1" t="s">
        <v>661</v>
      </c>
      <c r="J841" s="2" t="s">
        <v>680</v>
      </c>
      <c r="K841" s="1" t="s">
        <v>666</v>
      </c>
      <c r="L841" s="1" t="s">
        <v>1388</v>
      </c>
      <c r="M841" s="1" t="s">
        <v>1389</v>
      </c>
      <c r="N841" s="1" t="str">
        <f t="shared" si="13"/>
        <v>JUNIO TEIXEIRA /GEOVANI RORIZ</v>
      </c>
    </row>
    <row r="842" spans="1:14" x14ac:dyDescent="0.3">
      <c r="A842" s="1">
        <v>705347</v>
      </c>
      <c r="B842" s="1" t="s">
        <v>1254</v>
      </c>
      <c r="C842" s="5" t="s">
        <v>15</v>
      </c>
      <c r="D842" s="2">
        <v>45784</v>
      </c>
      <c r="E842" s="2" t="s">
        <v>31</v>
      </c>
      <c r="F842" s="1">
        <v>39601</v>
      </c>
      <c r="G842" s="1" t="s">
        <v>660</v>
      </c>
      <c r="H842" s="1" t="s">
        <v>661</v>
      </c>
      <c r="J842" s="2" t="s">
        <v>684</v>
      </c>
      <c r="K842" s="1" t="s">
        <v>666</v>
      </c>
      <c r="L842" s="1" t="s">
        <v>258</v>
      </c>
      <c r="M842" s="1" t="s">
        <v>1392</v>
      </c>
      <c r="N842" s="1" t="str">
        <f t="shared" si="13"/>
        <v>ADALTON/JANILSON RORIZ/MARIVALDO</v>
      </c>
    </row>
    <row r="843" spans="1:14" x14ac:dyDescent="0.3">
      <c r="A843" s="1">
        <v>703622</v>
      </c>
      <c r="B843" s="1" t="s">
        <v>852</v>
      </c>
      <c r="C843" s="5" t="s">
        <v>15</v>
      </c>
      <c r="D843" s="2">
        <v>44991</v>
      </c>
      <c r="E843" s="2" t="s">
        <v>138</v>
      </c>
      <c r="F843" s="1">
        <v>24102</v>
      </c>
      <c r="G843" s="1" t="s">
        <v>669</v>
      </c>
      <c r="H843" s="1" t="s">
        <v>661</v>
      </c>
      <c r="J843" s="2" t="s">
        <v>682</v>
      </c>
      <c r="K843" s="1" t="s">
        <v>666</v>
      </c>
      <c r="L843" s="1" t="s">
        <v>1390</v>
      </c>
      <c r="M843" s="1" t="s">
        <v>1391</v>
      </c>
      <c r="N843" s="1" t="str">
        <f t="shared" si="13"/>
        <v>ALCENO JUNIOR/JOÃO MARCOS</v>
      </c>
    </row>
    <row r="844" spans="1:14" x14ac:dyDescent="0.3">
      <c r="A844" s="1">
        <v>705720</v>
      </c>
      <c r="B844" s="1" t="s">
        <v>1464</v>
      </c>
      <c r="C844" s="5" t="s">
        <v>15</v>
      </c>
      <c r="D844" s="2">
        <v>45971</v>
      </c>
      <c r="E844" s="2" t="s">
        <v>31</v>
      </c>
      <c r="F844" s="1">
        <v>24201</v>
      </c>
      <c r="G844" s="1" t="s">
        <v>664</v>
      </c>
      <c r="H844" s="1" t="s">
        <v>661</v>
      </c>
      <c r="J844" s="2" t="s">
        <v>665</v>
      </c>
      <c r="K844" s="1" t="s">
        <v>666</v>
      </c>
      <c r="L844" s="1" t="s">
        <v>258</v>
      </c>
      <c r="M844" s="1" t="s">
        <v>667</v>
      </c>
      <c r="N844" s="1" t="str">
        <f t="shared" si="13"/>
        <v>JOSIEL NEVES</v>
      </c>
    </row>
    <row r="845" spans="1:14" x14ac:dyDescent="0.3">
      <c r="A845" s="1">
        <v>701103</v>
      </c>
      <c r="B845" s="1" t="s">
        <v>853</v>
      </c>
      <c r="C845" s="5" t="s">
        <v>15</v>
      </c>
      <c r="D845" s="2">
        <v>43641</v>
      </c>
      <c r="E845" s="2" t="s">
        <v>371</v>
      </c>
      <c r="F845" s="1">
        <v>39601</v>
      </c>
      <c r="G845" s="1" t="s">
        <v>660</v>
      </c>
      <c r="H845" s="1" t="s">
        <v>661</v>
      </c>
      <c r="J845" s="2" t="s">
        <v>684</v>
      </c>
      <c r="K845" s="1" t="s">
        <v>666</v>
      </c>
      <c r="L845" s="1" t="s">
        <v>258</v>
      </c>
      <c r="M845" s="1" t="s">
        <v>1392</v>
      </c>
      <c r="N845" s="1" t="str">
        <f t="shared" si="13"/>
        <v>ADALTON/JANILSON RORIZ/MARIVALDO</v>
      </c>
    </row>
    <row r="846" spans="1:14" x14ac:dyDescent="0.3">
      <c r="A846" s="1">
        <v>704644</v>
      </c>
      <c r="B846" s="1" t="s">
        <v>854</v>
      </c>
      <c r="C846" s="5" t="s">
        <v>15</v>
      </c>
      <c r="D846" s="2">
        <v>45476</v>
      </c>
      <c r="E846" s="2" t="s">
        <v>381</v>
      </c>
      <c r="F846" s="1">
        <v>39602</v>
      </c>
      <c r="G846" s="1" t="s">
        <v>699</v>
      </c>
      <c r="H846" s="1" t="s">
        <v>661</v>
      </c>
      <c r="J846" s="2" t="s">
        <v>700</v>
      </c>
      <c r="K846" s="1" t="s">
        <v>666</v>
      </c>
      <c r="L846" s="1" t="s">
        <v>258</v>
      </c>
      <c r="M846" s="1" t="s">
        <v>701</v>
      </c>
      <c r="N846" s="1" t="str">
        <f t="shared" si="13"/>
        <v>IURY GUEDES</v>
      </c>
    </row>
    <row r="847" spans="1:14" x14ac:dyDescent="0.3">
      <c r="A847" s="1">
        <v>705634</v>
      </c>
      <c r="B847" s="1" t="s">
        <v>1430</v>
      </c>
      <c r="C847" s="5" t="s">
        <v>92</v>
      </c>
      <c r="D847" s="2">
        <v>45937</v>
      </c>
      <c r="E847" s="2" t="s">
        <v>31</v>
      </c>
      <c r="F847" s="1">
        <v>38102</v>
      </c>
      <c r="G847" s="1" t="s">
        <v>725</v>
      </c>
      <c r="H847" s="1" t="s">
        <v>661</v>
      </c>
      <c r="I847" s="2">
        <v>46044</v>
      </c>
      <c r="J847" s="2" t="s">
        <v>726</v>
      </c>
      <c r="K847" s="1" t="s">
        <v>1372</v>
      </c>
      <c r="L847" s="1" t="s">
        <v>1372</v>
      </c>
      <c r="M847" s="1" t="s">
        <v>1373</v>
      </c>
      <c r="N847" s="1" t="str">
        <f t="shared" si="13"/>
        <v>DENIS ACASSIO</v>
      </c>
    </row>
    <row r="848" spans="1:14" x14ac:dyDescent="0.3">
      <c r="A848" s="1">
        <v>702901</v>
      </c>
      <c r="B848" s="1" t="s">
        <v>855</v>
      </c>
      <c r="C848" s="5" t="s">
        <v>15</v>
      </c>
      <c r="D848" s="2">
        <v>44642</v>
      </c>
      <c r="E848" s="2" t="s">
        <v>507</v>
      </c>
      <c r="F848" s="1">
        <v>24102</v>
      </c>
      <c r="G848" s="1" t="s">
        <v>669</v>
      </c>
      <c r="H848" s="1" t="s">
        <v>661</v>
      </c>
      <c r="J848" s="2" t="s">
        <v>85</v>
      </c>
      <c r="K848" s="1" t="s">
        <v>1371</v>
      </c>
      <c r="L848" s="1" t="s">
        <v>1371</v>
      </c>
      <c r="M848" s="1" t="s">
        <v>1380</v>
      </c>
      <c r="N848" s="1" t="str">
        <f t="shared" si="13"/>
        <v xml:space="preserve">LEONARDO SANTOS </v>
      </c>
    </row>
    <row r="849" spans="1:14" x14ac:dyDescent="0.3">
      <c r="A849" s="1">
        <v>701507</v>
      </c>
      <c r="B849" s="1" t="s">
        <v>857</v>
      </c>
      <c r="C849" s="5" t="s">
        <v>15</v>
      </c>
      <c r="D849" s="2">
        <v>43936</v>
      </c>
      <c r="E849" s="2" t="s">
        <v>105</v>
      </c>
      <c r="F849" s="1">
        <v>24102</v>
      </c>
      <c r="G849" s="1" t="s">
        <v>669</v>
      </c>
      <c r="H849" s="1" t="s">
        <v>661</v>
      </c>
      <c r="J849" s="2" t="s">
        <v>804</v>
      </c>
      <c r="K849" s="1" t="s">
        <v>1371</v>
      </c>
      <c r="L849" s="1" t="s">
        <v>1378</v>
      </c>
      <c r="M849" s="1" t="s">
        <v>805</v>
      </c>
      <c r="N849" s="1" t="str">
        <f t="shared" si="13"/>
        <v>JAILSON RORIZ</v>
      </c>
    </row>
    <row r="850" spans="1:14" x14ac:dyDescent="0.3">
      <c r="A850" s="1">
        <v>705293</v>
      </c>
      <c r="B850" s="1" t="s">
        <v>1199</v>
      </c>
      <c r="C850" s="5" t="s">
        <v>15</v>
      </c>
      <c r="D850" s="2">
        <v>45762</v>
      </c>
      <c r="E850" s="2" t="s">
        <v>31</v>
      </c>
      <c r="F850" s="1">
        <v>39601</v>
      </c>
      <c r="G850" s="1" t="s">
        <v>660</v>
      </c>
      <c r="H850" s="1" t="s">
        <v>661</v>
      </c>
      <c r="J850" s="2" t="s">
        <v>684</v>
      </c>
      <c r="K850" s="1" t="s">
        <v>666</v>
      </c>
      <c r="L850" s="1" t="s">
        <v>258</v>
      </c>
      <c r="M850" s="1" t="s">
        <v>1392</v>
      </c>
      <c r="N850" s="1" t="str">
        <f t="shared" si="13"/>
        <v>ADALTON/JANILSON RORIZ/MARIVALDO</v>
      </c>
    </row>
    <row r="851" spans="1:14" x14ac:dyDescent="0.3">
      <c r="A851" s="1">
        <v>700408</v>
      </c>
      <c r="B851" s="1" t="s">
        <v>858</v>
      </c>
      <c r="C851" s="5" t="s">
        <v>15</v>
      </c>
      <c r="D851" s="2">
        <v>43318</v>
      </c>
      <c r="E851" s="2" t="s">
        <v>141</v>
      </c>
      <c r="F851" s="1">
        <v>24102</v>
      </c>
      <c r="G851" s="1" t="s">
        <v>669</v>
      </c>
      <c r="H851" s="1" t="s">
        <v>661</v>
      </c>
      <c r="J851" s="2" t="s">
        <v>697</v>
      </c>
      <c r="K851" s="1" t="s">
        <v>666</v>
      </c>
      <c r="L851" s="1" t="s">
        <v>1390</v>
      </c>
      <c r="N851" s="1" t="str">
        <f t="shared" si="13"/>
        <v>JOÃO FILHO</v>
      </c>
    </row>
    <row r="852" spans="1:14" x14ac:dyDescent="0.3">
      <c r="A852" s="1">
        <v>705426</v>
      </c>
      <c r="B852" s="1" t="s">
        <v>1257</v>
      </c>
      <c r="C852" s="5" t="s">
        <v>15</v>
      </c>
      <c r="D852" s="2">
        <v>45797</v>
      </c>
      <c r="E852" s="2" t="s">
        <v>31</v>
      </c>
      <c r="F852" s="1">
        <v>39601</v>
      </c>
      <c r="G852" s="1" t="s">
        <v>660</v>
      </c>
      <c r="H852" s="1" t="s">
        <v>661</v>
      </c>
      <c r="J852" s="2" t="s">
        <v>662</v>
      </c>
      <c r="K852" s="1" t="s">
        <v>666</v>
      </c>
      <c r="L852" s="1" t="s">
        <v>258</v>
      </c>
      <c r="N852" s="1" t="str">
        <f t="shared" si="13"/>
        <v>MATHEUS ALMEIDA</v>
      </c>
    </row>
    <row r="853" spans="1:14" x14ac:dyDescent="0.3">
      <c r="A853" s="1">
        <v>705427</v>
      </c>
      <c r="B853" s="1" t="s">
        <v>1258</v>
      </c>
      <c r="C853" s="5" t="s">
        <v>15</v>
      </c>
      <c r="D853" s="2">
        <v>45797</v>
      </c>
      <c r="E853" s="2" t="s">
        <v>31</v>
      </c>
      <c r="F853" s="1">
        <v>39601</v>
      </c>
      <c r="G853" s="1" t="s">
        <v>660</v>
      </c>
      <c r="H853" s="1" t="s">
        <v>661</v>
      </c>
      <c r="J853" s="2" t="s">
        <v>662</v>
      </c>
      <c r="K853" s="1" t="s">
        <v>666</v>
      </c>
      <c r="L853" s="1" t="s">
        <v>258</v>
      </c>
      <c r="N853" s="1" t="str">
        <f t="shared" si="13"/>
        <v>MATHEUS ALMEIDA</v>
      </c>
    </row>
    <row r="854" spans="1:14" x14ac:dyDescent="0.3">
      <c r="A854" s="1">
        <v>703314</v>
      </c>
      <c r="B854" s="1" t="s">
        <v>859</v>
      </c>
      <c r="C854" s="5" t="s">
        <v>15</v>
      </c>
      <c r="D854" s="2">
        <v>44824</v>
      </c>
      <c r="E854" s="2" t="s">
        <v>507</v>
      </c>
      <c r="F854" s="1">
        <v>24201</v>
      </c>
      <c r="G854" s="1" t="s">
        <v>664</v>
      </c>
      <c r="H854" s="1" t="s">
        <v>661</v>
      </c>
      <c r="J854" s="2" t="s">
        <v>665</v>
      </c>
      <c r="K854" s="1" t="s">
        <v>666</v>
      </c>
      <c r="L854" s="1" t="s">
        <v>258</v>
      </c>
      <c r="M854" s="1" t="s">
        <v>667</v>
      </c>
      <c r="N854" s="1" t="str">
        <f t="shared" si="13"/>
        <v>JOSIEL NEVES</v>
      </c>
    </row>
    <row r="855" spans="1:14" x14ac:dyDescent="0.3">
      <c r="A855" s="1">
        <v>705711</v>
      </c>
      <c r="B855" s="1" t="s">
        <v>1465</v>
      </c>
      <c r="C855" s="5" t="s">
        <v>15</v>
      </c>
      <c r="D855" s="2">
        <v>45971</v>
      </c>
      <c r="E855" s="2" t="s">
        <v>31</v>
      </c>
      <c r="F855" s="1">
        <v>24102</v>
      </c>
      <c r="G855" s="1" t="s">
        <v>669</v>
      </c>
      <c r="H855" s="1" t="s">
        <v>661</v>
      </c>
      <c r="J855" s="2" t="s">
        <v>672</v>
      </c>
      <c r="K855" s="1" t="s">
        <v>666</v>
      </c>
      <c r="L855" s="1" t="s">
        <v>1388</v>
      </c>
      <c r="M855" s="1" t="s">
        <v>1389</v>
      </c>
      <c r="N855" s="1" t="str">
        <f t="shared" si="13"/>
        <v>JUNIO TEIXEIRA /GEOVANI RORIZ</v>
      </c>
    </row>
    <row r="856" spans="1:14" x14ac:dyDescent="0.3">
      <c r="A856" s="1">
        <v>702315</v>
      </c>
      <c r="B856" s="1" t="s">
        <v>860</v>
      </c>
      <c r="C856" s="5" t="s">
        <v>15</v>
      </c>
      <c r="D856" s="2">
        <v>44334</v>
      </c>
      <c r="E856" s="2" t="s">
        <v>861</v>
      </c>
      <c r="F856" s="1">
        <v>39602</v>
      </c>
      <c r="G856" s="1" t="s">
        <v>699</v>
      </c>
      <c r="H856" s="1" t="s">
        <v>661</v>
      </c>
      <c r="J856" s="2" t="s">
        <v>700</v>
      </c>
      <c r="K856" s="1" t="s">
        <v>666</v>
      </c>
      <c r="L856" s="1" t="s">
        <v>258</v>
      </c>
      <c r="M856" s="1" t="s">
        <v>701</v>
      </c>
      <c r="N856" s="1" t="str">
        <f t="shared" si="13"/>
        <v>IURY GUEDES</v>
      </c>
    </row>
    <row r="857" spans="1:14" x14ac:dyDescent="0.3">
      <c r="A857" s="1">
        <v>700255</v>
      </c>
      <c r="B857" s="1" t="s">
        <v>862</v>
      </c>
      <c r="C857" s="5" t="s">
        <v>15</v>
      </c>
      <c r="D857" s="2">
        <v>43262</v>
      </c>
      <c r="E857" s="2" t="s">
        <v>166</v>
      </c>
      <c r="F857" s="1">
        <v>24102</v>
      </c>
      <c r="G857" s="1" t="s">
        <v>669</v>
      </c>
      <c r="H857" s="1" t="s">
        <v>661</v>
      </c>
      <c r="J857" s="2" t="s">
        <v>697</v>
      </c>
      <c r="K857" s="1" t="s">
        <v>666</v>
      </c>
      <c r="L857" s="1" t="s">
        <v>1390</v>
      </c>
      <c r="N857" s="1" t="str">
        <f t="shared" si="13"/>
        <v>JOÃO FILHO</v>
      </c>
    </row>
    <row r="858" spans="1:14" x14ac:dyDescent="0.3">
      <c r="A858" s="1">
        <v>704868</v>
      </c>
      <c r="B858" s="1" t="s">
        <v>863</v>
      </c>
      <c r="C858" s="5" t="s">
        <v>15</v>
      </c>
      <c r="D858" s="2">
        <v>45579</v>
      </c>
      <c r="E858" s="2" t="s">
        <v>31</v>
      </c>
      <c r="F858" s="1">
        <v>24201</v>
      </c>
      <c r="G858" s="1" t="s">
        <v>664</v>
      </c>
      <c r="H858" s="1" t="s">
        <v>661</v>
      </c>
      <c r="J858" s="2" t="s">
        <v>665</v>
      </c>
      <c r="K858" s="1" t="s">
        <v>666</v>
      </c>
      <c r="L858" s="1" t="s">
        <v>258</v>
      </c>
      <c r="M858" s="1" t="s">
        <v>667</v>
      </c>
      <c r="N858" s="1" t="str">
        <f t="shared" si="13"/>
        <v>JOSIEL NEVES</v>
      </c>
    </row>
    <row r="859" spans="1:14" x14ac:dyDescent="0.3">
      <c r="A859" s="1">
        <v>702159</v>
      </c>
      <c r="B859" s="1" t="s">
        <v>864</v>
      </c>
      <c r="C859" s="5" t="s">
        <v>15</v>
      </c>
      <c r="D859" s="2">
        <v>44299</v>
      </c>
      <c r="E859" s="2" t="s">
        <v>60</v>
      </c>
      <c r="F859" s="1">
        <v>24102</v>
      </c>
      <c r="G859" s="1" t="s">
        <v>669</v>
      </c>
      <c r="H859" s="1" t="s">
        <v>661</v>
      </c>
      <c r="J859" s="2" t="s">
        <v>682</v>
      </c>
      <c r="K859" s="1" t="s">
        <v>666</v>
      </c>
      <c r="L859" s="1" t="s">
        <v>1390</v>
      </c>
      <c r="M859" s="1" t="s">
        <v>1391</v>
      </c>
      <c r="N859" s="1" t="str">
        <f t="shared" si="13"/>
        <v>ALCENO JUNIOR/JOÃO MARCOS</v>
      </c>
    </row>
    <row r="860" spans="1:14" x14ac:dyDescent="0.3">
      <c r="A860" s="1">
        <v>101465</v>
      </c>
      <c r="B860" s="1" t="s">
        <v>865</v>
      </c>
      <c r="C860" s="5" t="s">
        <v>15</v>
      </c>
      <c r="D860" s="2">
        <v>42962</v>
      </c>
      <c r="E860" s="2" t="s">
        <v>31</v>
      </c>
      <c r="F860" s="1">
        <v>24102</v>
      </c>
      <c r="G860" s="1" t="s">
        <v>669</v>
      </c>
      <c r="H860" s="1" t="s">
        <v>661</v>
      </c>
      <c r="J860" s="2" t="s">
        <v>670</v>
      </c>
      <c r="K860" s="1" t="s">
        <v>666</v>
      </c>
      <c r="L860" s="1" t="s">
        <v>1388</v>
      </c>
      <c r="M860" s="1" t="s">
        <v>1389</v>
      </c>
      <c r="N860" s="1" t="str">
        <f t="shared" si="13"/>
        <v>JUNIO TEIXEIRA /GEOVANI RORIZ</v>
      </c>
    </row>
    <row r="861" spans="1:14" x14ac:dyDescent="0.3">
      <c r="A861" s="1">
        <v>705182</v>
      </c>
      <c r="B861" s="1" t="s">
        <v>1172</v>
      </c>
      <c r="C861" s="5" t="s">
        <v>15</v>
      </c>
      <c r="D861" s="2">
        <v>45733</v>
      </c>
      <c r="E861" s="2" t="s">
        <v>31</v>
      </c>
      <c r="F861" s="1">
        <v>24102</v>
      </c>
      <c r="G861" s="1" t="s">
        <v>669</v>
      </c>
      <c r="H861" s="1" t="s">
        <v>661</v>
      </c>
      <c r="J861" s="2" t="s">
        <v>680</v>
      </c>
      <c r="K861" s="1" t="s">
        <v>666</v>
      </c>
      <c r="L861" s="1" t="s">
        <v>1388</v>
      </c>
      <c r="M861" s="1" t="s">
        <v>1389</v>
      </c>
      <c r="N861" s="1" t="str">
        <f t="shared" si="13"/>
        <v>JUNIO TEIXEIRA /GEOVANI RORIZ</v>
      </c>
    </row>
    <row r="862" spans="1:14" x14ac:dyDescent="0.3">
      <c r="A862" s="1">
        <v>700101</v>
      </c>
      <c r="B862" s="1" t="s">
        <v>867</v>
      </c>
      <c r="C862" s="5" t="s">
        <v>15</v>
      </c>
      <c r="D862" s="2">
        <v>43164</v>
      </c>
      <c r="E862" s="2" t="s">
        <v>31</v>
      </c>
      <c r="F862" s="1">
        <v>24102</v>
      </c>
      <c r="G862" s="1" t="s">
        <v>669</v>
      </c>
      <c r="H862" s="1" t="s">
        <v>661</v>
      </c>
      <c r="J862" s="2" t="s">
        <v>672</v>
      </c>
      <c r="K862" s="1" t="s">
        <v>666</v>
      </c>
      <c r="L862" s="1" t="s">
        <v>1388</v>
      </c>
      <c r="M862" s="1" t="s">
        <v>1389</v>
      </c>
      <c r="N862" s="1" t="str">
        <f t="shared" si="13"/>
        <v>JUNIO TEIXEIRA /GEOVANI RORIZ</v>
      </c>
    </row>
    <row r="863" spans="1:14" x14ac:dyDescent="0.3">
      <c r="A863" s="1">
        <v>100978</v>
      </c>
      <c r="B863" s="1" t="s">
        <v>868</v>
      </c>
      <c r="C863" s="5" t="s">
        <v>15</v>
      </c>
      <c r="D863" s="2">
        <v>42548</v>
      </c>
      <c r="E863" s="2" t="s">
        <v>457</v>
      </c>
      <c r="F863" s="1">
        <v>24102</v>
      </c>
      <c r="G863" s="1" t="s">
        <v>669</v>
      </c>
      <c r="H863" s="1" t="s">
        <v>661</v>
      </c>
      <c r="J863" s="2" t="s">
        <v>804</v>
      </c>
      <c r="K863" s="1" t="s">
        <v>1371</v>
      </c>
      <c r="L863" s="1" t="s">
        <v>1378</v>
      </c>
      <c r="M863" s="1" t="s">
        <v>805</v>
      </c>
      <c r="N863" s="1" t="str">
        <f t="shared" si="13"/>
        <v>JAILSON RORIZ</v>
      </c>
    </row>
    <row r="864" spans="1:14" x14ac:dyDescent="0.3">
      <c r="A864" s="1">
        <v>705028</v>
      </c>
      <c r="B864" s="1" t="s">
        <v>869</v>
      </c>
      <c r="C864" s="5" t="s">
        <v>15</v>
      </c>
      <c r="D864" s="2">
        <v>45635</v>
      </c>
      <c r="E864" s="2" t="s">
        <v>31</v>
      </c>
      <c r="F864" s="1">
        <v>39601</v>
      </c>
      <c r="G864" s="1" t="s">
        <v>660</v>
      </c>
      <c r="H864" s="1" t="s">
        <v>661</v>
      </c>
      <c r="J864" s="2" t="s">
        <v>672</v>
      </c>
      <c r="K864" s="1" t="s">
        <v>666</v>
      </c>
      <c r="L864" s="1" t="s">
        <v>1388</v>
      </c>
      <c r="M864" s="1" t="s">
        <v>1389</v>
      </c>
      <c r="N864" s="1" t="str">
        <f t="shared" si="13"/>
        <v>JUNIO TEIXEIRA /GEOVANI RORIZ</v>
      </c>
    </row>
    <row r="865" spans="1:14" x14ac:dyDescent="0.3">
      <c r="A865" s="1">
        <v>700554</v>
      </c>
      <c r="B865" s="1" t="s">
        <v>870</v>
      </c>
      <c r="C865" s="5" t="s">
        <v>15</v>
      </c>
      <c r="D865" s="2">
        <v>43360</v>
      </c>
      <c r="E865" s="2" t="s">
        <v>141</v>
      </c>
      <c r="F865" s="1">
        <v>24102</v>
      </c>
      <c r="G865" s="1" t="s">
        <v>669</v>
      </c>
      <c r="H865" s="1" t="s">
        <v>661</v>
      </c>
      <c r="J865" s="2" t="s">
        <v>672</v>
      </c>
      <c r="K865" s="1" t="s">
        <v>666</v>
      </c>
      <c r="L865" s="1" t="s">
        <v>1388</v>
      </c>
      <c r="M865" s="1" t="s">
        <v>1389</v>
      </c>
      <c r="N865" s="1" t="str">
        <f t="shared" si="13"/>
        <v>JUNIO TEIXEIRA /GEOVANI RORIZ</v>
      </c>
    </row>
    <row r="866" spans="1:14" x14ac:dyDescent="0.3">
      <c r="A866" s="1">
        <v>705231</v>
      </c>
      <c r="B866" s="1" t="s">
        <v>1181</v>
      </c>
      <c r="C866" s="5" t="s">
        <v>15</v>
      </c>
      <c r="D866" s="2">
        <v>45762</v>
      </c>
      <c r="E866" s="2" t="s">
        <v>31</v>
      </c>
      <c r="F866" s="1">
        <v>24102</v>
      </c>
      <c r="G866" s="1" t="s">
        <v>669</v>
      </c>
      <c r="H866" s="1" t="s">
        <v>661</v>
      </c>
      <c r="J866" s="2" t="s">
        <v>85</v>
      </c>
      <c r="K866" s="1" t="s">
        <v>1371</v>
      </c>
      <c r="L866" s="1" t="s">
        <v>1371</v>
      </c>
      <c r="M866" s="1" t="s">
        <v>1380</v>
      </c>
      <c r="N866" s="1" t="str">
        <f t="shared" si="13"/>
        <v xml:space="preserve">LEONARDO SANTOS </v>
      </c>
    </row>
    <row r="867" spans="1:14" x14ac:dyDescent="0.3">
      <c r="A867" s="1">
        <v>704420</v>
      </c>
      <c r="B867" s="1" t="s">
        <v>872</v>
      </c>
      <c r="C867" s="5" t="s">
        <v>15</v>
      </c>
      <c r="D867" s="2">
        <v>45391</v>
      </c>
      <c r="E867" s="2" t="s">
        <v>60</v>
      </c>
      <c r="F867" s="1">
        <v>39601</v>
      </c>
      <c r="G867" s="1" t="s">
        <v>660</v>
      </c>
      <c r="H867" s="1" t="s">
        <v>661</v>
      </c>
      <c r="J867" s="2" t="s">
        <v>684</v>
      </c>
      <c r="K867" s="1" t="s">
        <v>666</v>
      </c>
      <c r="L867" s="1" t="s">
        <v>258</v>
      </c>
      <c r="M867" s="1" t="s">
        <v>1392</v>
      </c>
      <c r="N867" s="1" t="str">
        <f t="shared" si="13"/>
        <v>ADALTON/JANILSON RORIZ/MARIVALDO</v>
      </c>
    </row>
    <row r="868" spans="1:14" x14ac:dyDescent="0.3">
      <c r="A868" s="1">
        <v>705274</v>
      </c>
      <c r="B868" s="1" t="s">
        <v>1200</v>
      </c>
      <c r="C868" s="5" t="s">
        <v>15</v>
      </c>
      <c r="D868" s="2">
        <v>45762</v>
      </c>
      <c r="E868" s="2" t="s">
        <v>31</v>
      </c>
      <c r="F868" s="1">
        <v>24102</v>
      </c>
      <c r="G868" s="1" t="s">
        <v>669</v>
      </c>
      <c r="H868" s="1" t="s">
        <v>661</v>
      </c>
      <c r="J868" s="2" t="s">
        <v>680</v>
      </c>
      <c r="K868" s="1" t="s">
        <v>666</v>
      </c>
      <c r="L868" s="1" t="s">
        <v>1388</v>
      </c>
      <c r="M868" s="1" t="s">
        <v>1389</v>
      </c>
      <c r="N868" s="1" t="str">
        <f t="shared" si="13"/>
        <v>JUNIO TEIXEIRA /GEOVANI RORIZ</v>
      </c>
    </row>
    <row r="869" spans="1:14" x14ac:dyDescent="0.3">
      <c r="A869" s="1">
        <v>101078</v>
      </c>
      <c r="B869" s="1" t="s">
        <v>874</v>
      </c>
      <c r="C869" s="5" t="s">
        <v>15</v>
      </c>
      <c r="D869" s="2">
        <v>42667</v>
      </c>
      <c r="E869" s="2" t="s">
        <v>251</v>
      </c>
      <c r="F869" s="1">
        <v>39601</v>
      </c>
      <c r="G869" s="1" t="s">
        <v>660</v>
      </c>
      <c r="H869" s="1" t="s">
        <v>661</v>
      </c>
      <c r="J869" s="2" t="s">
        <v>662</v>
      </c>
      <c r="K869" s="1" t="s">
        <v>666</v>
      </c>
      <c r="L869" s="1" t="s">
        <v>258</v>
      </c>
      <c r="N869" s="1" t="str">
        <f t="shared" si="13"/>
        <v>MATHEUS ALMEIDA</v>
      </c>
    </row>
    <row r="870" spans="1:14" x14ac:dyDescent="0.3">
      <c r="A870" s="1">
        <v>704401</v>
      </c>
      <c r="B870" s="1" t="s">
        <v>875</v>
      </c>
      <c r="C870" s="5" t="s">
        <v>15</v>
      </c>
      <c r="D870" s="2">
        <v>45391</v>
      </c>
      <c r="E870" s="2" t="s">
        <v>418</v>
      </c>
      <c r="F870" s="1">
        <v>39601</v>
      </c>
      <c r="G870" s="1" t="s">
        <v>660</v>
      </c>
      <c r="H870" s="1" t="s">
        <v>661</v>
      </c>
      <c r="J870" s="2" t="s">
        <v>684</v>
      </c>
      <c r="K870" s="1" t="s">
        <v>666</v>
      </c>
      <c r="L870" s="1" t="s">
        <v>258</v>
      </c>
      <c r="M870" s="1" t="s">
        <v>1392</v>
      </c>
      <c r="N870" s="1" t="str">
        <f t="shared" si="13"/>
        <v>ADALTON/JANILSON RORIZ/MARIVALDO</v>
      </c>
    </row>
    <row r="871" spans="1:14" x14ac:dyDescent="0.3">
      <c r="A871" s="1">
        <v>705488</v>
      </c>
      <c r="B871" s="1" t="s">
        <v>1306</v>
      </c>
      <c r="C871" s="5" t="s">
        <v>15</v>
      </c>
      <c r="D871" s="2">
        <v>45839</v>
      </c>
      <c r="E871" s="2" t="s">
        <v>31</v>
      </c>
      <c r="F871" s="1">
        <v>39601</v>
      </c>
      <c r="G871" s="1" t="s">
        <v>660</v>
      </c>
      <c r="H871" s="1" t="s">
        <v>661</v>
      </c>
      <c r="J871" s="2" t="s">
        <v>662</v>
      </c>
      <c r="K871" s="1" t="s">
        <v>666</v>
      </c>
      <c r="L871" s="1" t="s">
        <v>258</v>
      </c>
      <c r="N871" s="1" t="str">
        <f t="shared" si="13"/>
        <v>MATHEUS ALMEIDA</v>
      </c>
    </row>
    <row r="872" spans="1:14" x14ac:dyDescent="0.3">
      <c r="A872" s="1">
        <v>704394</v>
      </c>
      <c r="B872" s="1" t="s">
        <v>876</v>
      </c>
      <c r="C872" s="5" t="s">
        <v>15</v>
      </c>
      <c r="D872" s="2">
        <v>45391</v>
      </c>
      <c r="E872" s="2" t="s">
        <v>418</v>
      </c>
      <c r="F872" s="1">
        <v>39601</v>
      </c>
      <c r="G872" s="1" t="s">
        <v>660</v>
      </c>
      <c r="H872" s="1" t="s">
        <v>661</v>
      </c>
      <c r="J872" s="2" t="s">
        <v>684</v>
      </c>
      <c r="K872" s="1" t="s">
        <v>666</v>
      </c>
      <c r="L872" s="1" t="s">
        <v>258</v>
      </c>
      <c r="M872" s="1" t="s">
        <v>1392</v>
      </c>
      <c r="N872" s="1" t="str">
        <f t="shared" si="13"/>
        <v>ADALTON/JANILSON RORIZ/MARIVALDO</v>
      </c>
    </row>
    <row r="873" spans="1:14" x14ac:dyDescent="0.3">
      <c r="A873" s="1">
        <v>704421</v>
      </c>
      <c r="B873" s="1" t="s">
        <v>877</v>
      </c>
      <c r="C873" s="5" t="s">
        <v>15</v>
      </c>
      <c r="D873" s="2">
        <v>45398</v>
      </c>
      <c r="E873" s="2" t="s">
        <v>381</v>
      </c>
      <c r="F873" s="1">
        <v>39602</v>
      </c>
      <c r="G873" s="1" t="s">
        <v>699</v>
      </c>
      <c r="H873" s="1" t="s">
        <v>661</v>
      </c>
      <c r="J873" s="2" t="s">
        <v>700</v>
      </c>
      <c r="K873" s="1" t="s">
        <v>666</v>
      </c>
      <c r="L873" s="1" t="s">
        <v>258</v>
      </c>
      <c r="M873" s="1" t="s">
        <v>701</v>
      </c>
      <c r="N873" s="1" t="str">
        <f t="shared" si="13"/>
        <v>IURY GUEDES</v>
      </c>
    </row>
    <row r="874" spans="1:14" x14ac:dyDescent="0.3">
      <c r="A874" s="1">
        <v>704984</v>
      </c>
      <c r="B874" s="1" t="s">
        <v>878</v>
      </c>
      <c r="C874" s="5" t="s">
        <v>15</v>
      </c>
      <c r="D874" s="2">
        <v>45629</v>
      </c>
      <c r="E874" s="2" t="s">
        <v>31</v>
      </c>
      <c r="F874" s="1">
        <v>39601</v>
      </c>
      <c r="G874" s="1" t="s">
        <v>660</v>
      </c>
      <c r="H874" s="1" t="s">
        <v>661</v>
      </c>
      <c r="J874" s="2" t="s">
        <v>684</v>
      </c>
      <c r="K874" s="1" t="s">
        <v>666</v>
      </c>
      <c r="L874" s="1" t="s">
        <v>258</v>
      </c>
      <c r="M874" s="1" t="s">
        <v>1392</v>
      </c>
      <c r="N874" s="1" t="str">
        <f t="shared" si="13"/>
        <v>ADALTON/JANILSON RORIZ/MARIVALDO</v>
      </c>
    </row>
    <row r="875" spans="1:14" x14ac:dyDescent="0.3">
      <c r="A875" s="1">
        <v>704164</v>
      </c>
      <c r="B875" s="1" t="s">
        <v>879</v>
      </c>
      <c r="C875" s="5" t="s">
        <v>15</v>
      </c>
      <c r="D875" s="2">
        <v>45264</v>
      </c>
      <c r="E875" s="2" t="s">
        <v>31</v>
      </c>
      <c r="F875" s="1">
        <v>24102</v>
      </c>
      <c r="G875" s="1" t="s">
        <v>669</v>
      </c>
      <c r="H875" s="1" t="s">
        <v>661</v>
      </c>
      <c r="J875" s="2" t="s">
        <v>672</v>
      </c>
      <c r="K875" s="1" t="s">
        <v>666</v>
      </c>
      <c r="L875" s="1" t="s">
        <v>1388</v>
      </c>
      <c r="M875" s="1" t="s">
        <v>1389</v>
      </c>
      <c r="N875" s="1" t="str">
        <f t="shared" si="13"/>
        <v>JUNIO TEIXEIRA /GEOVANI RORIZ</v>
      </c>
    </row>
    <row r="876" spans="1:14" x14ac:dyDescent="0.3">
      <c r="A876" s="1">
        <v>705459</v>
      </c>
      <c r="B876" s="1" t="s">
        <v>1283</v>
      </c>
      <c r="C876" s="5" t="s">
        <v>15</v>
      </c>
      <c r="D876" s="2">
        <v>45812</v>
      </c>
      <c r="E876" s="2" t="s">
        <v>31</v>
      </c>
      <c r="F876" s="1">
        <v>39601</v>
      </c>
      <c r="G876" s="1" t="s">
        <v>660</v>
      </c>
      <c r="H876" s="1" t="s">
        <v>661</v>
      </c>
      <c r="J876" s="2" t="s">
        <v>662</v>
      </c>
      <c r="K876" s="1" t="s">
        <v>666</v>
      </c>
      <c r="L876" s="1" t="s">
        <v>258</v>
      </c>
      <c r="N876" s="1" t="str">
        <f t="shared" si="13"/>
        <v>MATHEUS ALMEIDA</v>
      </c>
    </row>
    <row r="877" spans="1:14" x14ac:dyDescent="0.3">
      <c r="A877" s="1">
        <v>701699</v>
      </c>
      <c r="B877" s="1" t="s">
        <v>880</v>
      </c>
      <c r="C877" s="5" t="s">
        <v>15</v>
      </c>
      <c r="D877" s="2">
        <v>44025</v>
      </c>
      <c r="E877" s="2" t="s">
        <v>141</v>
      </c>
      <c r="F877" s="1">
        <v>24102</v>
      </c>
      <c r="G877" s="1" t="s">
        <v>669</v>
      </c>
      <c r="H877" s="1" t="s">
        <v>661</v>
      </c>
      <c r="J877" s="2" t="s">
        <v>697</v>
      </c>
      <c r="K877" s="1" t="s">
        <v>666</v>
      </c>
      <c r="L877" s="1" t="s">
        <v>1390</v>
      </c>
      <c r="N877" s="1" t="str">
        <f t="shared" si="13"/>
        <v>JOÃO FILHO</v>
      </c>
    </row>
    <row r="878" spans="1:14" x14ac:dyDescent="0.3">
      <c r="A878" s="1">
        <v>700084</v>
      </c>
      <c r="B878" s="1" t="s">
        <v>881</v>
      </c>
      <c r="C878" s="5" t="s">
        <v>15</v>
      </c>
      <c r="D878" s="2">
        <v>43150</v>
      </c>
      <c r="E878" s="2" t="s">
        <v>31</v>
      </c>
      <c r="F878" s="1">
        <v>39601</v>
      </c>
      <c r="G878" s="1" t="s">
        <v>660</v>
      </c>
      <c r="H878" s="1" t="s">
        <v>661</v>
      </c>
      <c r="J878" s="2" t="s">
        <v>672</v>
      </c>
      <c r="K878" s="1" t="s">
        <v>666</v>
      </c>
      <c r="L878" s="1" t="s">
        <v>1388</v>
      </c>
      <c r="M878" s="1" t="s">
        <v>1389</v>
      </c>
      <c r="N878" s="1" t="str">
        <f t="shared" si="13"/>
        <v>JUNIO TEIXEIRA /GEOVANI RORIZ</v>
      </c>
    </row>
    <row r="879" spans="1:14" x14ac:dyDescent="0.3">
      <c r="A879" s="1">
        <v>703699</v>
      </c>
      <c r="B879" s="1" t="s">
        <v>882</v>
      </c>
      <c r="C879" s="5" t="s">
        <v>15</v>
      </c>
      <c r="D879" s="2">
        <v>45019</v>
      </c>
      <c r="E879" s="2" t="s">
        <v>1086</v>
      </c>
      <c r="F879" s="1">
        <v>31103</v>
      </c>
      <c r="G879" s="1" t="s">
        <v>718</v>
      </c>
      <c r="H879" s="1" t="s">
        <v>661</v>
      </c>
      <c r="J879" s="2" t="s">
        <v>719</v>
      </c>
      <c r="K879" s="1" t="s">
        <v>132</v>
      </c>
      <c r="L879" s="1" t="s">
        <v>132</v>
      </c>
      <c r="M879" s="1" t="s">
        <v>1381</v>
      </c>
      <c r="N879" s="1" t="str">
        <f t="shared" si="13"/>
        <v>MARCOS OLIVEIRA</v>
      </c>
    </row>
    <row r="880" spans="1:14" x14ac:dyDescent="0.3">
      <c r="A880" s="1">
        <v>705200</v>
      </c>
      <c r="B880" s="1" t="s">
        <v>1173</v>
      </c>
      <c r="C880" s="5" t="s">
        <v>15</v>
      </c>
      <c r="D880" s="2">
        <v>45726</v>
      </c>
      <c r="E880" s="2" t="s">
        <v>31</v>
      </c>
      <c r="F880" s="1">
        <v>24102</v>
      </c>
      <c r="G880" s="1" t="s">
        <v>669</v>
      </c>
      <c r="H880" s="1" t="s">
        <v>661</v>
      </c>
      <c r="J880" s="2" t="s">
        <v>680</v>
      </c>
      <c r="K880" s="1" t="s">
        <v>666</v>
      </c>
      <c r="L880" s="1" t="s">
        <v>1388</v>
      </c>
      <c r="M880" s="1" t="s">
        <v>1389</v>
      </c>
      <c r="N880" s="1" t="str">
        <f t="shared" si="13"/>
        <v>JUNIO TEIXEIRA /GEOVANI RORIZ</v>
      </c>
    </row>
    <row r="881" spans="1:14" x14ac:dyDescent="0.3">
      <c r="A881" s="1">
        <v>705084</v>
      </c>
      <c r="B881" s="1" t="s">
        <v>884</v>
      </c>
      <c r="C881" s="5" t="s">
        <v>15</v>
      </c>
      <c r="D881" s="2">
        <v>45670</v>
      </c>
      <c r="E881" s="2" t="s">
        <v>31</v>
      </c>
      <c r="F881" s="1">
        <v>24102</v>
      </c>
      <c r="G881" s="1" t="s">
        <v>669</v>
      </c>
      <c r="H881" s="1" t="s">
        <v>661</v>
      </c>
      <c r="J881" s="2" t="s">
        <v>672</v>
      </c>
      <c r="K881" s="1" t="s">
        <v>666</v>
      </c>
      <c r="L881" s="1" t="s">
        <v>1388</v>
      </c>
      <c r="M881" s="1" t="s">
        <v>1389</v>
      </c>
      <c r="N881" s="1" t="str">
        <f t="shared" si="13"/>
        <v>JUNIO TEIXEIRA /GEOVANI RORIZ</v>
      </c>
    </row>
    <row r="882" spans="1:14" x14ac:dyDescent="0.3">
      <c r="A882" s="1">
        <v>703453</v>
      </c>
      <c r="B882" s="1" t="s">
        <v>885</v>
      </c>
      <c r="C882" s="5" t="s">
        <v>15</v>
      </c>
      <c r="D882" s="2">
        <v>44881</v>
      </c>
      <c r="E882" s="2" t="s">
        <v>31</v>
      </c>
      <c r="F882" s="1">
        <v>24201</v>
      </c>
      <c r="G882" s="1" t="s">
        <v>664</v>
      </c>
      <c r="H882" s="1" t="s">
        <v>661</v>
      </c>
      <c r="J882" s="2" t="s">
        <v>665</v>
      </c>
      <c r="K882" s="1" t="s">
        <v>666</v>
      </c>
      <c r="L882" s="1" t="s">
        <v>258</v>
      </c>
      <c r="M882" s="1" t="s">
        <v>667</v>
      </c>
      <c r="N882" s="1" t="str">
        <f t="shared" si="13"/>
        <v>JOSIEL NEVES</v>
      </c>
    </row>
    <row r="883" spans="1:14" x14ac:dyDescent="0.3">
      <c r="A883" s="1">
        <v>703273</v>
      </c>
      <c r="B883" s="1" t="s">
        <v>886</v>
      </c>
      <c r="C883" s="5" t="s">
        <v>15</v>
      </c>
      <c r="D883" s="2">
        <v>44781</v>
      </c>
      <c r="E883" s="2" t="s">
        <v>97</v>
      </c>
      <c r="F883" s="1">
        <v>32102</v>
      </c>
      <c r="G883" s="1" t="s">
        <v>674</v>
      </c>
      <c r="H883" s="1" t="s">
        <v>661</v>
      </c>
      <c r="J883" s="2" t="s">
        <v>675</v>
      </c>
      <c r="K883" s="1" t="s">
        <v>25</v>
      </c>
      <c r="L883" s="1" t="s">
        <v>1369</v>
      </c>
      <c r="M883" s="1" t="s">
        <v>676</v>
      </c>
      <c r="N883" s="1" t="str">
        <f t="shared" si="13"/>
        <v>MARCELO DOURADO</v>
      </c>
    </row>
    <row r="884" spans="1:14" x14ac:dyDescent="0.3">
      <c r="A884" s="1">
        <v>704536</v>
      </c>
      <c r="B884" s="1" t="s">
        <v>887</v>
      </c>
      <c r="C884" s="5" t="s">
        <v>15</v>
      </c>
      <c r="D884" s="2">
        <v>45426</v>
      </c>
      <c r="E884" s="2" t="s">
        <v>31</v>
      </c>
      <c r="F884" s="1">
        <v>39601</v>
      </c>
      <c r="G884" s="1" t="s">
        <v>660</v>
      </c>
      <c r="H884" s="1" t="s">
        <v>661</v>
      </c>
      <c r="J884" s="2" t="s">
        <v>662</v>
      </c>
      <c r="K884" s="1" t="s">
        <v>666</v>
      </c>
      <c r="L884" s="1" t="s">
        <v>258</v>
      </c>
      <c r="N884" s="1" t="str">
        <f t="shared" si="13"/>
        <v>MATHEUS ALMEIDA</v>
      </c>
    </row>
    <row r="885" spans="1:14" x14ac:dyDescent="0.3">
      <c r="A885" s="1">
        <v>704921</v>
      </c>
      <c r="B885" s="1" t="s">
        <v>888</v>
      </c>
      <c r="C885" s="5" t="s">
        <v>15</v>
      </c>
      <c r="D885" s="2">
        <v>45601</v>
      </c>
      <c r="E885" s="2" t="s">
        <v>31</v>
      </c>
      <c r="F885" s="1">
        <v>39601</v>
      </c>
      <c r="G885" s="1" t="s">
        <v>660</v>
      </c>
      <c r="H885" s="1" t="s">
        <v>661</v>
      </c>
      <c r="J885" s="2" t="s">
        <v>662</v>
      </c>
      <c r="K885" s="1" t="s">
        <v>666</v>
      </c>
      <c r="L885" s="1" t="s">
        <v>258</v>
      </c>
      <c r="N885" s="1" t="str">
        <f t="shared" si="13"/>
        <v>MATHEUS ALMEIDA</v>
      </c>
    </row>
    <row r="886" spans="1:14" x14ac:dyDescent="0.3">
      <c r="A886" s="1">
        <v>705025</v>
      </c>
      <c r="B886" s="1" t="s">
        <v>889</v>
      </c>
      <c r="C886" s="5" t="s">
        <v>15</v>
      </c>
      <c r="D886" s="2">
        <v>45636</v>
      </c>
      <c r="E886" s="2" t="s">
        <v>31</v>
      </c>
      <c r="F886" s="1">
        <v>39601</v>
      </c>
      <c r="G886" s="1" t="s">
        <v>660</v>
      </c>
      <c r="H886" s="1" t="s">
        <v>661</v>
      </c>
      <c r="J886" s="2" t="s">
        <v>672</v>
      </c>
      <c r="K886" s="1" t="s">
        <v>666</v>
      </c>
      <c r="L886" s="1" t="s">
        <v>1388</v>
      </c>
      <c r="M886" s="1" t="s">
        <v>1389</v>
      </c>
      <c r="N886" s="1" t="str">
        <f t="shared" si="13"/>
        <v>JUNIO TEIXEIRA /GEOVANI RORIZ</v>
      </c>
    </row>
    <row r="887" spans="1:14" x14ac:dyDescent="0.3">
      <c r="A887" s="1">
        <v>101626</v>
      </c>
      <c r="B887" s="1" t="s">
        <v>890</v>
      </c>
      <c r="C887" s="5" t="s">
        <v>15</v>
      </c>
      <c r="D887" s="2">
        <v>43010</v>
      </c>
      <c r="E887" s="2" t="s">
        <v>111</v>
      </c>
      <c r="F887" s="1">
        <v>24102</v>
      </c>
      <c r="G887" s="1" t="s">
        <v>669</v>
      </c>
      <c r="H887" s="1" t="s">
        <v>661</v>
      </c>
      <c r="J887" s="2" t="s">
        <v>891</v>
      </c>
      <c r="K887" s="1" t="s">
        <v>666</v>
      </c>
      <c r="N887" s="1" t="str">
        <f t="shared" si="13"/>
        <v>CRISOSTOMO CASTRO</v>
      </c>
    </row>
    <row r="888" spans="1:14" x14ac:dyDescent="0.3">
      <c r="A888" s="1">
        <v>702066</v>
      </c>
      <c r="B888" s="1" t="s">
        <v>892</v>
      </c>
      <c r="C888" s="5" t="s">
        <v>15</v>
      </c>
      <c r="D888" s="2">
        <v>44264</v>
      </c>
      <c r="E888" s="2" t="s">
        <v>199</v>
      </c>
      <c r="F888" s="1">
        <v>24102</v>
      </c>
      <c r="G888" s="1" t="s">
        <v>669</v>
      </c>
      <c r="H888" s="1" t="s">
        <v>661</v>
      </c>
      <c r="J888" s="2" t="s">
        <v>682</v>
      </c>
      <c r="K888" s="1" t="s">
        <v>666</v>
      </c>
      <c r="L888" s="1" t="s">
        <v>1390</v>
      </c>
      <c r="M888" s="1" t="s">
        <v>1391</v>
      </c>
      <c r="N888" s="1" t="str">
        <f t="shared" si="13"/>
        <v>ALCENO JUNIOR/JOÃO MARCOS</v>
      </c>
    </row>
    <row r="889" spans="1:14" x14ac:dyDescent="0.3">
      <c r="A889" s="1">
        <v>705551</v>
      </c>
      <c r="B889" s="1" t="s">
        <v>1338</v>
      </c>
      <c r="C889" s="5" t="s">
        <v>15</v>
      </c>
      <c r="D889" s="2">
        <v>45874</v>
      </c>
      <c r="E889" s="2" t="s">
        <v>31</v>
      </c>
      <c r="F889" s="1">
        <v>39601</v>
      </c>
      <c r="G889" s="1" t="s">
        <v>660</v>
      </c>
      <c r="H889" s="1" t="s">
        <v>661</v>
      </c>
      <c r="J889" s="2" t="s">
        <v>684</v>
      </c>
      <c r="K889" s="1" t="s">
        <v>666</v>
      </c>
      <c r="L889" s="1" t="s">
        <v>258</v>
      </c>
      <c r="M889" s="1" t="s">
        <v>1392</v>
      </c>
      <c r="N889" s="1" t="str">
        <f t="shared" si="13"/>
        <v>ADALTON/JANILSON RORIZ/MARIVALDO</v>
      </c>
    </row>
    <row r="890" spans="1:14" x14ac:dyDescent="0.3">
      <c r="A890" s="1">
        <v>704006</v>
      </c>
      <c r="B890" s="1" t="s">
        <v>893</v>
      </c>
      <c r="C890" s="5" t="s">
        <v>15</v>
      </c>
      <c r="D890" s="2">
        <v>45118</v>
      </c>
      <c r="E890" s="2" t="s">
        <v>162</v>
      </c>
      <c r="F890" s="1">
        <v>32102</v>
      </c>
      <c r="G890" s="1" t="s">
        <v>674</v>
      </c>
      <c r="H890" s="1" t="s">
        <v>661</v>
      </c>
      <c r="J890" s="2" t="s">
        <v>675</v>
      </c>
      <c r="K890" s="1" t="s">
        <v>25</v>
      </c>
      <c r="L890" s="1" t="s">
        <v>1369</v>
      </c>
      <c r="M890" s="1" t="s">
        <v>676</v>
      </c>
      <c r="N890" s="1" t="str">
        <f t="shared" si="13"/>
        <v>MARCELO DOURADO</v>
      </c>
    </row>
    <row r="891" spans="1:14" x14ac:dyDescent="0.3">
      <c r="A891" s="1">
        <v>700136</v>
      </c>
      <c r="B891" s="1" t="s">
        <v>895</v>
      </c>
      <c r="C891" s="5" t="s">
        <v>15</v>
      </c>
      <c r="D891" s="2">
        <v>43222</v>
      </c>
      <c r="E891" s="2" t="s">
        <v>336</v>
      </c>
      <c r="F891" s="1">
        <v>24102</v>
      </c>
      <c r="G891" s="1" t="s">
        <v>669</v>
      </c>
      <c r="H891" s="1" t="s">
        <v>661</v>
      </c>
      <c r="J891" s="2" t="s">
        <v>804</v>
      </c>
      <c r="K891" s="1" t="s">
        <v>1371</v>
      </c>
      <c r="L891" s="1" t="s">
        <v>1378</v>
      </c>
      <c r="M891" s="1" t="s">
        <v>805</v>
      </c>
      <c r="N891" s="1" t="str">
        <f t="shared" si="13"/>
        <v>JAILSON RORIZ</v>
      </c>
    </row>
    <row r="892" spans="1:14" x14ac:dyDescent="0.3">
      <c r="A892" s="1">
        <v>702805</v>
      </c>
      <c r="B892" s="1" t="s">
        <v>896</v>
      </c>
      <c r="C892" s="5" t="s">
        <v>15</v>
      </c>
      <c r="D892" s="2">
        <v>44607</v>
      </c>
      <c r="E892" s="2" t="s">
        <v>31</v>
      </c>
      <c r="F892" s="1">
        <v>24102</v>
      </c>
      <c r="G892" s="1" t="s">
        <v>669</v>
      </c>
      <c r="H892" s="1" t="s">
        <v>661</v>
      </c>
      <c r="J892" s="2" t="s">
        <v>680</v>
      </c>
      <c r="K892" s="1" t="s">
        <v>666</v>
      </c>
      <c r="L892" s="1" t="s">
        <v>1388</v>
      </c>
      <c r="M892" s="1" t="s">
        <v>1389</v>
      </c>
      <c r="N892" s="1" t="str">
        <f t="shared" si="13"/>
        <v>JUNIO TEIXEIRA /GEOVANI RORIZ</v>
      </c>
    </row>
    <row r="893" spans="1:14" x14ac:dyDescent="0.3">
      <c r="A893" s="1">
        <v>702799</v>
      </c>
      <c r="B893" s="1" t="s">
        <v>898</v>
      </c>
      <c r="C893" s="5" t="s">
        <v>15</v>
      </c>
      <c r="D893" s="2">
        <v>44607</v>
      </c>
      <c r="E893" s="2" t="s">
        <v>138</v>
      </c>
      <c r="F893" s="1">
        <v>24102</v>
      </c>
      <c r="G893" s="1" t="s">
        <v>669</v>
      </c>
      <c r="H893" s="1" t="s">
        <v>661</v>
      </c>
      <c r="J893" s="2" t="s">
        <v>672</v>
      </c>
      <c r="K893" s="1" t="s">
        <v>666</v>
      </c>
      <c r="L893" s="1" t="s">
        <v>1388</v>
      </c>
      <c r="M893" s="1" t="s">
        <v>1389</v>
      </c>
      <c r="N893" s="1" t="str">
        <f t="shared" si="13"/>
        <v>JUNIO TEIXEIRA /GEOVANI RORIZ</v>
      </c>
    </row>
    <row r="894" spans="1:14" x14ac:dyDescent="0.3">
      <c r="A894" s="1">
        <v>700178</v>
      </c>
      <c r="B894" s="1" t="s">
        <v>899</v>
      </c>
      <c r="C894" s="5" t="s">
        <v>15</v>
      </c>
      <c r="D894" s="2">
        <v>43234</v>
      </c>
      <c r="E894" s="2" t="s">
        <v>507</v>
      </c>
      <c r="F894" s="1">
        <v>24201</v>
      </c>
      <c r="G894" s="1" t="s">
        <v>664</v>
      </c>
      <c r="H894" s="1" t="s">
        <v>661</v>
      </c>
      <c r="J894" s="2" t="s">
        <v>665</v>
      </c>
      <c r="K894" s="1" t="s">
        <v>666</v>
      </c>
      <c r="L894" s="1" t="s">
        <v>258</v>
      </c>
      <c r="M894" s="1" t="s">
        <v>667</v>
      </c>
      <c r="N894" s="1" t="str">
        <f t="shared" si="13"/>
        <v>JOSIEL NEVES</v>
      </c>
    </row>
    <row r="895" spans="1:14" x14ac:dyDescent="0.3">
      <c r="A895" s="1">
        <v>701367</v>
      </c>
      <c r="B895" s="1" t="s">
        <v>900</v>
      </c>
      <c r="C895" s="5" t="s">
        <v>15</v>
      </c>
      <c r="D895" s="2">
        <v>43759</v>
      </c>
      <c r="E895" s="2" t="s">
        <v>31</v>
      </c>
      <c r="F895" s="1">
        <v>24102</v>
      </c>
      <c r="G895" s="1" t="s">
        <v>669</v>
      </c>
      <c r="H895" s="1" t="s">
        <v>661</v>
      </c>
      <c r="J895" s="2" t="s">
        <v>672</v>
      </c>
      <c r="K895" s="1" t="s">
        <v>666</v>
      </c>
      <c r="L895" s="1" t="s">
        <v>1388</v>
      </c>
      <c r="M895" s="1" t="s">
        <v>1389</v>
      </c>
      <c r="N895" s="1" t="str">
        <f t="shared" si="13"/>
        <v>JUNIO TEIXEIRA /GEOVANI RORIZ</v>
      </c>
    </row>
    <row r="896" spans="1:14" x14ac:dyDescent="0.3">
      <c r="A896" s="1">
        <v>704555</v>
      </c>
      <c r="B896" s="1" t="s">
        <v>901</v>
      </c>
      <c r="C896" s="5" t="s">
        <v>15</v>
      </c>
      <c r="D896" s="2">
        <v>45426</v>
      </c>
      <c r="E896" s="2" t="s">
        <v>31</v>
      </c>
      <c r="F896" s="1">
        <v>39601</v>
      </c>
      <c r="G896" s="1" t="s">
        <v>660</v>
      </c>
      <c r="H896" s="1" t="s">
        <v>661</v>
      </c>
      <c r="J896" s="2" t="s">
        <v>684</v>
      </c>
      <c r="K896" s="1" t="s">
        <v>666</v>
      </c>
      <c r="L896" s="1" t="s">
        <v>258</v>
      </c>
      <c r="M896" s="1" t="s">
        <v>1392</v>
      </c>
      <c r="N896" s="1" t="str">
        <f t="shared" si="13"/>
        <v>ADALTON/JANILSON RORIZ/MARIVALDO</v>
      </c>
    </row>
    <row r="897" spans="1:14" x14ac:dyDescent="0.3">
      <c r="A897" s="1">
        <v>704516</v>
      </c>
      <c r="B897" s="1" t="s">
        <v>902</v>
      </c>
      <c r="C897" s="5" t="s">
        <v>15</v>
      </c>
      <c r="D897" s="2">
        <v>45420</v>
      </c>
      <c r="E897" s="2" t="s">
        <v>31</v>
      </c>
      <c r="F897" s="1">
        <v>39601</v>
      </c>
      <c r="G897" s="1" t="s">
        <v>660</v>
      </c>
      <c r="H897" s="1" t="s">
        <v>661</v>
      </c>
      <c r="J897" s="2" t="s">
        <v>684</v>
      </c>
      <c r="K897" s="1" t="s">
        <v>666</v>
      </c>
      <c r="L897" s="1" t="s">
        <v>258</v>
      </c>
      <c r="M897" s="1" t="s">
        <v>1392</v>
      </c>
      <c r="N897" s="1" t="str">
        <f t="shared" si="13"/>
        <v>ADALTON/JANILSON RORIZ/MARIVALDO</v>
      </c>
    </row>
    <row r="898" spans="1:14" x14ac:dyDescent="0.3">
      <c r="A898" s="1">
        <v>705665</v>
      </c>
      <c r="B898" s="1" t="s">
        <v>1431</v>
      </c>
      <c r="C898" s="5" t="s">
        <v>15</v>
      </c>
      <c r="D898" s="2">
        <v>45944</v>
      </c>
      <c r="E898" s="2" t="s">
        <v>31</v>
      </c>
      <c r="F898" s="1">
        <v>39601</v>
      </c>
      <c r="G898" s="1" t="s">
        <v>660</v>
      </c>
      <c r="H898" s="1" t="s">
        <v>661</v>
      </c>
      <c r="J898" s="2" t="s">
        <v>662</v>
      </c>
      <c r="K898" s="1" t="s">
        <v>666</v>
      </c>
      <c r="L898" s="1" t="s">
        <v>258</v>
      </c>
      <c r="N898" s="1" t="str">
        <f t="shared" si="13"/>
        <v>MATHEUS ALMEIDA</v>
      </c>
    </row>
    <row r="899" spans="1:14" x14ac:dyDescent="0.3">
      <c r="A899" s="1">
        <v>705077</v>
      </c>
      <c r="B899" s="1" t="s">
        <v>903</v>
      </c>
      <c r="C899" s="5" t="s">
        <v>15</v>
      </c>
      <c r="D899" s="2">
        <v>45671</v>
      </c>
      <c r="E899" s="2" t="s">
        <v>31</v>
      </c>
      <c r="F899" s="1">
        <v>39601</v>
      </c>
      <c r="G899" s="1" t="s">
        <v>660</v>
      </c>
      <c r="H899" s="1" t="s">
        <v>661</v>
      </c>
      <c r="J899" s="2" t="s">
        <v>672</v>
      </c>
      <c r="K899" s="1" t="s">
        <v>666</v>
      </c>
      <c r="L899" s="1" t="s">
        <v>1388</v>
      </c>
      <c r="M899" s="1" t="s">
        <v>1389</v>
      </c>
      <c r="N899" s="1" t="str">
        <f t="shared" ref="N899:N962" si="14">IF(M899&lt;&gt;"", M899, IF(L899&lt;&gt;"", L899, K899))</f>
        <v>JUNIO TEIXEIRA /GEOVANI RORIZ</v>
      </c>
    </row>
    <row r="900" spans="1:14" x14ac:dyDescent="0.3">
      <c r="A900" s="1">
        <v>702906</v>
      </c>
      <c r="B900" s="1" t="s">
        <v>906</v>
      </c>
      <c r="C900" s="5" t="s">
        <v>15</v>
      </c>
      <c r="D900" s="2">
        <v>44656</v>
      </c>
      <c r="E900" s="2" t="s">
        <v>31</v>
      </c>
      <c r="F900" s="1">
        <v>24102</v>
      </c>
      <c r="G900" s="1" t="s">
        <v>669</v>
      </c>
      <c r="H900" s="1" t="s">
        <v>661</v>
      </c>
      <c r="J900" s="2" t="s">
        <v>697</v>
      </c>
      <c r="K900" s="1" t="s">
        <v>666</v>
      </c>
      <c r="L900" s="1" t="s">
        <v>1390</v>
      </c>
      <c r="N900" s="1" t="str">
        <f t="shared" si="14"/>
        <v>JOÃO FILHO</v>
      </c>
    </row>
    <row r="901" spans="1:14" x14ac:dyDescent="0.3">
      <c r="A901" s="1">
        <v>704621</v>
      </c>
      <c r="B901" s="1" t="s">
        <v>907</v>
      </c>
      <c r="C901" s="5" t="s">
        <v>15</v>
      </c>
      <c r="D901" s="2">
        <v>45476</v>
      </c>
      <c r="E901" s="2" t="s">
        <v>31</v>
      </c>
      <c r="F901" s="1">
        <v>39601</v>
      </c>
      <c r="G901" s="1" t="s">
        <v>660</v>
      </c>
      <c r="H901" s="1" t="s">
        <v>661</v>
      </c>
      <c r="J901" s="2" t="s">
        <v>684</v>
      </c>
      <c r="K901" s="1" t="s">
        <v>666</v>
      </c>
      <c r="L901" s="1" t="s">
        <v>258</v>
      </c>
      <c r="M901" s="1" t="s">
        <v>1392</v>
      </c>
      <c r="N901" s="1" t="str">
        <f t="shared" si="14"/>
        <v>ADALTON/JANILSON RORIZ/MARIVALDO</v>
      </c>
    </row>
    <row r="902" spans="1:14" x14ac:dyDescent="0.3">
      <c r="A902" s="1">
        <v>701641</v>
      </c>
      <c r="B902" s="1" t="s">
        <v>908</v>
      </c>
      <c r="C902" s="5" t="s">
        <v>15</v>
      </c>
      <c r="D902" s="2">
        <v>44018</v>
      </c>
      <c r="E902" s="2" t="s">
        <v>22</v>
      </c>
      <c r="F902" s="1">
        <v>39601</v>
      </c>
      <c r="G902" s="1" t="s">
        <v>660</v>
      </c>
      <c r="H902" s="1" t="s">
        <v>661</v>
      </c>
      <c r="J902" s="2" t="s">
        <v>662</v>
      </c>
      <c r="K902" s="1" t="s">
        <v>666</v>
      </c>
      <c r="L902" s="1" t="s">
        <v>258</v>
      </c>
      <c r="N902" s="1" t="str">
        <f t="shared" si="14"/>
        <v>MATHEUS ALMEIDA</v>
      </c>
    </row>
    <row r="903" spans="1:14" x14ac:dyDescent="0.3">
      <c r="A903" s="1">
        <v>704071</v>
      </c>
      <c r="B903" s="1" t="s">
        <v>909</v>
      </c>
      <c r="C903" s="5" t="s">
        <v>15</v>
      </c>
      <c r="D903" s="2">
        <v>45175</v>
      </c>
      <c r="E903" s="2" t="s">
        <v>507</v>
      </c>
      <c r="F903" s="1">
        <v>24201</v>
      </c>
      <c r="G903" s="1" t="s">
        <v>664</v>
      </c>
      <c r="H903" s="1" t="s">
        <v>661</v>
      </c>
      <c r="J903" s="2" t="s">
        <v>665</v>
      </c>
      <c r="K903" s="1" t="s">
        <v>666</v>
      </c>
      <c r="L903" s="1" t="s">
        <v>258</v>
      </c>
      <c r="M903" s="1" t="s">
        <v>667</v>
      </c>
      <c r="N903" s="1" t="str">
        <f t="shared" si="14"/>
        <v>JOSIEL NEVES</v>
      </c>
    </row>
    <row r="904" spans="1:14" x14ac:dyDescent="0.3">
      <c r="A904" s="1">
        <v>703401</v>
      </c>
      <c r="B904" s="1" t="s">
        <v>910</v>
      </c>
      <c r="C904" s="5" t="s">
        <v>15</v>
      </c>
      <c r="D904" s="2">
        <v>44852</v>
      </c>
      <c r="E904" s="2" t="s">
        <v>686</v>
      </c>
      <c r="F904" s="1">
        <v>39601</v>
      </c>
      <c r="G904" s="1" t="s">
        <v>660</v>
      </c>
      <c r="H904" s="1" t="s">
        <v>661</v>
      </c>
      <c r="J904" s="2" t="s">
        <v>684</v>
      </c>
      <c r="K904" s="1" t="s">
        <v>666</v>
      </c>
      <c r="L904" s="1" t="s">
        <v>258</v>
      </c>
      <c r="M904" s="1" t="s">
        <v>1392</v>
      </c>
      <c r="N904" s="1" t="str">
        <f t="shared" si="14"/>
        <v>ADALTON/JANILSON RORIZ/MARIVALDO</v>
      </c>
    </row>
    <row r="905" spans="1:14" x14ac:dyDescent="0.3">
      <c r="A905" s="1">
        <v>705461</v>
      </c>
      <c r="B905" s="1" t="s">
        <v>1284</v>
      </c>
      <c r="C905" s="5" t="s">
        <v>15</v>
      </c>
      <c r="D905" s="2">
        <v>45812</v>
      </c>
      <c r="E905" s="2" t="s">
        <v>31</v>
      </c>
      <c r="F905" s="1">
        <v>24102</v>
      </c>
      <c r="G905" s="1" t="s">
        <v>669</v>
      </c>
      <c r="H905" s="1" t="s">
        <v>661</v>
      </c>
      <c r="J905" s="2" t="s">
        <v>680</v>
      </c>
      <c r="K905" s="1" t="s">
        <v>666</v>
      </c>
      <c r="L905" s="1" t="s">
        <v>1388</v>
      </c>
      <c r="M905" s="1" t="s">
        <v>1389</v>
      </c>
      <c r="N905" s="1" t="str">
        <f t="shared" si="14"/>
        <v>JUNIO TEIXEIRA /GEOVANI RORIZ</v>
      </c>
    </row>
    <row r="906" spans="1:14" x14ac:dyDescent="0.3">
      <c r="A906" s="1">
        <v>704364</v>
      </c>
      <c r="B906" s="1" t="s">
        <v>911</v>
      </c>
      <c r="C906" s="5" t="s">
        <v>15</v>
      </c>
      <c r="D906" s="2">
        <v>45384</v>
      </c>
      <c r="E906" s="2" t="s">
        <v>16</v>
      </c>
      <c r="F906" s="1">
        <v>24102</v>
      </c>
      <c r="G906" s="1" t="s">
        <v>669</v>
      </c>
      <c r="H906" s="1" t="s">
        <v>661</v>
      </c>
      <c r="J906" s="2" t="s">
        <v>682</v>
      </c>
      <c r="K906" s="1" t="s">
        <v>666</v>
      </c>
      <c r="L906" s="1" t="s">
        <v>1390</v>
      </c>
      <c r="M906" s="1" t="s">
        <v>1391</v>
      </c>
      <c r="N906" s="1" t="str">
        <f t="shared" si="14"/>
        <v>ALCENO JUNIOR/JOÃO MARCOS</v>
      </c>
    </row>
    <row r="907" spans="1:14" x14ac:dyDescent="0.3">
      <c r="A907" s="1">
        <v>701338</v>
      </c>
      <c r="B907" s="1" t="s">
        <v>912</v>
      </c>
      <c r="C907" s="5" t="s">
        <v>15</v>
      </c>
      <c r="D907" s="2">
        <v>43759</v>
      </c>
      <c r="E907" s="2" t="s">
        <v>138</v>
      </c>
      <c r="F907" s="1">
        <v>24102</v>
      </c>
      <c r="G907" s="1" t="s">
        <v>669</v>
      </c>
      <c r="H907" s="1" t="s">
        <v>661</v>
      </c>
      <c r="J907" s="2" t="s">
        <v>682</v>
      </c>
      <c r="K907" s="1" t="s">
        <v>666</v>
      </c>
      <c r="L907" s="1" t="s">
        <v>1390</v>
      </c>
      <c r="M907" s="1" t="s">
        <v>1391</v>
      </c>
      <c r="N907" s="1" t="str">
        <f t="shared" si="14"/>
        <v>ALCENO JUNIOR/JOÃO MARCOS</v>
      </c>
    </row>
    <row r="908" spans="1:14" x14ac:dyDescent="0.3">
      <c r="A908" s="1">
        <v>701942</v>
      </c>
      <c r="B908" s="1" t="s">
        <v>913</v>
      </c>
      <c r="C908" s="5" t="s">
        <v>15</v>
      </c>
      <c r="D908" s="2">
        <v>44153</v>
      </c>
      <c r="E908" s="2" t="s">
        <v>794</v>
      </c>
      <c r="F908" s="1">
        <v>39602</v>
      </c>
      <c r="G908" s="1" t="s">
        <v>699</v>
      </c>
      <c r="H908" s="1" t="s">
        <v>661</v>
      </c>
      <c r="J908" s="2" t="s">
        <v>700</v>
      </c>
      <c r="K908" s="1" t="s">
        <v>666</v>
      </c>
      <c r="L908" s="1" t="s">
        <v>258</v>
      </c>
      <c r="M908" s="1" t="s">
        <v>701</v>
      </c>
      <c r="N908" s="1" t="str">
        <f t="shared" si="14"/>
        <v>IURY GUEDES</v>
      </c>
    </row>
    <row r="909" spans="1:14" x14ac:dyDescent="0.3">
      <c r="A909" s="1">
        <v>701307</v>
      </c>
      <c r="B909" s="1" t="s">
        <v>914</v>
      </c>
      <c r="C909" s="5" t="s">
        <v>15</v>
      </c>
      <c r="D909" s="2">
        <v>39510</v>
      </c>
      <c r="E909" s="2" t="s">
        <v>255</v>
      </c>
      <c r="F909" s="1">
        <v>24102</v>
      </c>
      <c r="G909" s="1" t="s">
        <v>669</v>
      </c>
      <c r="H909" s="1" t="s">
        <v>661</v>
      </c>
      <c r="J909" s="2" t="s">
        <v>670</v>
      </c>
      <c r="K909" s="1" t="s">
        <v>666</v>
      </c>
      <c r="L909" s="1" t="s">
        <v>1388</v>
      </c>
      <c r="M909" s="1" t="s">
        <v>1389</v>
      </c>
      <c r="N909" s="1" t="str">
        <f t="shared" si="14"/>
        <v>JUNIO TEIXEIRA /GEOVANI RORIZ</v>
      </c>
    </row>
    <row r="910" spans="1:14" x14ac:dyDescent="0.3">
      <c r="A910" s="1">
        <v>101765</v>
      </c>
      <c r="B910" s="1" t="s">
        <v>915</v>
      </c>
      <c r="C910" s="5" t="s">
        <v>15</v>
      </c>
      <c r="D910" s="2">
        <v>43073</v>
      </c>
      <c r="E910" s="2" t="s">
        <v>507</v>
      </c>
      <c r="F910" s="1">
        <v>24201</v>
      </c>
      <c r="G910" s="1" t="s">
        <v>664</v>
      </c>
      <c r="H910" s="1" t="s">
        <v>661</v>
      </c>
      <c r="J910" s="2" t="s">
        <v>665</v>
      </c>
      <c r="K910" s="1" t="s">
        <v>666</v>
      </c>
      <c r="L910" s="1" t="s">
        <v>258</v>
      </c>
      <c r="M910" s="1" t="s">
        <v>667</v>
      </c>
      <c r="N910" s="1" t="str">
        <f t="shared" si="14"/>
        <v>JOSIEL NEVES</v>
      </c>
    </row>
    <row r="911" spans="1:14" x14ac:dyDescent="0.3">
      <c r="A911" s="1">
        <v>703724</v>
      </c>
      <c r="B911" s="1" t="s">
        <v>916</v>
      </c>
      <c r="C911" s="5" t="s">
        <v>15</v>
      </c>
      <c r="D911" s="2">
        <v>45026</v>
      </c>
      <c r="E911" s="2" t="s">
        <v>16</v>
      </c>
      <c r="F911" s="1">
        <v>24102</v>
      </c>
      <c r="G911" s="1" t="s">
        <v>669</v>
      </c>
      <c r="H911" s="1" t="s">
        <v>661</v>
      </c>
      <c r="J911" s="2" t="s">
        <v>682</v>
      </c>
      <c r="K911" s="1" t="s">
        <v>666</v>
      </c>
      <c r="L911" s="1" t="s">
        <v>1390</v>
      </c>
      <c r="M911" s="1" t="s">
        <v>1391</v>
      </c>
      <c r="N911" s="1" t="str">
        <f t="shared" si="14"/>
        <v>ALCENO JUNIOR/JOÃO MARCOS</v>
      </c>
    </row>
    <row r="912" spans="1:14" x14ac:dyDescent="0.3">
      <c r="A912" s="1">
        <v>704785</v>
      </c>
      <c r="B912" s="1" t="s">
        <v>917</v>
      </c>
      <c r="C912" s="5" t="s">
        <v>15</v>
      </c>
      <c r="D912" s="2">
        <v>45551</v>
      </c>
      <c r="E912" s="2" t="s">
        <v>418</v>
      </c>
      <c r="F912" s="1">
        <v>39601</v>
      </c>
      <c r="G912" s="1" t="s">
        <v>660</v>
      </c>
      <c r="H912" s="1" t="s">
        <v>661</v>
      </c>
      <c r="J912" s="2" t="s">
        <v>684</v>
      </c>
      <c r="K912" s="1" t="s">
        <v>666</v>
      </c>
      <c r="L912" s="1" t="s">
        <v>258</v>
      </c>
      <c r="M912" s="1" t="s">
        <v>1392</v>
      </c>
      <c r="N912" s="1" t="str">
        <f t="shared" si="14"/>
        <v>ADALTON/JANILSON RORIZ/MARIVALDO</v>
      </c>
    </row>
    <row r="913" spans="1:14" x14ac:dyDescent="0.3">
      <c r="A913" s="1">
        <v>704253</v>
      </c>
      <c r="B913" s="1" t="s">
        <v>918</v>
      </c>
      <c r="C913" s="5" t="s">
        <v>15</v>
      </c>
      <c r="D913" s="2">
        <v>45342</v>
      </c>
      <c r="E913" s="2" t="s">
        <v>31</v>
      </c>
      <c r="F913" s="1">
        <v>24102</v>
      </c>
      <c r="G913" s="1" t="s">
        <v>669</v>
      </c>
      <c r="H913" s="1" t="s">
        <v>661</v>
      </c>
      <c r="J913" s="2" t="s">
        <v>680</v>
      </c>
      <c r="K913" s="1" t="s">
        <v>666</v>
      </c>
      <c r="L913" s="1" t="s">
        <v>1388</v>
      </c>
      <c r="M913" s="1" t="s">
        <v>1389</v>
      </c>
      <c r="N913" s="1" t="str">
        <f t="shared" si="14"/>
        <v>JUNIO TEIXEIRA /GEOVANI RORIZ</v>
      </c>
    </row>
    <row r="914" spans="1:14" x14ac:dyDescent="0.3">
      <c r="A914" s="1">
        <v>705727</v>
      </c>
      <c r="B914" s="1" t="s">
        <v>1466</v>
      </c>
      <c r="C914" s="5" t="s">
        <v>15</v>
      </c>
      <c r="D914" s="2">
        <v>45972</v>
      </c>
      <c r="E914" s="2" t="s">
        <v>31</v>
      </c>
      <c r="F914" s="1">
        <v>24201</v>
      </c>
      <c r="G914" s="1" t="s">
        <v>664</v>
      </c>
      <c r="H914" s="1" t="s">
        <v>661</v>
      </c>
      <c r="J914" s="2" t="s">
        <v>665</v>
      </c>
      <c r="K914" s="1" t="s">
        <v>666</v>
      </c>
      <c r="L914" s="1" t="s">
        <v>258</v>
      </c>
      <c r="M914" s="1" t="s">
        <v>667</v>
      </c>
      <c r="N914" s="1" t="str">
        <f t="shared" si="14"/>
        <v>JOSIEL NEVES</v>
      </c>
    </row>
    <row r="915" spans="1:14" x14ac:dyDescent="0.3">
      <c r="A915" s="1">
        <v>702531</v>
      </c>
      <c r="B915" s="1" t="s">
        <v>919</v>
      </c>
      <c r="C915" s="5" t="s">
        <v>15</v>
      </c>
      <c r="D915" s="2">
        <v>44418</v>
      </c>
      <c r="E915" s="2" t="s">
        <v>109</v>
      </c>
      <c r="F915" s="1">
        <v>32102</v>
      </c>
      <c r="G915" s="1" t="s">
        <v>674</v>
      </c>
      <c r="H915" s="1" t="s">
        <v>661</v>
      </c>
      <c r="J915" s="2" t="s">
        <v>675</v>
      </c>
      <c r="K915" s="1" t="s">
        <v>25</v>
      </c>
      <c r="L915" s="1" t="s">
        <v>1369</v>
      </c>
      <c r="M915" s="1" t="s">
        <v>676</v>
      </c>
      <c r="N915" s="1" t="str">
        <f t="shared" si="14"/>
        <v>MARCELO DOURADO</v>
      </c>
    </row>
    <row r="916" spans="1:14" x14ac:dyDescent="0.3">
      <c r="A916" s="1">
        <v>702935</v>
      </c>
      <c r="B916" s="1" t="s">
        <v>920</v>
      </c>
      <c r="C916" s="5" t="s">
        <v>15</v>
      </c>
      <c r="D916" s="2">
        <v>44663</v>
      </c>
      <c r="E916" s="2" t="s">
        <v>31</v>
      </c>
      <c r="F916" s="1">
        <v>24102</v>
      </c>
      <c r="G916" s="1" t="s">
        <v>669</v>
      </c>
      <c r="H916" s="1" t="s">
        <v>661</v>
      </c>
      <c r="J916" s="2" t="s">
        <v>680</v>
      </c>
      <c r="K916" s="1" t="s">
        <v>666</v>
      </c>
      <c r="L916" s="1" t="s">
        <v>1388</v>
      </c>
      <c r="M916" s="1" t="s">
        <v>1389</v>
      </c>
      <c r="N916" s="1" t="str">
        <f t="shared" si="14"/>
        <v>JUNIO TEIXEIRA /GEOVANI RORIZ</v>
      </c>
    </row>
    <row r="917" spans="1:14" x14ac:dyDescent="0.3">
      <c r="A917" s="1">
        <v>100789</v>
      </c>
      <c r="B917" s="1" t="s">
        <v>921</v>
      </c>
      <c r="C917" s="5" t="s">
        <v>15</v>
      </c>
      <c r="D917" s="2">
        <v>42240</v>
      </c>
      <c r="E917" s="2" t="s">
        <v>199</v>
      </c>
      <c r="F917" s="1">
        <v>24201</v>
      </c>
      <c r="G917" s="1" t="s">
        <v>664</v>
      </c>
      <c r="H917" s="1" t="s">
        <v>661</v>
      </c>
      <c r="J917" s="2" t="s">
        <v>665</v>
      </c>
      <c r="K917" s="1" t="s">
        <v>666</v>
      </c>
      <c r="L917" s="1" t="s">
        <v>258</v>
      </c>
      <c r="M917" s="1" t="s">
        <v>667</v>
      </c>
      <c r="N917" s="1" t="str">
        <f t="shared" si="14"/>
        <v>JOSIEL NEVES</v>
      </c>
    </row>
    <row r="918" spans="1:14" x14ac:dyDescent="0.3">
      <c r="A918" s="1">
        <v>700444</v>
      </c>
      <c r="B918" s="1" t="s">
        <v>922</v>
      </c>
      <c r="C918" s="5" t="s">
        <v>15</v>
      </c>
      <c r="D918" s="2">
        <v>43326</v>
      </c>
      <c r="E918" s="2" t="s">
        <v>31</v>
      </c>
      <c r="F918" s="1">
        <v>24102</v>
      </c>
      <c r="G918" s="1" t="s">
        <v>669</v>
      </c>
      <c r="H918" s="1" t="s">
        <v>661</v>
      </c>
      <c r="J918" s="2" t="s">
        <v>680</v>
      </c>
      <c r="K918" s="1" t="s">
        <v>666</v>
      </c>
      <c r="L918" s="1" t="s">
        <v>1388</v>
      </c>
      <c r="M918" s="1" t="s">
        <v>1389</v>
      </c>
      <c r="N918" s="1" t="str">
        <f t="shared" si="14"/>
        <v>JUNIO TEIXEIRA /GEOVANI RORIZ</v>
      </c>
    </row>
    <row r="919" spans="1:14" x14ac:dyDescent="0.3">
      <c r="A919" s="1">
        <v>704938</v>
      </c>
      <c r="B919" s="1" t="s">
        <v>923</v>
      </c>
      <c r="C919" s="5" t="s">
        <v>15</v>
      </c>
      <c r="D919" s="2">
        <v>45607</v>
      </c>
      <c r="E919" s="2" t="s">
        <v>31</v>
      </c>
      <c r="F919" s="1">
        <v>39601</v>
      </c>
      <c r="G919" s="1" t="s">
        <v>660</v>
      </c>
      <c r="H919" s="1" t="s">
        <v>661</v>
      </c>
      <c r="J919" s="2" t="s">
        <v>662</v>
      </c>
      <c r="K919" s="1" t="s">
        <v>666</v>
      </c>
      <c r="L919" s="1" t="s">
        <v>258</v>
      </c>
      <c r="N919" s="1" t="str">
        <f t="shared" si="14"/>
        <v>MATHEUS ALMEIDA</v>
      </c>
    </row>
    <row r="920" spans="1:14" x14ac:dyDescent="0.3">
      <c r="A920" s="1">
        <v>700901</v>
      </c>
      <c r="B920" s="1" t="s">
        <v>924</v>
      </c>
      <c r="C920" s="5" t="s">
        <v>15</v>
      </c>
      <c r="D920" s="2">
        <v>43529</v>
      </c>
      <c r="E920" s="2" t="s">
        <v>166</v>
      </c>
      <c r="F920" s="1">
        <v>24102</v>
      </c>
      <c r="G920" s="1" t="s">
        <v>669</v>
      </c>
      <c r="H920" s="1" t="s">
        <v>661</v>
      </c>
      <c r="J920" s="2" t="s">
        <v>682</v>
      </c>
      <c r="K920" s="1" t="s">
        <v>666</v>
      </c>
      <c r="L920" s="1" t="s">
        <v>1390</v>
      </c>
      <c r="M920" s="1" t="s">
        <v>1391</v>
      </c>
      <c r="N920" s="1" t="str">
        <f t="shared" si="14"/>
        <v>ALCENO JUNIOR/JOÃO MARCOS</v>
      </c>
    </row>
    <row r="921" spans="1:14" x14ac:dyDescent="0.3">
      <c r="A921" s="1">
        <v>704333</v>
      </c>
      <c r="B921" s="1" t="s">
        <v>925</v>
      </c>
      <c r="C921" s="5" t="s">
        <v>15</v>
      </c>
      <c r="D921" s="2">
        <v>45363</v>
      </c>
      <c r="E921" s="2" t="s">
        <v>31</v>
      </c>
      <c r="F921" s="1">
        <v>24102</v>
      </c>
      <c r="G921" s="1" t="s">
        <v>669</v>
      </c>
      <c r="H921" s="1" t="s">
        <v>661</v>
      </c>
      <c r="J921" s="2" t="s">
        <v>672</v>
      </c>
      <c r="K921" s="1" t="s">
        <v>666</v>
      </c>
      <c r="L921" s="1" t="s">
        <v>1388</v>
      </c>
      <c r="M921" s="1" t="s">
        <v>1389</v>
      </c>
      <c r="N921" s="1" t="str">
        <f t="shared" si="14"/>
        <v>JUNIO TEIXEIRA /GEOVANI RORIZ</v>
      </c>
    </row>
    <row r="922" spans="1:14" x14ac:dyDescent="0.3">
      <c r="A922" s="1">
        <v>700355</v>
      </c>
      <c r="B922" s="1" t="s">
        <v>926</v>
      </c>
      <c r="C922" s="5" t="s">
        <v>15</v>
      </c>
      <c r="D922" s="2">
        <v>43297</v>
      </c>
      <c r="E922" s="2" t="s">
        <v>16</v>
      </c>
      <c r="F922" s="1">
        <v>24102</v>
      </c>
      <c r="G922" s="1" t="s">
        <v>669</v>
      </c>
      <c r="H922" s="1" t="s">
        <v>661</v>
      </c>
      <c r="J922" s="2" t="s">
        <v>682</v>
      </c>
      <c r="K922" s="1" t="s">
        <v>666</v>
      </c>
      <c r="L922" s="1" t="s">
        <v>1390</v>
      </c>
      <c r="M922" s="1" t="s">
        <v>1391</v>
      </c>
      <c r="N922" s="1" t="str">
        <f t="shared" si="14"/>
        <v>ALCENO JUNIOR/JOÃO MARCOS</v>
      </c>
    </row>
    <row r="923" spans="1:14" x14ac:dyDescent="0.3">
      <c r="A923" s="1">
        <v>705776</v>
      </c>
      <c r="B923" s="1" t="s">
        <v>1500</v>
      </c>
      <c r="C923" s="5" t="s">
        <v>15</v>
      </c>
      <c r="D923" s="2">
        <v>45993</v>
      </c>
      <c r="E923" s="2" t="s">
        <v>129</v>
      </c>
      <c r="F923" s="1">
        <v>31103</v>
      </c>
      <c r="G923" s="1" t="s">
        <v>718</v>
      </c>
      <c r="H923" s="1" t="s">
        <v>661</v>
      </c>
      <c r="J923" s="2" t="s">
        <v>719</v>
      </c>
      <c r="K923" s="1" t="s">
        <v>132</v>
      </c>
      <c r="L923" s="1" t="s">
        <v>132</v>
      </c>
      <c r="M923" s="1" t="s">
        <v>1381</v>
      </c>
      <c r="N923" s="1" t="str">
        <f t="shared" si="14"/>
        <v>MARCOS OLIVEIRA</v>
      </c>
    </row>
    <row r="924" spans="1:14" x14ac:dyDescent="0.3">
      <c r="A924" s="1">
        <v>701406</v>
      </c>
      <c r="B924" s="1" t="s">
        <v>927</v>
      </c>
      <c r="C924" s="5" t="s">
        <v>15</v>
      </c>
      <c r="D924" s="2">
        <v>43773</v>
      </c>
      <c r="E924" s="2" t="s">
        <v>260</v>
      </c>
      <c r="F924" s="1">
        <v>24102</v>
      </c>
      <c r="G924" s="1" t="s">
        <v>669</v>
      </c>
      <c r="H924" s="1" t="s">
        <v>661</v>
      </c>
      <c r="J924" s="2" t="s">
        <v>672</v>
      </c>
      <c r="K924" s="1" t="s">
        <v>666</v>
      </c>
      <c r="L924" s="1" t="s">
        <v>1388</v>
      </c>
      <c r="M924" s="1" t="s">
        <v>1389</v>
      </c>
      <c r="N924" s="1" t="str">
        <f t="shared" si="14"/>
        <v>JUNIO TEIXEIRA /GEOVANI RORIZ</v>
      </c>
    </row>
    <row r="925" spans="1:14" x14ac:dyDescent="0.3">
      <c r="A925" s="1">
        <v>703721</v>
      </c>
      <c r="B925" s="1" t="s">
        <v>928</v>
      </c>
      <c r="C925" s="5" t="s">
        <v>15</v>
      </c>
      <c r="D925" s="2">
        <v>45026</v>
      </c>
      <c r="E925" s="2" t="s">
        <v>146</v>
      </c>
      <c r="F925" s="1">
        <v>39601</v>
      </c>
      <c r="G925" s="1" t="s">
        <v>660</v>
      </c>
      <c r="H925" s="1" t="s">
        <v>661</v>
      </c>
      <c r="J925" s="2" t="s">
        <v>684</v>
      </c>
      <c r="K925" s="1" t="s">
        <v>666</v>
      </c>
      <c r="L925" s="1" t="s">
        <v>258</v>
      </c>
      <c r="M925" s="1" t="s">
        <v>1392</v>
      </c>
      <c r="N925" s="1" t="str">
        <f t="shared" si="14"/>
        <v>ADALTON/JANILSON RORIZ/MARIVALDO</v>
      </c>
    </row>
    <row r="926" spans="1:14" x14ac:dyDescent="0.3">
      <c r="A926" s="1">
        <v>703940</v>
      </c>
      <c r="B926" s="1" t="s">
        <v>929</v>
      </c>
      <c r="C926" s="5" t="s">
        <v>15</v>
      </c>
      <c r="D926" s="2">
        <v>45089</v>
      </c>
      <c r="E926" s="2" t="s">
        <v>27</v>
      </c>
      <c r="F926" s="1">
        <v>39601</v>
      </c>
      <c r="G926" s="1" t="s">
        <v>660</v>
      </c>
      <c r="H926" s="1" t="s">
        <v>661</v>
      </c>
      <c r="J926" s="2" t="s">
        <v>684</v>
      </c>
      <c r="K926" s="1" t="s">
        <v>666</v>
      </c>
      <c r="L926" s="1" t="s">
        <v>258</v>
      </c>
      <c r="M926" s="1" t="s">
        <v>1392</v>
      </c>
      <c r="N926" s="1" t="str">
        <f t="shared" si="14"/>
        <v>ADALTON/JANILSON RORIZ/MARIVALDO</v>
      </c>
    </row>
    <row r="927" spans="1:14" x14ac:dyDescent="0.3">
      <c r="A927" s="1">
        <v>704722</v>
      </c>
      <c r="B927" s="1" t="s">
        <v>930</v>
      </c>
      <c r="C927" s="5" t="s">
        <v>15</v>
      </c>
      <c r="D927" s="2">
        <v>45518</v>
      </c>
      <c r="E927" s="2" t="s">
        <v>27</v>
      </c>
      <c r="F927" s="1">
        <v>39601</v>
      </c>
      <c r="G927" s="1" t="s">
        <v>660</v>
      </c>
      <c r="H927" s="1" t="s">
        <v>661</v>
      </c>
      <c r="J927" s="2" t="s">
        <v>684</v>
      </c>
      <c r="K927" s="1" t="s">
        <v>666</v>
      </c>
      <c r="L927" s="1" t="s">
        <v>258</v>
      </c>
      <c r="M927" s="1" t="s">
        <v>1392</v>
      </c>
      <c r="N927" s="1" t="str">
        <f t="shared" si="14"/>
        <v>ADALTON/JANILSON RORIZ/MARIVALDO</v>
      </c>
    </row>
    <row r="928" spans="1:14" x14ac:dyDescent="0.3">
      <c r="A928" s="1">
        <v>704321</v>
      </c>
      <c r="B928" s="1" t="s">
        <v>931</v>
      </c>
      <c r="C928" s="5" t="s">
        <v>15</v>
      </c>
      <c r="D928" s="2">
        <v>45356</v>
      </c>
      <c r="E928" s="2" t="s">
        <v>31</v>
      </c>
      <c r="F928" s="1">
        <v>24102</v>
      </c>
      <c r="G928" s="1" t="s">
        <v>669</v>
      </c>
      <c r="H928" s="1" t="s">
        <v>661</v>
      </c>
      <c r="J928" s="2" t="s">
        <v>672</v>
      </c>
      <c r="K928" s="1" t="s">
        <v>666</v>
      </c>
      <c r="L928" s="1" t="s">
        <v>1388</v>
      </c>
      <c r="M928" s="1" t="s">
        <v>1389</v>
      </c>
      <c r="N928" s="1" t="str">
        <f t="shared" si="14"/>
        <v>JUNIO TEIXEIRA /GEOVANI RORIZ</v>
      </c>
    </row>
    <row r="929" spans="1:14" x14ac:dyDescent="0.3">
      <c r="A929" s="1">
        <v>704417</v>
      </c>
      <c r="B929" s="1" t="s">
        <v>932</v>
      </c>
      <c r="C929" s="5" t="s">
        <v>15</v>
      </c>
      <c r="D929" s="2">
        <v>45391</v>
      </c>
      <c r="E929" s="2" t="s">
        <v>146</v>
      </c>
      <c r="F929" s="1">
        <v>39601</v>
      </c>
      <c r="G929" s="1" t="s">
        <v>660</v>
      </c>
      <c r="H929" s="1" t="s">
        <v>661</v>
      </c>
      <c r="J929" s="2" t="s">
        <v>684</v>
      </c>
      <c r="K929" s="1" t="s">
        <v>666</v>
      </c>
      <c r="L929" s="1" t="s">
        <v>258</v>
      </c>
      <c r="M929" s="1" t="s">
        <v>1392</v>
      </c>
      <c r="N929" s="1" t="str">
        <f t="shared" si="14"/>
        <v>ADALTON/JANILSON RORIZ/MARIVALDO</v>
      </c>
    </row>
    <row r="930" spans="1:14" x14ac:dyDescent="0.3">
      <c r="A930" s="1">
        <v>705530</v>
      </c>
      <c r="B930" s="1" t="s">
        <v>1307</v>
      </c>
      <c r="C930" s="5" t="s">
        <v>15</v>
      </c>
      <c r="D930" s="2">
        <v>45847</v>
      </c>
      <c r="E930" s="2" t="s">
        <v>31</v>
      </c>
      <c r="F930" s="1">
        <v>39601</v>
      </c>
      <c r="G930" s="1" t="s">
        <v>660</v>
      </c>
      <c r="H930" s="1" t="s">
        <v>661</v>
      </c>
      <c r="J930" s="2" t="s">
        <v>684</v>
      </c>
      <c r="K930" s="1" t="s">
        <v>666</v>
      </c>
      <c r="L930" s="1" t="s">
        <v>258</v>
      </c>
      <c r="M930" s="1" t="s">
        <v>1392</v>
      </c>
      <c r="N930" s="1" t="str">
        <f t="shared" si="14"/>
        <v>ADALTON/JANILSON RORIZ/MARIVALDO</v>
      </c>
    </row>
    <row r="931" spans="1:14" x14ac:dyDescent="0.3">
      <c r="A931" s="1">
        <v>701554</v>
      </c>
      <c r="B931" s="1" t="s">
        <v>933</v>
      </c>
      <c r="C931" s="5" t="s">
        <v>15</v>
      </c>
      <c r="D931" s="2">
        <v>43959</v>
      </c>
      <c r="E931" s="2" t="s">
        <v>31</v>
      </c>
      <c r="F931" s="1">
        <v>24102</v>
      </c>
      <c r="G931" s="1" t="s">
        <v>669</v>
      </c>
      <c r="H931" s="1" t="s">
        <v>661</v>
      </c>
      <c r="J931" s="2" t="s">
        <v>680</v>
      </c>
      <c r="K931" s="1" t="s">
        <v>666</v>
      </c>
      <c r="L931" s="1" t="s">
        <v>1388</v>
      </c>
      <c r="M931" s="1" t="s">
        <v>1389</v>
      </c>
      <c r="N931" s="1" t="str">
        <f t="shared" si="14"/>
        <v>JUNIO TEIXEIRA /GEOVANI RORIZ</v>
      </c>
    </row>
    <row r="932" spans="1:14" x14ac:dyDescent="0.3">
      <c r="A932" s="1">
        <v>702673</v>
      </c>
      <c r="B932" s="1" t="s">
        <v>935</v>
      </c>
      <c r="C932" s="5" t="s">
        <v>15</v>
      </c>
      <c r="D932" s="2">
        <v>44517</v>
      </c>
      <c r="E932" s="2" t="s">
        <v>146</v>
      </c>
      <c r="F932" s="1">
        <v>39601</v>
      </c>
      <c r="G932" s="1" t="s">
        <v>660</v>
      </c>
      <c r="H932" s="1" t="s">
        <v>661</v>
      </c>
      <c r="J932" s="2" t="s">
        <v>684</v>
      </c>
      <c r="K932" s="1" t="s">
        <v>666</v>
      </c>
      <c r="L932" s="1" t="s">
        <v>258</v>
      </c>
      <c r="M932" s="1" t="s">
        <v>1392</v>
      </c>
      <c r="N932" s="1" t="str">
        <f t="shared" si="14"/>
        <v>ADALTON/JANILSON RORIZ/MARIVALDO</v>
      </c>
    </row>
    <row r="933" spans="1:14" x14ac:dyDescent="0.3">
      <c r="A933" s="1">
        <v>703717</v>
      </c>
      <c r="B933" s="1" t="s">
        <v>936</v>
      </c>
      <c r="C933" s="5" t="s">
        <v>15</v>
      </c>
      <c r="D933" s="2">
        <v>45019</v>
      </c>
      <c r="E933" s="2" t="s">
        <v>230</v>
      </c>
      <c r="F933" s="1">
        <v>38102</v>
      </c>
      <c r="G933" s="1" t="s">
        <v>725</v>
      </c>
      <c r="H933" s="1" t="s">
        <v>661</v>
      </c>
      <c r="J933" s="2" t="s">
        <v>726</v>
      </c>
      <c r="K933" s="1" t="s">
        <v>1372</v>
      </c>
      <c r="L933" s="1" t="s">
        <v>1372</v>
      </c>
      <c r="M933" s="1" t="s">
        <v>1373</v>
      </c>
      <c r="N933" s="1" t="str">
        <f t="shared" si="14"/>
        <v>DENIS ACASSIO</v>
      </c>
    </row>
    <row r="934" spans="1:14" x14ac:dyDescent="0.3">
      <c r="A934" s="1">
        <v>705123</v>
      </c>
      <c r="B934" s="1" t="s">
        <v>1149</v>
      </c>
      <c r="C934" s="5" t="s">
        <v>15</v>
      </c>
      <c r="D934" s="2">
        <v>45698</v>
      </c>
      <c r="E934" s="2" t="s">
        <v>336</v>
      </c>
      <c r="F934" s="1">
        <v>24102</v>
      </c>
      <c r="G934" s="1" t="s">
        <v>669</v>
      </c>
      <c r="H934" s="1" t="s">
        <v>661</v>
      </c>
      <c r="J934" s="2" t="s">
        <v>680</v>
      </c>
      <c r="K934" s="1" t="s">
        <v>666</v>
      </c>
      <c r="L934" s="1" t="s">
        <v>1388</v>
      </c>
      <c r="M934" s="1" t="s">
        <v>1389</v>
      </c>
      <c r="N934" s="1" t="str">
        <f t="shared" si="14"/>
        <v>JUNIO TEIXEIRA /GEOVANI RORIZ</v>
      </c>
    </row>
    <row r="935" spans="1:14" x14ac:dyDescent="0.3">
      <c r="A935" s="1">
        <v>705031</v>
      </c>
      <c r="B935" s="1" t="s">
        <v>937</v>
      </c>
      <c r="C935" s="5" t="s">
        <v>15</v>
      </c>
      <c r="D935" s="2">
        <v>45636</v>
      </c>
      <c r="E935" s="2" t="s">
        <v>31</v>
      </c>
      <c r="F935" s="1">
        <v>24201</v>
      </c>
      <c r="G935" s="1" t="s">
        <v>664</v>
      </c>
      <c r="H935" s="1" t="s">
        <v>661</v>
      </c>
      <c r="J935" s="2" t="s">
        <v>665</v>
      </c>
      <c r="K935" s="1" t="s">
        <v>666</v>
      </c>
      <c r="L935" s="1" t="s">
        <v>258</v>
      </c>
      <c r="M935" s="1" t="s">
        <v>667</v>
      </c>
      <c r="N935" s="1" t="str">
        <f t="shared" si="14"/>
        <v>JOSIEL NEVES</v>
      </c>
    </row>
    <row r="936" spans="1:14" x14ac:dyDescent="0.3">
      <c r="A936" s="1">
        <v>705388</v>
      </c>
      <c r="B936" s="1" t="s">
        <v>1261</v>
      </c>
      <c r="C936" s="5" t="s">
        <v>15</v>
      </c>
      <c r="D936" s="2">
        <v>45784</v>
      </c>
      <c r="E936" s="2" t="s">
        <v>31</v>
      </c>
      <c r="F936" s="1">
        <v>39601</v>
      </c>
      <c r="G936" s="1" t="s">
        <v>660</v>
      </c>
      <c r="H936" s="1" t="s">
        <v>661</v>
      </c>
      <c r="J936" s="2" t="s">
        <v>684</v>
      </c>
      <c r="K936" s="1" t="s">
        <v>666</v>
      </c>
      <c r="L936" s="1" t="s">
        <v>258</v>
      </c>
      <c r="M936" s="1" t="s">
        <v>1392</v>
      </c>
      <c r="N936" s="1" t="str">
        <f t="shared" si="14"/>
        <v>ADALTON/JANILSON RORIZ/MARIVALDO</v>
      </c>
    </row>
    <row r="937" spans="1:14" x14ac:dyDescent="0.3">
      <c r="A937" s="1">
        <v>705553</v>
      </c>
      <c r="B937" s="1" t="s">
        <v>1339</v>
      </c>
      <c r="C937" s="5" t="s">
        <v>15</v>
      </c>
      <c r="D937" s="2">
        <v>45874</v>
      </c>
      <c r="E937" s="2" t="s">
        <v>31</v>
      </c>
      <c r="F937" s="1">
        <v>39601</v>
      </c>
      <c r="G937" s="1" t="s">
        <v>660</v>
      </c>
      <c r="H937" s="1" t="s">
        <v>661</v>
      </c>
      <c r="J937" s="2" t="s">
        <v>684</v>
      </c>
      <c r="K937" s="1" t="s">
        <v>666</v>
      </c>
      <c r="L937" s="1" t="s">
        <v>258</v>
      </c>
      <c r="M937" s="1" t="s">
        <v>1392</v>
      </c>
      <c r="N937" s="1" t="str">
        <f t="shared" si="14"/>
        <v>ADALTON/JANILSON RORIZ/MARIVALDO</v>
      </c>
    </row>
    <row r="938" spans="1:14" x14ac:dyDescent="0.3">
      <c r="A938" s="1">
        <v>704248</v>
      </c>
      <c r="B938" s="1" t="s">
        <v>938</v>
      </c>
      <c r="C938" s="5" t="s">
        <v>15</v>
      </c>
      <c r="D938" s="2">
        <v>45342</v>
      </c>
      <c r="E938" s="2" t="s">
        <v>31</v>
      </c>
      <c r="F938" s="1">
        <v>24102</v>
      </c>
      <c r="G938" s="1" t="s">
        <v>669</v>
      </c>
      <c r="H938" s="1" t="s">
        <v>661</v>
      </c>
      <c r="J938" s="2" t="s">
        <v>680</v>
      </c>
      <c r="K938" s="1" t="s">
        <v>666</v>
      </c>
      <c r="L938" s="1" t="s">
        <v>1388</v>
      </c>
      <c r="M938" s="1" t="s">
        <v>1389</v>
      </c>
      <c r="N938" s="1" t="str">
        <f t="shared" si="14"/>
        <v>JUNIO TEIXEIRA /GEOVANI RORIZ</v>
      </c>
    </row>
    <row r="939" spans="1:14" x14ac:dyDescent="0.3">
      <c r="A939" s="1">
        <v>701353</v>
      </c>
      <c r="B939" s="1" t="s">
        <v>413</v>
      </c>
      <c r="C939" s="5" t="s">
        <v>15</v>
      </c>
      <c r="D939" s="2">
        <v>43759</v>
      </c>
      <c r="E939" s="2" t="s">
        <v>166</v>
      </c>
      <c r="F939" s="1">
        <v>24102</v>
      </c>
      <c r="G939" s="1" t="s">
        <v>669</v>
      </c>
      <c r="H939" s="1" t="s">
        <v>661</v>
      </c>
      <c r="J939" s="2" t="s">
        <v>697</v>
      </c>
      <c r="K939" s="1" t="s">
        <v>666</v>
      </c>
      <c r="L939" s="1" t="s">
        <v>1390</v>
      </c>
      <c r="N939" s="1" t="str">
        <f t="shared" si="14"/>
        <v>JOÃO FILHO</v>
      </c>
    </row>
    <row r="940" spans="1:14" x14ac:dyDescent="0.3">
      <c r="A940" s="1">
        <v>703934</v>
      </c>
      <c r="B940" s="1" t="s">
        <v>939</v>
      </c>
      <c r="C940" s="5" t="s">
        <v>15</v>
      </c>
      <c r="D940" s="2">
        <v>45089</v>
      </c>
      <c r="E940" s="2" t="s">
        <v>60</v>
      </c>
      <c r="F940" s="1">
        <v>39601</v>
      </c>
      <c r="G940" s="1" t="s">
        <v>660</v>
      </c>
      <c r="H940" s="1" t="s">
        <v>661</v>
      </c>
      <c r="J940" s="2" t="s">
        <v>684</v>
      </c>
      <c r="K940" s="1" t="s">
        <v>666</v>
      </c>
      <c r="L940" s="1" t="s">
        <v>258</v>
      </c>
      <c r="M940" s="1" t="s">
        <v>1392</v>
      </c>
      <c r="N940" s="1" t="str">
        <f t="shared" si="14"/>
        <v>ADALTON/JANILSON RORIZ/MARIVALDO</v>
      </c>
    </row>
    <row r="941" spans="1:14" x14ac:dyDescent="0.3">
      <c r="A941" s="1">
        <v>701381</v>
      </c>
      <c r="B941" s="1" t="s">
        <v>940</v>
      </c>
      <c r="C941" s="5" t="s">
        <v>15</v>
      </c>
      <c r="D941" s="2">
        <v>43759</v>
      </c>
      <c r="E941" s="2" t="s">
        <v>160</v>
      </c>
      <c r="F941" s="1">
        <v>32102</v>
      </c>
      <c r="G941" s="1" t="s">
        <v>674</v>
      </c>
      <c r="H941" s="1" t="s">
        <v>661</v>
      </c>
      <c r="J941" s="2" t="s">
        <v>675</v>
      </c>
      <c r="K941" s="1" t="s">
        <v>25</v>
      </c>
      <c r="L941" s="1" t="s">
        <v>1369</v>
      </c>
      <c r="M941" s="1" t="s">
        <v>676</v>
      </c>
      <c r="N941" s="1" t="str">
        <f t="shared" si="14"/>
        <v>MARCELO DOURADO</v>
      </c>
    </row>
    <row r="942" spans="1:14" x14ac:dyDescent="0.3">
      <c r="A942" s="1">
        <v>704437</v>
      </c>
      <c r="B942" s="1" t="s">
        <v>941</v>
      </c>
      <c r="C942" s="5" t="s">
        <v>15</v>
      </c>
      <c r="D942" s="2">
        <v>45419</v>
      </c>
      <c r="E942" s="2" t="s">
        <v>31</v>
      </c>
      <c r="F942" s="1">
        <v>38102</v>
      </c>
      <c r="G942" s="1" t="s">
        <v>725</v>
      </c>
      <c r="H942" s="1" t="s">
        <v>661</v>
      </c>
      <c r="J942" s="2" t="s">
        <v>726</v>
      </c>
      <c r="K942" s="1" t="s">
        <v>1372</v>
      </c>
      <c r="L942" s="1" t="s">
        <v>1372</v>
      </c>
      <c r="M942" s="1" t="s">
        <v>1373</v>
      </c>
      <c r="N942" s="1" t="str">
        <f t="shared" si="14"/>
        <v>DENIS ACASSIO</v>
      </c>
    </row>
    <row r="943" spans="1:14" x14ac:dyDescent="0.3">
      <c r="A943" s="1">
        <v>701567</v>
      </c>
      <c r="B943" s="1" t="s">
        <v>942</v>
      </c>
      <c r="C943" s="5" t="s">
        <v>15</v>
      </c>
      <c r="D943" s="2">
        <v>43969</v>
      </c>
      <c r="E943" s="2" t="s">
        <v>146</v>
      </c>
      <c r="F943" s="1">
        <v>39601</v>
      </c>
      <c r="G943" s="1" t="s">
        <v>660</v>
      </c>
      <c r="H943" s="1" t="s">
        <v>661</v>
      </c>
      <c r="J943" s="2" t="s">
        <v>684</v>
      </c>
      <c r="K943" s="1" t="s">
        <v>666</v>
      </c>
      <c r="L943" s="1" t="s">
        <v>258</v>
      </c>
      <c r="M943" s="1" t="s">
        <v>1392</v>
      </c>
      <c r="N943" s="1" t="str">
        <f t="shared" si="14"/>
        <v>ADALTON/JANILSON RORIZ/MARIVALDO</v>
      </c>
    </row>
    <row r="944" spans="1:14" x14ac:dyDescent="0.3">
      <c r="A944" s="1">
        <v>703715</v>
      </c>
      <c r="B944" s="1" t="s">
        <v>943</v>
      </c>
      <c r="C944" s="5" t="s">
        <v>15</v>
      </c>
      <c r="D944" s="2">
        <v>45019</v>
      </c>
      <c r="E944" s="2" t="s">
        <v>371</v>
      </c>
      <c r="F944" s="1">
        <v>39601</v>
      </c>
      <c r="G944" s="1" t="s">
        <v>660</v>
      </c>
      <c r="H944" s="1" t="s">
        <v>661</v>
      </c>
      <c r="J944" s="2" t="s">
        <v>684</v>
      </c>
      <c r="K944" s="1" t="s">
        <v>666</v>
      </c>
      <c r="L944" s="1" t="s">
        <v>258</v>
      </c>
      <c r="M944" s="1" t="s">
        <v>1392</v>
      </c>
      <c r="N944" s="1" t="str">
        <f t="shared" si="14"/>
        <v>ADALTON/JANILSON RORIZ/MARIVALDO</v>
      </c>
    </row>
    <row r="945" spans="1:14" x14ac:dyDescent="0.3">
      <c r="A945" s="1">
        <v>100808</v>
      </c>
      <c r="B945" s="1" t="s">
        <v>944</v>
      </c>
      <c r="C945" s="5" t="s">
        <v>15</v>
      </c>
      <c r="D945" s="2">
        <v>42303</v>
      </c>
      <c r="E945" s="2" t="s">
        <v>734</v>
      </c>
      <c r="F945" s="1">
        <v>24201</v>
      </c>
      <c r="G945" s="1" t="s">
        <v>664</v>
      </c>
      <c r="H945" s="1" t="s">
        <v>661</v>
      </c>
      <c r="J945" s="2" t="s">
        <v>665</v>
      </c>
      <c r="K945" s="1" t="s">
        <v>666</v>
      </c>
      <c r="L945" s="1" t="s">
        <v>258</v>
      </c>
      <c r="M945" s="1" t="s">
        <v>667</v>
      </c>
      <c r="N945" s="1" t="str">
        <f t="shared" si="14"/>
        <v>JOSIEL NEVES</v>
      </c>
    </row>
    <row r="946" spans="1:14" x14ac:dyDescent="0.3">
      <c r="A946" s="1">
        <v>703530</v>
      </c>
      <c r="B946" s="1" t="s">
        <v>945</v>
      </c>
      <c r="C946" s="5" t="s">
        <v>15</v>
      </c>
      <c r="D946" s="2">
        <v>44907</v>
      </c>
      <c r="E946" s="2" t="s">
        <v>146</v>
      </c>
      <c r="F946" s="1">
        <v>24102</v>
      </c>
      <c r="G946" s="1" t="s">
        <v>669</v>
      </c>
      <c r="H946" s="1" t="s">
        <v>661</v>
      </c>
      <c r="J946" s="2" t="s">
        <v>804</v>
      </c>
      <c r="K946" s="1" t="s">
        <v>1371</v>
      </c>
      <c r="L946" s="1" t="s">
        <v>1378</v>
      </c>
      <c r="M946" s="1" t="s">
        <v>805</v>
      </c>
      <c r="N946" s="1" t="str">
        <f t="shared" si="14"/>
        <v>JAILSON RORIZ</v>
      </c>
    </row>
    <row r="947" spans="1:14" x14ac:dyDescent="0.3">
      <c r="A947" s="1">
        <v>703552</v>
      </c>
      <c r="B947" s="1" t="s">
        <v>946</v>
      </c>
      <c r="C947" s="5" t="s">
        <v>15</v>
      </c>
      <c r="D947" s="2">
        <v>44935</v>
      </c>
      <c r="E947" s="2" t="s">
        <v>255</v>
      </c>
      <c r="F947" s="1">
        <v>24102</v>
      </c>
      <c r="G947" s="1" t="s">
        <v>669</v>
      </c>
      <c r="H947" s="1" t="s">
        <v>661</v>
      </c>
      <c r="J947" s="2" t="s">
        <v>680</v>
      </c>
      <c r="K947" s="1" t="s">
        <v>666</v>
      </c>
      <c r="L947" s="1" t="s">
        <v>1388</v>
      </c>
      <c r="M947" s="1" t="s">
        <v>1389</v>
      </c>
      <c r="N947" s="1" t="str">
        <f t="shared" si="14"/>
        <v>JUNIO TEIXEIRA /GEOVANI RORIZ</v>
      </c>
    </row>
    <row r="948" spans="1:14" x14ac:dyDescent="0.3">
      <c r="A948" s="1">
        <v>703553</v>
      </c>
      <c r="B948" s="1" t="s">
        <v>948</v>
      </c>
      <c r="C948" s="5" t="s">
        <v>15</v>
      </c>
      <c r="D948" s="2">
        <v>44935</v>
      </c>
      <c r="E948" s="2" t="s">
        <v>138</v>
      </c>
      <c r="F948" s="1">
        <v>24102</v>
      </c>
      <c r="G948" s="1" t="s">
        <v>669</v>
      </c>
      <c r="H948" s="1" t="s">
        <v>661</v>
      </c>
      <c r="J948" s="2" t="s">
        <v>682</v>
      </c>
      <c r="K948" s="1" t="s">
        <v>666</v>
      </c>
      <c r="L948" s="1" t="s">
        <v>1390</v>
      </c>
      <c r="M948" s="1" t="s">
        <v>1391</v>
      </c>
      <c r="N948" s="1" t="str">
        <f t="shared" si="14"/>
        <v>ALCENO JUNIOR/JOÃO MARCOS</v>
      </c>
    </row>
    <row r="949" spans="1:14" x14ac:dyDescent="0.3">
      <c r="A949" s="1">
        <v>705174</v>
      </c>
      <c r="B949" s="1" t="s">
        <v>1174</v>
      </c>
      <c r="C949" s="5" t="s">
        <v>15</v>
      </c>
      <c r="D949" s="2">
        <v>45726</v>
      </c>
      <c r="E949" s="2" t="s">
        <v>138</v>
      </c>
      <c r="F949" s="1">
        <v>24102</v>
      </c>
      <c r="G949" s="1" t="s">
        <v>669</v>
      </c>
      <c r="H949" s="1" t="s">
        <v>661</v>
      </c>
      <c r="J949" s="2" t="s">
        <v>697</v>
      </c>
      <c r="K949" s="1" t="s">
        <v>666</v>
      </c>
      <c r="L949" s="1" t="s">
        <v>1390</v>
      </c>
      <c r="N949" s="1" t="str">
        <f t="shared" si="14"/>
        <v>JOÃO FILHO</v>
      </c>
    </row>
    <row r="950" spans="1:14" x14ac:dyDescent="0.3">
      <c r="A950" s="1">
        <v>703422</v>
      </c>
      <c r="B950" s="1" t="s">
        <v>949</v>
      </c>
      <c r="C950" s="5" t="s">
        <v>15</v>
      </c>
      <c r="D950" s="2">
        <v>44873</v>
      </c>
      <c r="E950" s="2" t="s">
        <v>16</v>
      </c>
      <c r="F950" s="1">
        <v>24102</v>
      </c>
      <c r="G950" s="1" t="s">
        <v>669</v>
      </c>
      <c r="H950" s="1" t="s">
        <v>661</v>
      </c>
      <c r="J950" s="2" t="s">
        <v>682</v>
      </c>
      <c r="K950" s="1" t="s">
        <v>666</v>
      </c>
      <c r="L950" s="1" t="s">
        <v>1390</v>
      </c>
      <c r="M950" s="1" t="s">
        <v>1391</v>
      </c>
      <c r="N950" s="1" t="str">
        <f t="shared" si="14"/>
        <v>ALCENO JUNIOR/JOÃO MARCOS</v>
      </c>
    </row>
    <row r="951" spans="1:14" x14ac:dyDescent="0.3">
      <c r="A951" s="1">
        <v>704315</v>
      </c>
      <c r="B951" s="1" t="s">
        <v>951</v>
      </c>
      <c r="C951" s="5" t="s">
        <v>15</v>
      </c>
      <c r="D951" s="2">
        <v>45356</v>
      </c>
      <c r="E951" s="2" t="s">
        <v>31</v>
      </c>
      <c r="F951" s="1">
        <v>24102</v>
      </c>
      <c r="G951" s="1" t="s">
        <v>669</v>
      </c>
      <c r="H951" s="1" t="s">
        <v>661</v>
      </c>
      <c r="J951" s="2" t="s">
        <v>672</v>
      </c>
      <c r="K951" s="1" t="s">
        <v>666</v>
      </c>
      <c r="L951" s="1" t="s">
        <v>1388</v>
      </c>
      <c r="M951" s="1" t="s">
        <v>1389</v>
      </c>
      <c r="N951" s="1" t="str">
        <f t="shared" si="14"/>
        <v>JUNIO TEIXEIRA /GEOVANI RORIZ</v>
      </c>
    </row>
    <row r="952" spans="1:14" x14ac:dyDescent="0.3">
      <c r="A952" s="1">
        <v>702385</v>
      </c>
      <c r="B952" s="1" t="s">
        <v>952</v>
      </c>
      <c r="C952" s="5" t="s">
        <v>15</v>
      </c>
      <c r="D952" s="2">
        <v>44369</v>
      </c>
      <c r="E952" s="2" t="s">
        <v>109</v>
      </c>
      <c r="F952" s="1">
        <v>32102</v>
      </c>
      <c r="G952" s="1" t="s">
        <v>674</v>
      </c>
      <c r="H952" s="1" t="s">
        <v>661</v>
      </c>
      <c r="J952" s="2" t="s">
        <v>675</v>
      </c>
      <c r="K952" s="1" t="s">
        <v>25</v>
      </c>
      <c r="L952" s="1" t="s">
        <v>1369</v>
      </c>
      <c r="M952" s="1" t="s">
        <v>676</v>
      </c>
      <c r="N952" s="1" t="str">
        <f t="shared" si="14"/>
        <v>MARCELO DOURADO</v>
      </c>
    </row>
    <row r="953" spans="1:14" x14ac:dyDescent="0.3">
      <c r="A953" s="1">
        <v>704398</v>
      </c>
      <c r="B953" s="1" t="s">
        <v>953</v>
      </c>
      <c r="C953" s="5" t="s">
        <v>15</v>
      </c>
      <c r="D953" s="2">
        <v>45391</v>
      </c>
      <c r="E953" s="2" t="s">
        <v>371</v>
      </c>
      <c r="F953" s="1">
        <v>39601</v>
      </c>
      <c r="G953" s="1" t="s">
        <v>660</v>
      </c>
      <c r="H953" s="1" t="s">
        <v>661</v>
      </c>
      <c r="J953" s="2" t="s">
        <v>662</v>
      </c>
      <c r="K953" s="1" t="s">
        <v>666</v>
      </c>
      <c r="L953" s="1" t="s">
        <v>258</v>
      </c>
      <c r="N953" s="1" t="str">
        <f t="shared" si="14"/>
        <v>MATHEUS ALMEIDA</v>
      </c>
    </row>
    <row r="954" spans="1:14" x14ac:dyDescent="0.3">
      <c r="A954" s="1">
        <v>704014</v>
      </c>
      <c r="B954" s="1" t="s">
        <v>954</v>
      </c>
      <c r="C954" s="5" t="s">
        <v>15</v>
      </c>
      <c r="D954" s="2">
        <v>45146</v>
      </c>
      <c r="E954" s="2" t="s">
        <v>60</v>
      </c>
      <c r="F954" s="1">
        <v>39601</v>
      </c>
      <c r="G954" s="1" t="s">
        <v>660</v>
      </c>
      <c r="H954" s="1" t="s">
        <v>661</v>
      </c>
      <c r="J954" s="2" t="s">
        <v>684</v>
      </c>
      <c r="K954" s="1" t="s">
        <v>666</v>
      </c>
      <c r="L954" s="1" t="s">
        <v>258</v>
      </c>
      <c r="M954" s="1" t="s">
        <v>1392</v>
      </c>
      <c r="N954" s="1" t="str">
        <f t="shared" si="14"/>
        <v>ADALTON/JANILSON RORIZ/MARIVALDO</v>
      </c>
    </row>
    <row r="955" spans="1:14" x14ac:dyDescent="0.3">
      <c r="A955" s="1">
        <v>702992</v>
      </c>
      <c r="B955" s="1" t="s">
        <v>955</v>
      </c>
      <c r="C955" s="5" t="s">
        <v>15</v>
      </c>
      <c r="D955" s="2">
        <v>44691</v>
      </c>
      <c r="E955" s="2" t="s">
        <v>507</v>
      </c>
      <c r="F955" s="1">
        <v>24201</v>
      </c>
      <c r="G955" s="1" t="s">
        <v>664</v>
      </c>
      <c r="H955" s="1" t="s">
        <v>661</v>
      </c>
      <c r="J955" s="2" t="s">
        <v>665</v>
      </c>
      <c r="K955" s="1" t="s">
        <v>666</v>
      </c>
      <c r="L955" s="1" t="s">
        <v>258</v>
      </c>
      <c r="M955" s="1" t="s">
        <v>667</v>
      </c>
      <c r="N955" s="1" t="str">
        <f t="shared" si="14"/>
        <v>JOSIEL NEVES</v>
      </c>
    </row>
    <row r="956" spans="1:14" x14ac:dyDescent="0.3">
      <c r="A956" s="1">
        <v>704575</v>
      </c>
      <c r="B956" s="1" t="s">
        <v>956</v>
      </c>
      <c r="C956" s="5" t="s">
        <v>15</v>
      </c>
      <c r="D956" s="2">
        <v>45448</v>
      </c>
      <c r="E956" s="2" t="s">
        <v>427</v>
      </c>
      <c r="F956" s="1">
        <v>39602</v>
      </c>
      <c r="G956" s="1" t="s">
        <v>699</v>
      </c>
      <c r="H956" s="1" t="s">
        <v>661</v>
      </c>
      <c r="J956" s="2" t="s">
        <v>700</v>
      </c>
      <c r="K956" s="1" t="s">
        <v>666</v>
      </c>
      <c r="L956" s="1" t="s">
        <v>258</v>
      </c>
      <c r="M956" s="1" t="s">
        <v>701</v>
      </c>
      <c r="N956" s="1" t="str">
        <f t="shared" si="14"/>
        <v>IURY GUEDES</v>
      </c>
    </row>
    <row r="957" spans="1:14" x14ac:dyDescent="0.3">
      <c r="A957" s="1">
        <v>702818</v>
      </c>
      <c r="B957" s="1" t="s">
        <v>957</v>
      </c>
      <c r="C957" s="5" t="s">
        <v>15</v>
      </c>
      <c r="D957" s="2">
        <v>44614</v>
      </c>
      <c r="E957" s="2" t="s">
        <v>31</v>
      </c>
      <c r="F957" s="1">
        <v>24102</v>
      </c>
      <c r="G957" s="1" t="s">
        <v>669</v>
      </c>
      <c r="H957" s="1" t="s">
        <v>661</v>
      </c>
      <c r="J957" s="2" t="s">
        <v>672</v>
      </c>
      <c r="K957" s="1" t="s">
        <v>666</v>
      </c>
      <c r="L957" s="1" t="s">
        <v>1388</v>
      </c>
      <c r="M957" s="1" t="s">
        <v>1389</v>
      </c>
      <c r="N957" s="1" t="str">
        <f t="shared" si="14"/>
        <v>JUNIO TEIXEIRA /GEOVANI RORIZ</v>
      </c>
    </row>
    <row r="958" spans="1:14" x14ac:dyDescent="0.3">
      <c r="A958" s="1">
        <v>101714</v>
      </c>
      <c r="B958" s="1" t="s">
        <v>958</v>
      </c>
      <c r="C958" s="5" t="s">
        <v>15</v>
      </c>
      <c r="D958" s="2">
        <v>43060</v>
      </c>
      <c r="E958" s="2" t="s">
        <v>219</v>
      </c>
      <c r="F958" s="1">
        <v>32102</v>
      </c>
      <c r="G958" s="1" t="s">
        <v>674</v>
      </c>
      <c r="H958" s="1" t="s">
        <v>661</v>
      </c>
      <c r="J958" s="2" t="s">
        <v>675</v>
      </c>
      <c r="K958" s="1" t="s">
        <v>25</v>
      </c>
      <c r="L958" s="1" t="s">
        <v>1369</v>
      </c>
      <c r="M958" s="1" t="s">
        <v>676</v>
      </c>
      <c r="N958" s="1" t="str">
        <f t="shared" si="14"/>
        <v>MARCELO DOURADO</v>
      </c>
    </row>
    <row r="959" spans="1:14" x14ac:dyDescent="0.3">
      <c r="A959" s="1">
        <v>701030</v>
      </c>
      <c r="B959" s="1" t="s">
        <v>959</v>
      </c>
      <c r="C959" s="5" t="s">
        <v>15</v>
      </c>
      <c r="D959" s="2">
        <v>43605</v>
      </c>
      <c r="E959" s="2" t="s">
        <v>60</v>
      </c>
      <c r="F959" s="1">
        <v>24102</v>
      </c>
      <c r="G959" s="1" t="s">
        <v>669</v>
      </c>
      <c r="H959" s="1" t="s">
        <v>661</v>
      </c>
      <c r="J959" s="2" t="s">
        <v>697</v>
      </c>
      <c r="K959" s="1" t="s">
        <v>666</v>
      </c>
      <c r="L959" s="1" t="s">
        <v>1390</v>
      </c>
      <c r="N959" s="1" t="str">
        <f t="shared" si="14"/>
        <v>JOÃO FILHO</v>
      </c>
    </row>
    <row r="960" spans="1:14" x14ac:dyDescent="0.3">
      <c r="A960" s="1">
        <v>703631</v>
      </c>
      <c r="B960" s="1" t="s">
        <v>960</v>
      </c>
      <c r="C960" s="5" t="s">
        <v>15</v>
      </c>
      <c r="D960" s="2">
        <v>44991</v>
      </c>
      <c r="E960" s="2" t="s">
        <v>60</v>
      </c>
      <c r="F960" s="1">
        <v>24102</v>
      </c>
      <c r="G960" s="1" t="s">
        <v>669</v>
      </c>
      <c r="H960" s="1" t="s">
        <v>661</v>
      </c>
      <c r="J960" s="2" t="s">
        <v>697</v>
      </c>
      <c r="K960" s="1" t="s">
        <v>666</v>
      </c>
      <c r="L960" s="1" t="s">
        <v>1390</v>
      </c>
      <c r="N960" s="1" t="str">
        <f t="shared" si="14"/>
        <v>JOÃO FILHO</v>
      </c>
    </row>
    <row r="961" spans="1:14" x14ac:dyDescent="0.3">
      <c r="A961" s="1">
        <v>705267</v>
      </c>
      <c r="B961" s="1" t="s">
        <v>1201</v>
      </c>
      <c r="C961" s="5" t="s">
        <v>15</v>
      </c>
      <c r="D961" s="2">
        <v>45762</v>
      </c>
      <c r="E961" s="2" t="s">
        <v>31</v>
      </c>
      <c r="F961" s="1">
        <v>24102</v>
      </c>
      <c r="G961" s="1" t="s">
        <v>669</v>
      </c>
      <c r="H961" s="1" t="s">
        <v>661</v>
      </c>
      <c r="J961" s="2" t="s">
        <v>672</v>
      </c>
      <c r="K961" s="1" t="s">
        <v>666</v>
      </c>
      <c r="L961" s="1" t="s">
        <v>1388</v>
      </c>
      <c r="M961" s="1" t="s">
        <v>1389</v>
      </c>
      <c r="N961" s="1" t="str">
        <f t="shared" si="14"/>
        <v>JUNIO TEIXEIRA /GEOVANI RORIZ</v>
      </c>
    </row>
    <row r="962" spans="1:14" x14ac:dyDescent="0.3">
      <c r="A962" s="1">
        <v>704508</v>
      </c>
      <c r="B962" s="1" t="s">
        <v>961</v>
      </c>
      <c r="C962" s="5" t="s">
        <v>15</v>
      </c>
      <c r="D962" s="2">
        <v>45419</v>
      </c>
      <c r="E962" s="2" t="s">
        <v>129</v>
      </c>
      <c r="F962" s="1">
        <v>31103</v>
      </c>
      <c r="G962" s="1" t="s">
        <v>718</v>
      </c>
      <c r="H962" s="1" t="s">
        <v>661</v>
      </c>
      <c r="J962" s="2" t="s">
        <v>719</v>
      </c>
      <c r="K962" s="1" t="s">
        <v>132</v>
      </c>
      <c r="L962" s="1" t="s">
        <v>132</v>
      </c>
      <c r="M962" s="1" t="s">
        <v>1381</v>
      </c>
      <c r="N962" s="1" t="str">
        <f t="shared" si="14"/>
        <v>MARCOS OLIVEIRA</v>
      </c>
    </row>
    <row r="963" spans="1:14" x14ac:dyDescent="0.3">
      <c r="A963" s="1">
        <v>703790</v>
      </c>
      <c r="B963" s="1" t="s">
        <v>962</v>
      </c>
      <c r="C963" s="5" t="s">
        <v>15</v>
      </c>
      <c r="D963" s="2">
        <v>45019</v>
      </c>
      <c r="E963" s="2" t="s">
        <v>371</v>
      </c>
      <c r="F963" s="1">
        <v>39601</v>
      </c>
      <c r="G963" s="1" t="s">
        <v>660</v>
      </c>
      <c r="H963" s="1" t="s">
        <v>661</v>
      </c>
      <c r="J963" s="2" t="s">
        <v>662</v>
      </c>
      <c r="K963" s="1" t="s">
        <v>666</v>
      </c>
      <c r="L963" s="1" t="s">
        <v>258</v>
      </c>
      <c r="N963" s="1" t="str">
        <f t="shared" ref="N963:N1026" si="15">IF(M963&lt;&gt;"", M963, IF(L963&lt;&gt;"", L963, K963))</f>
        <v>MATHEUS ALMEIDA</v>
      </c>
    </row>
    <row r="964" spans="1:14" x14ac:dyDescent="0.3">
      <c r="A964" s="1">
        <v>703554</v>
      </c>
      <c r="B964" s="1" t="s">
        <v>963</v>
      </c>
      <c r="C964" s="5" t="s">
        <v>15</v>
      </c>
      <c r="D964" s="2">
        <v>44935</v>
      </c>
      <c r="E964" s="2" t="s">
        <v>146</v>
      </c>
      <c r="F964" s="1">
        <v>24201</v>
      </c>
      <c r="G964" s="1" t="s">
        <v>664</v>
      </c>
      <c r="H964" s="1" t="s">
        <v>661</v>
      </c>
      <c r="J964" s="2" t="s">
        <v>665</v>
      </c>
      <c r="K964" s="1" t="s">
        <v>666</v>
      </c>
      <c r="L964" s="1" t="s">
        <v>258</v>
      </c>
      <c r="M964" s="1" t="s">
        <v>667</v>
      </c>
      <c r="N964" s="1" t="str">
        <f t="shared" si="15"/>
        <v>JOSIEL NEVES</v>
      </c>
    </row>
    <row r="965" spans="1:14" x14ac:dyDescent="0.3">
      <c r="A965" s="1">
        <v>705538</v>
      </c>
      <c r="B965" s="1" t="s">
        <v>1340</v>
      </c>
      <c r="C965" s="5" t="s">
        <v>15</v>
      </c>
      <c r="D965" s="2">
        <v>45874</v>
      </c>
      <c r="E965" s="2" t="s">
        <v>31</v>
      </c>
      <c r="F965" s="1">
        <v>39601</v>
      </c>
      <c r="G965" s="1" t="s">
        <v>660</v>
      </c>
      <c r="H965" s="1" t="s">
        <v>661</v>
      </c>
      <c r="J965" s="2" t="s">
        <v>684</v>
      </c>
      <c r="K965" s="1" t="s">
        <v>666</v>
      </c>
      <c r="L965" s="1" t="s">
        <v>258</v>
      </c>
      <c r="M965" s="1" t="s">
        <v>1392</v>
      </c>
      <c r="N965" s="1" t="str">
        <f t="shared" si="15"/>
        <v>ADALTON/JANILSON RORIZ/MARIVALDO</v>
      </c>
    </row>
    <row r="966" spans="1:14" x14ac:dyDescent="0.3">
      <c r="A966" s="1">
        <v>705297</v>
      </c>
      <c r="B966" s="1" t="s">
        <v>1202</v>
      </c>
      <c r="C966" s="5" t="s">
        <v>15</v>
      </c>
      <c r="D966" s="2">
        <v>45762</v>
      </c>
      <c r="E966" s="2" t="s">
        <v>31</v>
      </c>
      <c r="F966" s="1">
        <v>39601</v>
      </c>
      <c r="G966" s="1" t="s">
        <v>660</v>
      </c>
      <c r="H966" s="1" t="s">
        <v>661</v>
      </c>
      <c r="J966" s="2" t="s">
        <v>684</v>
      </c>
      <c r="K966" s="1" t="s">
        <v>666</v>
      </c>
      <c r="L966" s="1" t="s">
        <v>258</v>
      </c>
      <c r="M966" s="1" t="s">
        <v>1392</v>
      </c>
      <c r="N966" s="1" t="str">
        <f t="shared" si="15"/>
        <v>ADALTON/JANILSON RORIZ/MARIVALDO</v>
      </c>
    </row>
    <row r="967" spans="1:14" x14ac:dyDescent="0.3">
      <c r="A967" s="1">
        <v>705295</v>
      </c>
      <c r="B967" s="1" t="s">
        <v>1203</v>
      </c>
      <c r="C967" s="5" t="s">
        <v>15</v>
      </c>
      <c r="D967" s="2">
        <v>45762</v>
      </c>
      <c r="E967" s="2" t="s">
        <v>31</v>
      </c>
      <c r="F967" s="1">
        <v>39601</v>
      </c>
      <c r="G967" s="1" t="s">
        <v>660</v>
      </c>
      <c r="H967" s="1" t="s">
        <v>661</v>
      </c>
      <c r="J967" s="2" t="s">
        <v>684</v>
      </c>
      <c r="K967" s="1" t="s">
        <v>666</v>
      </c>
      <c r="L967" s="1" t="s">
        <v>258</v>
      </c>
      <c r="M967" s="1" t="s">
        <v>1392</v>
      </c>
      <c r="N967" s="1" t="str">
        <f t="shared" si="15"/>
        <v>ADALTON/JANILSON RORIZ/MARIVALDO</v>
      </c>
    </row>
    <row r="968" spans="1:14" x14ac:dyDescent="0.3">
      <c r="A968" s="1">
        <v>703655</v>
      </c>
      <c r="B968" s="1" t="s">
        <v>964</v>
      </c>
      <c r="C968" s="5" t="s">
        <v>15</v>
      </c>
      <c r="D968" s="2">
        <v>44998</v>
      </c>
      <c r="E968" s="2" t="s">
        <v>31</v>
      </c>
      <c r="F968" s="1">
        <v>24102</v>
      </c>
      <c r="G968" s="1" t="s">
        <v>669</v>
      </c>
      <c r="H968" s="1" t="s">
        <v>661</v>
      </c>
      <c r="J968" s="2" t="s">
        <v>680</v>
      </c>
      <c r="K968" s="1" t="s">
        <v>666</v>
      </c>
      <c r="L968" s="1" t="s">
        <v>1388</v>
      </c>
      <c r="M968" s="1" t="s">
        <v>1389</v>
      </c>
      <c r="N968" s="1" t="str">
        <f t="shared" si="15"/>
        <v>JUNIO TEIXEIRA /GEOVANI RORIZ</v>
      </c>
    </row>
    <row r="969" spans="1:14" x14ac:dyDescent="0.3">
      <c r="A969" s="1">
        <v>701675</v>
      </c>
      <c r="B969" s="1" t="s">
        <v>965</v>
      </c>
      <c r="C969" s="5" t="s">
        <v>15</v>
      </c>
      <c r="D969" s="2">
        <v>44019</v>
      </c>
      <c r="E969" s="2" t="s">
        <v>166</v>
      </c>
      <c r="F969" s="1">
        <v>24102</v>
      </c>
      <c r="G969" s="1" t="s">
        <v>669</v>
      </c>
      <c r="H969" s="1" t="s">
        <v>661</v>
      </c>
      <c r="J969" s="2" t="s">
        <v>697</v>
      </c>
      <c r="K969" s="1" t="s">
        <v>666</v>
      </c>
      <c r="L969" s="1" t="s">
        <v>1390</v>
      </c>
      <c r="N969" s="1" t="str">
        <f t="shared" si="15"/>
        <v>JOÃO FILHO</v>
      </c>
    </row>
    <row r="970" spans="1:14" x14ac:dyDescent="0.3">
      <c r="A970" s="1">
        <v>704241</v>
      </c>
      <c r="B970" s="1" t="s">
        <v>966</v>
      </c>
      <c r="C970" s="5" t="s">
        <v>15</v>
      </c>
      <c r="D970" s="2">
        <v>45335</v>
      </c>
      <c r="E970" s="2" t="s">
        <v>141</v>
      </c>
      <c r="F970" s="1">
        <v>24102</v>
      </c>
      <c r="G970" s="1" t="s">
        <v>669</v>
      </c>
      <c r="H970" s="1" t="s">
        <v>661</v>
      </c>
      <c r="J970" s="2" t="s">
        <v>672</v>
      </c>
      <c r="K970" s="1" t="s">
        <v>666</v>
      </c>
      <c r="L970" s="1" t="s">
        <v>1388</v>
      </c>
      <c r="M970" s="1" t="s">
        <v>1389</v>
      </c>
      <c r="N970" s="1" t="str">
        <f t="shared" si="15"/>
        <v>JUNIO TEIXEIRA /GEOVANI RORIZ</v>
      </c>
    </row>
    <row r="971" spans="1:14" x14ac:dyDescent="0.3">
      <c r="A971" s="1">
        <v>101441</v>
      </c>
      <c r="B971" s="1" t="s">
        <v>967</v>
      </c>
      <c r="C971" s="5" t="s">
        <v>15</v>
      </c>
      <c r="D971" s="2">
        <v>42954</v>
      </c>
      <c r="E971" s="2" t="s">
        <v>328</v>
      </c>
      <c r="F971" s="1">
        <v>24101</v>
      </c>
      <c r="G971" s="1" t="s">
        <v>968</v>
      </c>
      <c r="H971" s="1" t="s">
        <v>661</v>
      </c>
      <c r="J971" s="2" t="s">
        <v>969</v>
      </c>
      <c r="K971" s="1" t="s">
        <v>124</v>
      </c>
      <c r="L971" s="1" t="s">
        <v>124</v>
      </c>
      <c r="N971" s="1" t="str">
        <f t="shared" si="15"/>
        <v>MATHEUS FERNANDES</v>
      </c>
    </row>
    <row r="972" spans="1:14" x14ac:dyDescent="0.3">
      <c r="A972" s="1">
        <v>705667</v>
      </c>
      <c r="B972" s="1" t="s">
        <v>1432</v>
      </c>
      <c r="C972" s="5" t="s">
        <v>92</v>
      </c>
      <c r="D972" s="2">
        <v>45944</v>
      </c>
      <c r="E972" s="2" t="s">
        <v>31</v>
      </c>
      <c r="F972" s="1">
        <v>39601</v>
      </c>
      <c r="G972" s="1" t="s">
        <v>660</v>
      </c>
      <c r="H972" s="1" t="s">
        <v>661</v>
      </c>
      <c r="I972" s="2">
        <v>46033</v>
      </c>
      <c r="J972" s="2" t="s">
        <v>684</v>
      </c>
      <c r="K972" s="1" t="s">
        <v>666</v>
      </c>
      <c r="L972" s="1" t="s">
        <v>258</v>
      </c>
      <c r="M972" s="1" t="s">
        <v>1392</v>
      </c>
      <c r="N972" s="1" t="str">
        <f t="shared" si="15"/>
        <v>ADALTON/JANILSON RORIZ/MARIVALDO</v>
      </c>
    </row>
    <row r="973" spans="1:14" x14ac:dyDescent="0.3">
      <c r="A973" s="1">
        <v>704975</v>
      </c>
      <c r="B973" s="1" t="s">
        <v>970</v>
      </c>
      <c r="C973" s="5" t="s">
        <v>15</v>
      </c>
      <c r="D973" s="2">
        <v>45629</v>
      </c>
      <c r="E973" s="2" t="s">
        <v>16</v>
      </c>
      <c r="F973" s="1">
        <v>24102</v>
      </c>
      <c r="G973" s="1" t="s">
        <v>669</v>
      </c>
      <c r="H973" s="1" t="s">
        <v>661</v>
      </c>
      <c r="J973" s="2" t="s">
        <v>682</v>
      </c>
      <c r="K973" s="1" t="s">
        <v>666</v>
      </c>
      <c r="L973" s="1" t="s">
        <v>1390</v>
      </c>
      <c r="M973" s="1" t="s">
        <v>1391</v>
      </c>
      <c r="N973" s="1" t="str">
        <f t="shared" si="15"/>
        <v>ALCENO JUNIOR/JOÃO MARCOS</v>
      </c>
    </row>
    <row r="974" spans="1:14" x14ac:dyDescent="0.3">
      <c r="A974" s="1">
        <v>705265</v>
      </c>
      <c r="B974" s="1" t="s">
        <v>1204</v>
      </c>
      <c r="C974" s="5" t="s">
        <v>15</v>
      </c>
      <c r="D974" s="2">
        <v>45762</v>
      </c>
      <c r="E974" s="2" t="s">
        <v>31</v>
      </c>
      <c r="F974" s="1">
        <v>24102</v>
      </c>
      <c r="G974" s="1" t="s">
        <v>669</v>
      </c>
      <c r="H974" s="1" t="s">
        <v>661</v>
      </c>
      <c r="J974" s="2" t="s">
        <v>680</v>
      </c>
      <c r="K974" s="1" t="s">
        <v>666</v>
      </c>
      <c r="L974" s="1" t="s">
        <v>1388</v>
      </c>
      <c r="M974" s="1" t="s">
        <v>1389</v>
      </c>
      <c r="N974" s="1" t="str">
        <f t="shared" si="15"/>
        <v>JUNIO TEIXEIRA /GEOVANI RORIZ</v>
      </c>
    </row>
    <row r="975" spans="1:14" x14ac:dyDescent="0.3">
      <c r="A975" s="1">
        <v>703925</v>
      </c>
      <c r="B975" s="1" t="s">
        <v>971</v>
      </c>
      <c r="C975" s="5" t="s">
        <v>15</v>
      </c>
      <c r="D975" s="2">
        <v>45083</v>
      </c>
      <c r="E975" s="2" t="s">
        <v>67</v>
      </c>
      <c r="F975" s="1">
        <v>24102</v>
      </c>
      <c r="G975" s="1" t="s">
        <v>669</v>
      </c>
      <c r="H975" s="1" t="s">
        <v>661</v>
      </c>
      <c r="J975" s="2" t="s">
        <v>804</v>
      </c>
      <c r="K975" s="1" t="s">
        <v>1371</v>
      </c>
      <c r="L975" s="1" t="s">
        <v>1378</v>
      </c>
      <c r="M975" s="1" t="s">
        <v>805</v>
      </c>
      <c r="N975" s="1" t="str">
        <f t="shared" si="15"/>
        <v>JAILSON RORIZ</v>
      </c>
    </row>
    <row r="976" spans="1:14" x14ac:dyDescent="0.3">
      <c r="A976" s="1">
        <v>705587</v>
      </c>
      <c r="B976" s="1" t="s">
        <v>972</v>
      </c>
      <c r="C976" s="5" t="s">
        <v>15</v>
      </c>
      <c r="D976" s="2">
        <v>45881</v>
      </c>
      <c r="E976" s="2" t="s">
        <v>31</v>
      </c>
      <c r="F976" s="1">
        <v>39601</v>
      </c>
      <c r="G976" s="1" t="s">
        <v>660</v>
      </c>
      <c r="H976" s="1" t="s">
        <v>661</v>
      </c>
      <c r="J976" s="2" t="s">
        <v>684</v>
      </c>
      <c r="K976" s="1" t="s">
        <v>666</v>
      </c>
      <c r="L976" s="1" t="s">
        <v>258</v>
      </c>
      <c r="M976" s="1" t="s">
        <v>1392</v>
      </c>
      <c r="N976" s="1" t="str">
        <f t="shared" si="15"/>
        <v>ADALTON/JANILSON RORIZ/MARIVALDO</v>
      </c>
    </row>
    <row r="977" spans="1:14" x14ac:dyDescent="0.3">
      <c r="A977" s="1">
        <v>703659</v>
      </c>
      <c r="B977" s="1" t="s">
        <v>973</v>
      </c>
      <c r="C977" s="5" t="s">
        <v>15</v>
      </c>
      <c r="D977" s="2">
        <v>44998</v>
      </c>
      <c r="E977" s="2" t="s">
        <v>138</v>
      </c>
      <c r="F977" s="1">
        <v>24102</v>
      </c>
      <c r="G977" s="1" t="s">
        <v>669</v>
      </c>
      <c r="H977" s="1" t="s">
        <v>661</v>
      </c>
      <c r="J977" s="2" t="s">
        <v>682</v>
      </c>
      <c r="K977" s="1" t="s">
        <v>666</v>
      </c>
      <c r="L977" s="1" t="s">
        <v>1390</v>
      </c>
      <c r="M977" s="1" t="s">
        <v>1391</v>
      </c>
      <c r="N977" s="1" t="str">
        <f t="shared" si="15"/>
        <v>ALCENO JUNIOR/JOÃO MARCOS</v>
      </c>
    </row>
    <row r="978" spans="1:14" x14ac:dyDescent="0.3">
      <c r="A978" s="1">
        <v>705344</v>
      </c>
      <c r="B978" s="1" t="s">
        <v>1263</v>
      </c>
      <c r="C978" s="5" t="s">
        <v>15</v>
      </c>
      <c r="D978" s="2">
        <v>45784</v>
      </c>
      <c r="E978" s="2" t="s">
        <v>31</v>
      </c>
      <c r="F978" s="1">
        <v>24102</v>
      </c>
      <c r="G978" s="1" t="s">
        <v>669</v>
      </c>
      <c r="H978" s="1" t="s">
        <v>661</v>
      </c>
      <c r="J978" s="2" t="s">
        <v>680</v>
      </c>
      <c r="K978" s="1" t="s">
        <v>666</v>
      </c>
      <c r="L978" s="1" t="s">
        <v>1388</v>
      </c>
      <c r="M978" s="1" t="s">
        <v>1389</v>
      </c>
      <c r="N978" s="1" t="str">
        <f t="shared" si="15"/>
        <v>JUNIO TEIXEIRA /GEOVANI RORIZ</v>
      </c>
    </row>
    <row r="979" spans="1:14" x14ac:dyDescent="0.3">
      <c r="A979" s="1">
        <v>704783</v>
      </c>
      <c r="B979" s="1" t="s">
        <v>974</v>
      </c>
      <c r="C979" s="5" t="s">
        <v>15</v>
      </c>
      <c r="D979" s="2">
        <v>45551</v>
      </c>
      <c r="E979" s="2" t="s">
        <v>31</v>
      </c>
      <c r="F979" s="1">
        <v>39601</v>
      </c>
      <c r="G979" s="1" t="s">
        <v>660</v>
      </c>
      <c r="H979" s="1" t="s">
        <v>661</v>
      </c>
      <c r="J979" s="2" t="s">
        <v>684</v>
      </c>
      <c r="K979" s="1" t="s">
        <v>666</v>
      </c>
      <c r="L979" s="1" t="s">
        <v>258</v>
      </c>
      <c r="M979" s="1" t="s">
        <v>1392</v>
      </c>
      <c r="N979" s="1" t="str">
        <f t="shared" si="15"/>
        <v>ADALTON/JANILSON RORIZ/MARIVALDO</v>
      </c>
    </row>
    <row r="980" spans="1:14" x14ac:dyDescent="0.3">
      <c r="A980" s="1">
        <v>101191</v>
      </c>
      <c r="B980" s="1" t="s">
        <v>975</v>
      </c>
      <c r="C980" s="5" t="s">
        <v>15</v>
      </c>
      <c r="D980" s="2">
        <v>42751</v>
      </c>
      <c r="E980" s="2" t="s">
        <v>368</v>
      </c>
      <c r="F980" s="1">
        <v>32102</v>
      </c>
      <c r="G980" s="1" t="s">
        <v>674</v>
      </c>
      <c r="H980" s="1" t="s">
        <v>661</v>
      </c>
      <c r="J980" s="2" t="s">
        <v>675</v>
      </c>
      <c r="K980" s="1" t="s">
        <v>25</v>
      </c>
      <c r="L980" s="1" t="s">
        <v>1369</v>
      </c>
      <c r="M980" s="1" t="s">
        <v>676</v>
      </c>
      <c r="N980" s="1" t="str">
        <f t="shared" si="15"/>
        <v>MARCELO DOURADO</v>
      </c>
    </row>
    <row r="981" spans="1:14" x14ac:dyDescent="0.3">
      <c r="A981" s="1">
        <v>703011</v>
      </c>
      <c r="B981" s="1" t="s">
        <v>976</v>
      </c>
      <c r="C981" s="5" t="s">
        <v>15</v>
      </c>
      <c r="D981" s="2">
        <v>44691</v>
      </c>
      <c r="E981" s="2" t="s">
        <v>31</v>
      </c>
      <c r="F981" s="1">
        <v>38102</v>
      </c>
      <c r="G981" s="1" t="s">
        <v>725</v>
      </c>
      <c r="H981" s="1" t="s">
        <v>661</v>
      </c>
      <c r="J981" s="2" t="s">
        <v>726</v>
      </c>
      <c r="K981" s="1" t="s">
        <v>1372</v>
      </c>
      <c r="L981" s="1" t="s">
        <v>1372</v>
      </c>
      <c r="M981" s="1" t="s">
        <v>1373</v>
      </c>
      <c r="N981" s="1" t="str">
        <f t="shared" si="15"/>
        <v>DENIS ACASSIO</v>
      </c>
    </row>
    <row r="982" spans="1:14" x14ac:dyDescent="0.3">
      <c r="A982" s="1">
        <v>704511</v>
      </c>
      <c r="B982" s="1" t="s">
        <v>978</v>
      </c>
      <c r="C982" s="5" t="s">
        <v>15</v>
      </c>
      <c r="D982" s="2">
        <v>45420</v>
      </c>
      <c r="E982" s="2" t="s">
        <v>138</v>
      </c>
      <c r="F982" s="1">
        <v>24102</v>
      </c>
      <c r="G982" s="1" t="s">
        <v>669</v>
      </c>
      <c r="H982" s="1" t="s">
        <v>661</v>
      </c>
      <c r="J982" s="2" t="s">
        <v>682</v>
      </c>
      <c r="K982" s="1" t="s">
        <v>666</v>
      </c>
      <c r="L982" s="1" t="s">
        <v>1390</v>
      </c>
      <c r="M982" s="1" t="s">
        <v>1391</v>
      </c>
      <c r="N982" s="1" t="str">
        <f t="shared" si="15"/>
        <v>ALCENO JUNIOR/JOÃO MARCOS</v>
      </c>
    </row>
    <row r="983" spans="1:14" x14ac:dyDescent="0.3">
      <c r="A983" s="1">
        <v>705531</v>
      </c>
      <c r="B983" s="1" t="s">
        <v>1308</v>
      </c>
      <c r="C983" s="5" t="s">
        <v>15</v>
      </c>
      <c r="D983" s="2">
        <v>45847</v>
      </c>
      <c r="E983" s="2" t="s">
        <v>60</v>
      </c>
      <c r="F983" s="1">
        <v>24102</v>
      </c>
      <c r="G983" s="1" t="s">
        <v>669</v>
      </c>
      <c r="H983" s="1" t="s">
        <v>661</v>
      </c>
      <c r="J983" s="2" t="s">
        <v>804</v>
      </c>
      <c r="K983" s="1" t="s">
        <v>1371</v>
      </c>
      <c r="L983" s="1" t="s">
        <v>1378</v>
      </c>
      <c r="M983" s="1" t="s">
        <v>805</v>
      </c>
      <c r="N983" s="1" t="str">
        <f t="shared" si="15"/>
        <v>JAILSON RORIZ</v>
      </c>
    </row>
    <row r="984" spans="1:14" x14ac:dyDescent="0.3">
      <c r="A984" s="1">
        <v>700481</v>
      </c>
      <c r="B984" s="1" t="s">
        <v>979</v>
      </c>
      <c r="C984" s="5" t="s">
        <v>15</v>
      </c>
      <c r="D984" s="2">
        <v>43346</v>
      </c>
      <c r="E984" s="2" t="s">
        <v>138</v>
      </c>
      <c r="F984" s="1">
        <v>24102</v>
      </c>
      <c r="G984" s="1" t="s">
        <v>669</v>
      </c>
      <c r="H984" s="1" t="s">
        <v>661</v>
      </c>
      <c r="J984" s="2" t="s">
        <v>672</v>
      </c>
      <c r="K984" s="1" t="s">
        <v>666</v>
      </c>
      <c r="L984" s="1" t="s">
        <v>1388</v>
      </c>
      <c r="M984" s="1" t="s">
        <v>1389</v>
      </c>
      <c r="N984" s="1" t="str">
        <f t="shared" si="15"/>
        <v>JUNIO TEIXEIRA /GEOVANI RORIZ</v>
      </c>
    </row>
    <row r="985" spans="1:14" x14ac:dyDescent="0.3">
      <c r="A985" s="1">
        <v>704960</v>
      </c>
      <c r="B985" s="1" t="s">
        <v>980</v>
      </c>
      <c r="C985" s="5" t="s">
        <v>15</v>
      </c>
      <c r="D985" s="2">
        <v>45607</v>
      </c>
      <c r="E985" s="2" t="s">
        <v>22</v>
      </c>
      <c r="F985" s="1">
        <v>39602</v>
      </c>
      <c r="G985" s="1" t="s">
        <v>699</v>
      </c>
      <c r="H985" s="1" t="s">
        <v>661</v>
      </c>
      <c r="J985" s="2" t="s">
        <v>700</v>
      </c>
      <c r="K985" s="1" t="s">
        <v>666</v>
      </c>
      <c r="L985" s="1" t="s">
        <v>258</v>
      </c>
      <c r="M985" s="1" t="s">
        <v>701</v>
      </c>
      <c r="N985" s="1" t="str">
        <f t="shared" si="15"/>
        <v>IURY GUEDES</v>
      </c>
    </row>
    <row r="986" spans="1:14" x14ac:dyDescent="0.3">
      <c r="A986" s="1">
        <v>704063</v>
      </c>
      <c r="B986" s="1" t="s">
        <v>981</v>
      </c>
      <c r="C986" s="5" t="s">
        <v>15</v>
      </c>
      <c r="D986" s="2">
        <v>45154</v>
      </c>
      <c r="E986" s="2" t="s">
        <v>31</v>
      </c>
      <c r="F986" s="1">
        <v>24102</v>
      </c>
      <c r="G986" s="1" t="s">
        <v>669</v>
      </c>
      <c r="H986" s="1" t="s">
        <v>661</v>
      </c>
      <c r="J986" s="2" t="s">
        <v>680</v>
      </c>
      <c r="K986" s="1" t="s">
        <v>666</v>
      </c>
      <c r="L986" s="1" t="s">
        <v>1388</v>
      </c>
      <c r="M986" s="1" t="s">
        <v>1389</v>
      </c>
      <c r="N986" s="1" t="str">
        <f t="shared" si="15"/>
        <v>JUNIO TEIXEIRA /GEOVANI RORIZ</v>
      </c>
    </row>
    <row r="987" spans="1:14" x14ac:dyDescent="0.3">
      <c r="A987" s="1">
        <v>702546</v>
      </c>
      <c r="B987" s="1" t="s">
        <v>454</v>
      </c>
      <c r="C987" s="5" t="s">
        <v>15</v>
      </c>
      <c r="D987" s="2">
        <v>44452</v>
      </c>
      <c r="E987" s="2" t="s">
        <v>1205</v>
      </c>
      <c r="F987" s="1">
        <v>31103</v>
      </c>
      <c r="G987" s="1" t="s">
        <v>718</v>
      </c>
      <c r="H987" s="1" t="s">
        <v>661</v>
      </c>
      <c r="J987" s="2" t="s">
        <v>719</v>
      </c>
      <c r="K987" s="1" t="s">
        <v>132</v>
      </c>
      <c r="L987" s="1" t="s">
        <v>132</v>
      </c>
      <c r="M987" s="1" t="s">
        <v>1381</v>
      </c>
      <c r="N987" s="1" t="str">
        <f t="shared" si="15"/>
        <v>MARCOS OLIVEIRA</v>
      </c>
    </row>
    <row r="988" spans="1:14" x14ac:dyDescent="0.3">
      <c r="A988" s="1">
        <v>705466</v>
      </c>
      <c r="B988" s="1" t="s">
        <v>1285</v>
      </c>
      <c r="C988" s="5" t="s">
        <v>15</v>
      </c>
      <c r="D988" s="2">
        <v>45812</v>
      </c>
      <c r="E988" s="2" t="s">
        <v>22</v>
      </c>
      <c r="F988" s="1">
        <v>39602</v>
      </c>
      <c r="G988" s="1" t="s">
        <v>699</v>
      </c>
      <c r="H988" s="1" t="s">
        <v>661</v>
      </c>
      <c r="J988" s="2" t="s">
        <v>700</v>
      </c>
      <c r="K988" s="1" t="s">
        <v>666</v>
      </c>
      <c r="L988" s="1" t="s">
        <v>258</v>
      </c>
      <c r="M988" s="1" t="s">
        <v>701</v>
      </c>
      <c r="N988" s="1" t="str">
        <f t="shared" si="15"/>
        <v>IURY GUEDES</v>
      </c>
    </row>
    <row r="989" spans="1:14" x14ac:dyDescent="0.3">
      <c r="A989" s="1">
        <v>704465</v>
      </c>
      <c r="B989" s="1" t="s">
        <v>983</v>
      </c>
      <c r="C989" s="5" t="s">
        <v>15</v>
      </c>
      <c r="D989" s="2">
        <v>45426</v>
      </c>
      <c r="E989" s="2" t="s">
        <v>31</v>
      </c>
      <c r="F989" s="1">
        <v>24201</v>
      </c>
      <c r="G989" s="1" t="s">
        <v>664</v>
      </c>
      <c r="H989" s="1" t="s">
        <v>661</v>
      </c>
      <c r="J989" s="2" t="s">
        <v>665</v>
      </c>
      <c r="K989" s="1" t="s">
        <v>666</v>
      </c>
      <c r="L989" s="1" t="s">
        <v>258</v>
      </c>
      <c r="M989" s="1" t="s">
        <v>667</v>
      </c>
      <c r="N989" s="1" t="str">
        <f t="shared" si="15"/>
        <v>JOSIEL NEVES</v>
      </c>
    </row>
    <row r="990" spans="1:14" x14ac:dyDescent="0.3">
      <c r="A990" s="1">
        <v>704422</v>
      </c>
      <c r="B990" s="1" t="s">
        <v>984</v>
      </c>
      <c r="C990" s="5" t="s">
        <v>15</v>
      </c>
      <c r="D990" s="2">
        <v>45391</v>
      </c>
      <c r="E990" s="2" t="s">
        <v>418</v>
      </c>
      <c r="F990" s="1">
        <v>39601</v>
      </c>
      <c r="G990" s="1" t="s">
        <v>660</v>
      </c>
      <c r="H990" s="1" t="s">
        <v>661</v>
      </c>
      <c r="J990" s="2" t="s">
        <v>662</v>
      </c>
      <c r="K990" s="1" t="s">
        <v>666</v>
      </c>
      <c r="L990" s="1" t="s">
        <v>258</v>
      </c>
      <c r="N990" s="1" t="str">
        <f t="shared" si="15"/>
        <v>MATHEUS ALMEIDA</v>
      </c>
    </row>
    <row r="991" spans="1:14" x14ac:dyDescent="0.3">
      <c r="A991" s="1">
        <v>705556</v>
      </c>
      <c r="B991" s="1" t="s">
        <v>1341</v>
      </c>
      <c r="C991" s="5" t="s">
        <v>15</v>
      </c>
      <c r="D991" s="2">
        <v>45874</v>
      </c>
      <c r="E991" s="2" t="s">
        <v>31</v>
      </c>
      <c r="F991" s="1">
        <v>39601</v>
      </c>
      <c r="G991" s="1" t="s">
        <v>660</v>
      </c>
      <c r="H991" s="1" t="s">
        <v>661</v>
      </c>
      <c r="J991" s="2" t="s">
        <v>684</v>
      </c>
      <c r="K991" s="1" t="s">
        <v>666</v>
      </c>
      <c r="L991" s="1" t="s">
        <v>258</v>
      </c>
      <c r="M991" s="1" t="s">
        <v>1392</v>
      </c>
      <c r="N991" s="1" t="str">
        <f t="shared" si="15"/>
        <v>ADALTON/JANILSON RORIZ/MARIVALDO</v>
      </c>
    </row>
    <row r="992" spans="1:14" x14ac:dyDescent="0.3">
      <c r="A992" s="1">
        <v>101339</v>
      </c>
      <c r="B992" s="1" t="s">
        <v>985</v>
      </c>
      <c r="C992" s="5" t="s">
        <v>15</v>
      </c>
      <c r="D992" s="2">
        <v>42891</v>
      </c>
      <c r="E992" s="2" t="s">
        <v>166</v>
      </c>
      <c r="F992" s="1">
        <v>24102</v>
      </c>
      <c r="G992" s="1" t="s">
        <v>669</v>
      </c>
      <c r="H992" s="1" t="s">
        <v>661</v>
      </c>
      <c r="J992" s="2" t="s">
        <v>682</v>
      </c>
      <c r="K992" s="1" t="s">
        <v>666</v>
      </c>
      <c r="L992" s="1" t="s">
        <v>1390</v>
      </c>
      <c r="M992" s="1" t="s">
        <v>1391</v>
      </c>
      <c r="N992" s="1" t="str">
        <f t="shared" si="15"/>
        <v>ALCENO JUNIOR/JOÃO MARCOS</v>
      </c>
    </row>
    <row r="993" spans="1:14" x14ac:dyDescent="0.3">
      <c r="A993" s="1">
        <v>704869</v>
      </c>
      <c r="B993" s="1" t="s">
        <v>986</v>
      </c>
      <c r="C993" s="5" t="s">
        <v>15</v>
      </c>
      <c r="D993" s="2">
        <v>45580</v>
      </c>
      <c r="E993" s="2" t="s">
        <v>31</v>
      </c>
      <c r="F993" s="1">
        <v>24201</v>
      </c>
      <c r="G993" s="1" t="s">
        <v>664</v>
      </c>
      <c r="H993" s="1" t="s">
        <v>661</v>
      </c>
      <c r="J993" s="2" t="s">
        <v>665</v>
      </c>
      <c r="K993" s="1" t="s">
        <v>666</v>
      </c>
      <c r="L993" s="1" t="s">
        <v>258</v>
      </c>
      <c r="M993" s="1" t="s">
        <v>667</v>
      </c>
      <c r="N993" s="1" t="str">
        <f t="shared" si="15"/>
        <v>JOSIEL NEVES</v>
      </c>
    </row>
    <row r="994" spans="1:14" x14ac:dyDescent="0.3">
      <c r="A994" s="1">
        <v>704493</v>
      </c>
      <c r="B994" s="1" t="s">
        <v>987</v>
      </c>
      <c r="C994" s="5" t="s">
        <v>15</v>
      </c>
      <c r="D994" s="2">
        <v>45419</v>
      </c>
      <c r="E994" s="2" t="s">
        <v>427</v>
      </c>
      <c r="F994" s="1">
        <v>39602</v>
      </c>
      <c r="G994" s="1" t="s">
        <v>699</v>
      </c>
      <c r="H994" s="1" t="s">
        <v>661</v>
      </c>
      <c r="J994" s="2" t="s">
        <v>700</v>
      </c>
      <c r="K994" s="1" t="s">
        <v>666</v>
      </c>
      <c r="L994" s="1" t="s">
        <v>258</v>
      </c>
      <c r="M994" s="1" t="s">
        <v>701</v>
      </c>
      <c r="N994" s="1" t="str">
        <f t="shared" si="15"/>
        <v>IURY GUEDES</v>
      </c>
    </row>
    <row r="995" spans="1:14" x14ac:dyDescent="0.3">
      <c r="A995" s="1">
        <v>705668</v>
      </c>
      <c r="B995" s="1" t="s">
        <v>1433</v>
      </c>
      <c r="C995" s="5" t="s">
        <v>92</v>
      </c>
      <c r="D995" s="2">
        <v>45944</v>
      </c>
      <c r="E995" s="2" t="s">
        <v>31</v>
      </c>
      <c r="F995" s="1">
        <v>39601</v>
      </c>
      <c r="G995" s="1" t="s">
        <v>660</v>
      </c>
      <c r="H995" s="1" t="s">
        <v>661</v>
      </c>
      <c r="I995" s="2">
        <v>46033</v>
      </c>
      <c r="J995" s="2" t="s">
        <v>684</v>
      </c>
      <c r="K995" s="1" t="s">
        <v>666</v>
      </c>
      <c r="L995" s="1" t="s">
        <v>258</v>
      </c>
      <c r="M995" s="1" t="s">
        <v>1392</v>
      </c>
      <c r="N995" s="1" t="str">
        <f t="shared" si="15"/>
        <v>ADALTON/JANILSON RORIZ/MARIVALDO</v>
      </c>
    </row>
    <row r="996" spans="1:14" x14ac:dyDescent="0.3">
      <c r="A996" s="1">
        <v>705340</v>
      </c>
      <c r="B996" s="1" t="s">
        <v>1264</v>
      </c>
      <c r="C996" s="5" t="s">
        <v>15</v>
      </c>
      <c r="D996" s="2">
        <v>45784</v>
      </c>
      <c r="E996" s="2" t="s">
        <v>31</v>
      </c>
      <c r="F996" s="1">
        <v>24102</v>
      </c>
      <c r="G996" s="1" t="s">
        <v>669</v>
      </c>
      <c r="H996" s="1" t="s">
        <v>661</v>
      </c>
      <c r="J996" s="2" t="s">
        <v>672</v>
      </c>
      <c r="K996" s="1" t="s">
        <v>666</v>
      </c>
      <c r="L996" s="1" t="s">
        <v>1388</v>
      </c>
      <c r="M996" s="1" t="s">
        <v>1389</v>
      </c>
      <c r="N996" s="1" t="str">
        <f t="shared" si="15"/>
        <v>JUNIO TEIXEIRA /GEOVANI RORIZ</v>
      </c>
    </row>
    <row r="997" spans="1:14" x14ac:dyDescent="0.3">
      <c r="A997" s="1">
        <v>704494</v>
      </c>
      <c r="B997" s="1" t="s">
        <v>988</v>
      </c>
      <c r="C997" s="5" t="s">
        <v>15</v>
      </c>
      <c r="D997" s="2">
        <v>45419</v>
      </c>
      <c r="E997" s="2" t="s">
        <v>336</v>
      </c>
      <c r="F997" s="1">
        <v>24102</v>
      </c>
      <c r="G997" s="1" t="s">
        <v>669</v>
      </c>
      <c r="H997" s="1" t="s">
        <v>661</v>
      </c>
      <c r="J997" s="2" t="s">
        <v>680</v>
      </c>
      <c r="K997" s="1" t="s">
        <v>666</v>
      </c>
      <c r="L997" s="1" t="s">
        <v>1388</v>
      </c>
      <c r="M997" s="1" t="s">
        <v>1389</v>
      </c>
      <c r="N997" s="1" t="str">
        <f t="shared" si="15"/>
        <v>JUNIO TEIXEIRA /GEOVANI RORIZ</v>
      </c>
    </row>
    <row r="998" spans="1:14" x14ac:dyDescent="0.3">
      <c r="A998" s="1">
        <v>795291</v>
      </c>
      <c r="B998" s="1" t="s">
        <v>1206</v>
      </c>
      <c r="C998" s="5" t="s">
        <v>15</v>
      </c>
      <c r="D998" s="2">
        <v>45762</v>
      </c>
      <c r="E998" s="2" t="s">
        <v>31</v>
      </c>
      <c r="F998" s="1">
        <v>39601</v>
      </c>
      <c r="G998" s="1" t="s">
        <v>660</v>
      </c>
      <c r="H998" s="1" t="s">
        <v>661</v>
      </c>
      <c r="J998" s="2" t="s">
        <v>684</v>
      </c>
      <c r="K998" s="1" t="s">
        <v>666</v>
      </c>
      <c r="L998" s="1" t="s">
        <v>258</v>
      </c>
      <c r="M998" s="1" t="s">
        <v>1392</v>
      </c>
      <c r="N998" s="1" t="str">
        <f t="shared" si="15"/>
        <v>ADALTON/JANILSON RORIZ/MARIVALDO</v>
      </c>
    </row>
    <row r="999" spans="1:14" x14ac:dyDescent="0.3">
      <c r="A999" s="1">
        <v>703710</v>
      </c>
      <c r="B999" s="1" t="s">
        <v>989</v>
      </c>
      <c r="C999" s="5" t="s">
        <v>15</v>
      </c>
      <c r="D999" s="2">
        <v>45019</v>
      </c>
      <c r="E999" s="2" t="s">
        <v>990</v>
      </c>
      <c r="F999" s="1">
        <v>24201</v>
      </c>
      <c r="G999" s="1" t="s">
        <v>664</v>
      </c>
      <c r="H999" s="1" t="s">
        <v>661</v>
      </c>
      <c r="J999" s="2" t="s">
        <v>665</v>
      </c>
      <c r="K999" s="1" t="s">
        <v>666</v>
      </c>
      <c r="L999" s="1" t="s">
        <v>258</v>
      </c>
      <c r="M999" s="1" t="s">
        <v>667</v>
      </c>
      <c r="N999" s="1" t="str">
        <f t="shared" si="15"/>
        <v>JOSIEL NEVES</v>
      </c>
    </row>
    <row r="1000" spans="1:14" x14ac:dyDescent="0.3">
      <c r="A1000" s="1">
        <v>703304</v>
      </c>
      <c r="B1000" s="1" t="s">
        <v>992</v>
      </c>
      <c r="C1000" s="5" t="s">
        <v>15</v>
      </c>
      <c r="D1000" s="2">
        <v>44816</v>
      </c>
      <c r="E1000" s="2" t="s">
        <v>31</v>
      </c>
      <c r="F1000" s="1">
        <v>38102</v>
      </c>
      <c r="G1000" s="1" t="s">
        <v>725</v>
      </c>
      <c r="H1000" s="1" t="s">
        <v>661</v>
      </c>
      <c r="J1000" s="2" t="s">
        <v>726</v>
      </c>
      <c r="K1000" s="1" t="s">
        <v>1372</v>
      </c>
      <c r="L1000" s="1" t="s">
        <v>1372</v>
      </c>
      <c r="M1000" s="1" t="s">
        <v>1373</v>
      </c>
      <c r="N1000" s="1" t="str">
        <f t="shared" si="15"/>
        <v>DENIS ACASSIO</v>
      </c>
    </row>
    <row r="1001" spans="1:14" x14ac:dyDescent="0.3">
      <c r="A1001" s="1">
        <v>100835</v>
      </c>
      <c r="B1001" s="1" t="s">
        <v>993</v>
      </c>
      <c r="C1001" s="5" t="s">
        <v>15</v>
      </c>
      <c r="D1001" s="2">
        <v>41617</v>
      </c>
      <c r="E1001" s="2" t="s">
        <v>156</v>
      </c>
      <c r="F1001" s="1">
        <v>38102</v>
      </c>
      <c r="G1001" s="1" t="s">
        <v>725</v>
      </c>
      <c r="H1001" s="1" t="s">
        <v>661</v>
      </c>
      <c r="J1001" s="2" t="s">
        <v>726</v>
      </c>
      <c r="K1001" s="1" t="s">
        <v>1372</v>
      </c>
      <c r="L1001" s="1" t="s">
        <v>1372</v>
      </c>
      <c r="M1001" s="1" t="s">
        <v>1373</v>
      </c>
      <c r="N1001" s="1" t="str">
        <f t="shared" si="15"/>
        <v>DENIS ACASSIO</v>
      </c>
    </row>
    <row r="1002" spans="1:14" x14ac:dyDescent="0.3">
      <c r="A1002" s="1">
        <v>701730</v>
      </c>
      <c r="B1002" s="1" t="s">
        <v>994</v>
      </c>
      <c r="C1002" s="5" t="s">
        <v>15</v>
      </c>
      <c r="D1002" s="2">
        <v>44032</v>
      </c>
      <c r="E1002" s="2" t="s">
        <v>230</v>
      </c>
      <c r="F1002" s="1">
        <v>39601</v>
      </c>
      <c r="G1002" s="1" t="s">
        <v>660</v>
      </c>
      <c r="H1002" s="1" t="s">
        <v>661</v>
      </c>
      <c r="J1002" s="2" t="s">
        <v>684</v>
      </c>
      <c r="K1002" s="1" t="s">
        <v>666</v>
      </c>
      <c r="L1002" s="1" t="s">
        <v>258</v>
      </c>
      <c r="M1002" s="1" t="s">
        <v>1392</v>
      </c>
      <c r="N1002" s="1" t="str">
        <f t="shared" si="15"/>
        <v>ADALTON/JANILSON RORIZ/MARIVALDO</v>
      </c>
    </row>
    <row r="1003" spans="1:14" x14ac:dyDescent="0.3">
      <c r="A1003" s="1">
        <v>100980</v>
      </c>
      <c r="B1003" s="1" t="s">
        <v>995</v>
      </c>
      <c r="C1003" s="5" t="s">
        <v>15</v>
      </c>
      <c r="D1003" s="2">
        <v>42548</v>
      </c>
      <c r="E1003" s="2" t="s">
        <v>251</v>
      </c>
      <c r="F1003" s="1">
        <v>39601</v>
      </c>
      <c r="G1003" s="1" t="s">
        <v>660</v>
      </c>
      <c r="H1003" s="1" t="s">
        <v>661</v>
      </c>
      <c r="J1003" s="2" t="s">
        <v>684</v>
      </c>
      <c r="K1003" s="1" t="s">
        <v>666</v>
      </c>
      <c r="L1003" s="1" t="s">
        <v>258</v>
      </c>
      <c r="M1003" s="1" t="s">
        <v>1392</v>
      </c>
      <c r="N1003" s="1" t="str">
        <f t="shared" si="15"/>
        <v>ADALTON/JANILSON RORIZ/MARIVALDO</v>
      </c>
    </row>
    <row r="1004" spans="1:14" x14ac:dyDescent="0.3">
      <c r="A1004" s="1">
        <v>705405</v>
      </c>
      <c r="B1004" s="1" t="s">
        <v>1265</v>
      </c>
      <c r="C1004" s="5" t="s">
        <v>15</v>
      </c>
      <c r="D1004" s="2">
        <v>45791</v>
      </c>
      <c r="E1004" s="2" t="s">
        <v>31</v>
      </c>
      <c r="F1004" s="1">
        <v>39601</v>
      </c>
      <c r="G1004" s="1" t="s">
        <v>660</v>
      </c>
      <c r="H1004" s="1" t="s">
        <v>661</v>
      </c>
      <c r="J1004" s="2" t="s">
        <v>662</v>
      </c>
      <c r="K1004" s="1" t="s">
        <v>666</v>
      </c>
      <c r="L1004" s="1" t="s">
        <v>258</v>
      </c>
      <c r="N1004" s="1" t="str">
        <f t="shared" si="15"/>
        <v>MATHEUS ALMEIDA</v>
      </c>
    </row>
    <row r="1005" spans="1:14" x14ac:dyDescent="0.3">
      <c r="A1005" s="1">
        <v>701990</v>
      </c>
      <c r="B1005" s="1" t="s">
        <v>470</v>
      </c>
      <c r="C1005" s="5" t="s">
        <v>15</v>
      </c>
      <c r="D1005" s="2">
        <v>44214</v>
      </c>
      <c r="E1005" s="2" t="s">
        <v>129</v>
      </c>
      <c r="F1005" s="1">
        <v>31103</v>
      </c>
      <c r="G1005" s="1" t="s">
        <v>718</v>
      </c>
      <c r="H1005" s="1" t="s">
        <v>661</v>
      </c>
      <c r="J1005" s="2" t="s">
        <v>719</v>
      </c>
      <c r="K1005" s="1" t="s">
        <v>132</v>
      </c>
      <c r="L1005" s="1" t="s">
        <v>132</v>
      </c>
      <c r="M1005" s="1" t="s">
        <v>1381</v>
      </c>
      <c r="N1005" s="1" t="str">
        <f t="shared" si="15"/>
        <v>MARCOS OLIVEIRA</v>
      </c>
    </row>
    <row r="1006" spans="1:14" x14ac:dyDescent="0.3">
      <c r="A1006" s="1">
        <v>700907</v>
      </c>
      <c r="B1006" s="1" t="s">
        <v>996</v>
      </c>
      <c r="C1006" s="5" t="s">
        <v>15</v>
      </c>
      <c r="D1006" s="2">
        <v>43535</v>
      </c>
      <c r="E1006" s="2" t="s">
        <v>60</v>
      </c>
      <c r="F1006" s="1">
        <v>24102</v>
      </c>
      <c r="G1006" s="1" t="s">
        <v>669</v>
      </c>
      <c r="H1006" s="1" t="s">
        <v>661</v>
      </c>
      <c r="J1006" s="2" t="s">
        <v>682</v>
      </c>
      <c r="K1006" s="1" t="s">
        <v>666</v>
      </c>
      <c r="L1006" s="1" t="s">
        <v>1390</v>
      </c>
      <c r="M1006" s="1" t="s">
        <v>1391</v>
      </c>
      <c r="N1006" s="1" t="str">
        <f t="shared" si="15"/>
        <v>ALCENO JUNIOR/JOÃO MARCOS</v>
      </c>
    </row>
    <row r="1007" spans="1:14" x14ac:dyDescent="0.3">
      <c r="A1007" s="1">
        <v>704703</v>
      </c>
      <c r="B1007" s="1" t="s">
        <v>997</v>
      </c>
      <c r="C1007" s="5" t="s">
        <v>15</v>
      </c>
      <c r="D1007" s="2">
        <v>45510</v>
      </c>
      <c r="E1007" s="2" t="s">
        <v>686</v>
      </c>
      <c r="F1007" s="1">
        <v>39601</v>
      </c>
      <c r="G1007" s="1" t="s">
        <v>660</v>
      </c>
      <c r="H1007" s="1" t="s">
        <v>661</v>
      </c>
      <c r="J1007" s="2" t="s">
        <v>684</v>
      </c>
      <c r="K1007" s="1" t="s">
        <v>666</v>
      </c>
      <c r="L1007" s="1" t="s">
        <v>258</v>
      </c>
      <c r="M1007" s="1" t="s">
        <v>1392</v>
      </c>
      <c r="N1007" s="1" t="str">
        <f t="shared" si="15"/>
        <v>ADALTON/JANILSON RORIZ/MARIVALDO</v>
      </c>
    </row>
    <row r="1008" spans="1:14" x14ac:dyDescent="0.3">
      <c r="A1008" s="1">
        <v>705421</v>
      </c>
      <c r="B1008" s="1" t="s">
        <v>998</v>
      </c>
      <c r="C1008" s="5" t="s">
        <v>15</v>
      </c>
      <c r="D1008" s="2">
        <v>45791</v>
      </c>
      <c r="E1008" s="2" t="s">
        <v>31</v>
      </c>
      <c r="F1008" s="1">
        <v>39601</v>
      </c>
      <c r="G1008" s="1" t="s">
        <v>660</v>
      </c>
      <c r="H1008" s="1" t="s">
        <v>661</v>
      </c>
      <c r="J1008" s="2" t="s">
        <v>662</v>
      </c>
      <c r="K1008" s="1" t="s">
        <v>666</v>
      </c>
      <c r="L1008" s="1" t="s">
        <v>258</v>
      </c>
      <c r="N1008" s="1" t="str">
        <f t="shared" si="15"/>
        <v>MATHEUS ALMEIDA</v>
      </c>
    </row>
    <row r="1009" spans="1:14" x14ac:dyDescent="0.3">
      <c r="A1009" s="1">
        <v>705323</v>
      </c>
      <c r="B1009" s="1" t="s">
        <v>1266</v>
      </c>
      <c r="C1009" s="5" t="s">
        <v>15</v>
      </c>
      <c r="D1009" s="2">
        <v>45784</v>
      </c>
      <c r="E1009" s="2" t="s">
        <v>31</v>
      </c>
      <c r="F1009" s="1">
        <v>24102</v>
      </c>
      <c r="G1009" s="1" t="s">
        <v>669</v>
      </c>
      <c r="H1009" s="1" t="s">
        <v>661</v>
      </c>
      <c r="J1009" s="2" t="s">
        <v>672</v>
      </c>
      <c r="K1009" s="1" t="s">
        <v>666</v>
      </c>
      <c r="L1009" s="1" t="s">
        <v>1388</v>
      </c>
      <c r="M1009" s="1" t="s">
        <v>1389</v>
      </c>
      <c r="N1009" s="1" t="str">
        <f t="shared" si="15"/>
        <v>JUNIO TEIXEIRA /GEOVANI RORIZ</v>
      </c>
    </row>
    <row r="1010" spans="1:14" x14ac:dyDescent="0.3">
      <c r="A1010" s="1">
        <v>701620</v>
      </c>
      <c r="B1010" s="1" t="s">
        <v>999</v>
      </c>
      <c r="C1010" s="5" t="s">
        <v>15</v>
      </c>
      <c r="D1010" s="2">
        <v>44004</v>
      </c>
      <c r="E1010" s="2" t="s">
        <v>101</v>
      </c>
      <c r="F1010" s="1">
        <v>39602</v>
      </c>
      <c r="G1010" s="1" t="s">
        <v>699</v>
      </c>
      <c r="H1010" s="1" t="s">
        <v>661</v>
      </c>
      <c r="J1010" s="2" t="s">
        <v>1000</v>
      </c>
      <c r="K1010" s="1" t="s">
        <v>666</v>
      </c>
      <c r="N1010" s="1" t="str">
        <f t="shared" si="15"/>
        <v>CRISOSTOMO CASTRO</v>
      </c>
    </row>
    <row r="1011" spans="1:14" x14ac:dyDescent="0.3">
      <c r="A1011" s="1">
        <v>705284</v>
      </c>
      <c r="B1011" s="1" t="s">
        <v>1207</v>
      </c>
      <c r="C1011" s="5" t="s">
        <v>15</v>
      </c>
      <c r="D1011" s="2">
        <v>45762</v>
      </c>
      <c r="E1011" s="2" t="s">
        <v>31</v>
      </c>
      <c r="F1011" s="1">
        <v>39601</v>
      </c>
      <c r="G1011" s="1" t="s">
        <v>660</v>
      </c>
      <c r="H1011" s="1" t="s">
        <v>661</v>
      </c>
      <c r="J1011" s="2" t="s">
        <v>684</v>
      </c>
      <c r="K1011" s="1" t="s">
        <v>666</v>
      </c>
      <c r="L1011" s="1" t="s">
        <v>258</v>
      </c>
      <c r="M1011" s="1" t="s">
        <v>1392</v>
      </c>
      <c r="N1011" s="1" t="str">
        <f t="shared" si="15"/>
        <v>ADALTON/JANILSON RORIZ/MARIVALDO</v>
      </c>
    </row>
    <row r="1012" spans="1:14" x14ac:dyDescent="0.3">
      <c r="A1012" s="1">
        <v>702586</v>
      </c>
      <c r="B1012" s="1" t="s">
        <v>1001</v>
      </c>
      <c r="C1012" s="5" t="s">
        <v>15</v>
      </c>
      <c r="D1012" s="2">
        <v>44474</v>
      </c>
      <c r="E1012" s="2" t="s">
        <v>507</v>
      </c>
      <c r="F1012" s="1">
        <v>24201</v>
      </c>
      <c r="G1012" s="1" t="s">
        <v>664</v>
      </c>
      <c r="H1012" s="1" t="s">
        <v>661</v>
      </c>
      <c r="J1012" s="2" t="s">
        <v>665</v>
      </c>
      <c r="K1012" s="1" t="s">
        <v>666</v>
      </c>
      <c r="L1012" s="1" t="s">
        <v>258</v>
      </c>
      <c r="M1012" s="1" t="s">
        <v>667</v>
      </c>
      <c r="N1012" s="1" t="str">
        <f t="shared" si="15"/>
        <v>JOSIEL NEVES</v>
      </c>
    </row>
    <row r="1013" spans="1:14" x14ac:dyDescent="0.3">
      <c r="A1013" s="1">
        <v>101534</v>
      </c>
      <c r="B1013" s="1" t="s">
        <v>1002</v>
      </c>
      <c r="C1013" s="5" t="s">
        <v>15</v>
      </c>
      <c r="D1013" s="2">
        <v>42982</v>
      </c>
      <c r="E1013" s="2" t="s">
        <v>686</v>
      </c>
      <c r="F1013" s="1">
        <v>39601</v>
      </c>
      <c r="G1013" s="1" t="s">
        <v>660</v>
      </c>
      <c r="H1013" s="1" t="s">
        <v>661</v>
      </c>
      <c r="J1013" s="2" t="s">
        <v>684</v>
      </c>
      <c r="K1013" s="1" t="s">
        <v>666</v>
      </c>
      <c r="L1013" s="1" t="s">
        <v>258</v>
      </c>
      <c r="M1013" s="1" t="s">
        <v>1392</v>
      </c>
      <c r="N1013" s="1" t="str">
        <f t="shared" si="15"/>
        <v>ADALTON/JANILSON RORIZ/MARIVALDO</v>
      </c>
    </row>
    <row r="1014" spans="1:14" x14ac:dyDescent="0.3">
      <c r="A1014" s="1">
        <v>701378</v>
      </c>
      <c r="B1014" s="1" t="s">
        <v>1003</v>
      </c>
      <c r="C1014" s="5" t="s">
        <v>15</v>
      </c>
      <c r="D1014" s="2">
        <v>43759</v>
      </c>
      <c r="E1014" s="2" t="s">
        <v>16</v>
      </c>
      <c r="F1014" s="1">
        <v>24102</v>
      </c>
      <c r="G1014" s="1" t="s">
        <v>669</v>
      </c>
      <c r="H1014" s="1" t="s">
        <v>661</v>
      </c>
      <c r="J1014" s="2" t="s">
        <v>682</v>
      </c>
      <c r="K1014" s="1" t="s">
        <v>666</v>
      </c>
      <c r="L1014" s="1" t="s">
        <v>1390</v>
      </c>
      <c r="M1014" s="1" t="s">
        <v>1391</v>
      </c>
      <c r="N1014" s="1" t="str">
        <f t="shared" si="15"/>
        <v>ALCENO JUNIOR/JOÃO MARCOS</v>
      </c>
    </row>
    <row r="1015" spans="1:14" x14ac:dyDescent="0.3">
      <c r="A1015" s="1">
        <v>705271</v>
      </c>
      <c r="B1015" s="1" t="s">
        <v>1208</v>
      </c>
      <c r="C1015" s="5" t="s">
        <v>15</v>
      </c>
      <c r="D1015" s="2">
        <v>45762</v>
      </c>
      <c r="E1015" s="2" t="s">
        <v>31</v>
      </c>
      <c r="F1015" s="1">
        <v>39601</v>
      </c>
      <c r="G1015" s="1" t="s">
        <v>660</v>
      </c>
      <c r="H1015" s="1" t="s">
        <v>661</v>
      </c>
      <c r="J1015" s="2" t="s">
        <v>672</v>
      </c>
      <c r="K1015" s="1" t="s">
        <v>666</v>
      </c>
      <c r="L1015" s="1" t="s">
        <v>1388</v>
      </c>
      <c r="M1015" s="1" t="s">
        <v>1389</v>
      </c>
      <c r="N1015" s="1" t="str">
        <f t="shared" si="15"/>
        <v>JUNIO TEIXEIRA /GEOVANI RORIZ</v>
      </c>
    </row>
    <row r="1016" spans="1:14" x14ac:dyDescent="0.3">
      <c r="A1016" s="1">
        <v>702430</v>
      </c>
      <c r="B1016" s="1" t="s">
        <v>1004</v>
      </c>
      <c r="C1016" s="5" t="s">
        <v>15</v>
      </c>
      <c r="D1016" s="2">
        <v>44390</v>
      </c>
      <c r="E1016" s="2" t="s">
        <v>31</v>
      </c>
      <c r="F1016" s="1">
        <v>24201</v>
      </c>
      <c r="G1016" s="1" t="s">
        <v>664</v>
      </c>
      <c r="H1016" s="1" t="s">
        <v>661</v>
      </c>
      <c r="J1016" s="2" t="s">
        <v>665</v>
      </c>
      <c r="K1016" s="1" t="s">
        <v>666</v>
      </c>
      <c r="L1016" s="1" t="s">
        <v>258</v>
      </c>
      <c r="M1016" s="1" t="s">
        <v>667</v>
      </c>
      <c r="N1016" s="1" t="str">
        <f t="shared" si="15"/>
        <v>JOSIEL NEVES</v>
      </c>
    </row>
    <row r="1017" spans="1:14" x14ac:dyDescent="0.3">
      <c r="A1017" s="1">
        <v>703702</v>
      </c>
      <c r="B1017" s="1" t="s">
        <v>1005</v>
      </c>
      <c r="C1017" s="5" t="s">
        <v>15</v>
      </c>
      <c r="D1017" s="2">
        <v>45019</v>
      </c>
      <c r="E1017" s="2" t="s">
        <v>328</v>
      </c>
      <c r="F1017" s="1">
        <v>32102</v>
      </c>
      <c r="G1017" s="1" t="s">
        <v>674</v>
      </c>
      <c r="H1017" s="1" t="s">
        <v>661</v>
      </c>
      <c r="J1017" s="2" t="s">
        <v>675</v>
      </c>
      <c r="K1017" s="1" t="s">
        <v>25</v>
      </c>
      <c r="L1017" s="1" t="s">
        <v>1369</v>
      </c>
      <c r="M1017" s="1" t="s">
        <v>676</v>
      </c>
      <c r="N1017" s="1" t="str">
        <f t="shared" si="15"/>
        <v>MARCELO DOURADO</v>
      </c>
    </row>
    <row r="1018" spans="1:14" x14ac:dyDescent="0.3">
      <c r="A1018" s="1">
        <v>701416</v>
      </c>
      <c r="B1018" s="1" t="s">
        <v>1006</v>
      </c>
      <c r="C1018" s="5" t="s">
        <v>15</v>
      </c>
      <c r="D1018" s="2">
        <v>43773</v>
      </c>
      <c r="E1018" s="2" t="s">
        <v>507</v>
      </c>
      <c r="F1018" s="1">
        <v>24102</v>
      </c>
      <c r="G1018" s="1" t="s">
        <v>669</v>
      </c>
      <c r="H1018" s="1" t="s">
        <v>661</v>
      </c>
      <c r="J1018" s="2" t="s">
        <v>85</v>
      </c>
      <c r="K1018" s="1" t="s">
        <v>1371</v>
      </c>
      <c r="L1018" s="1" t="s">
        <v>1371</v>
      </c>
      <c r="M1018" s="1" t="s">
        <v>1380</v>
      </c>
      <c r="N1018" s="1" t="str">
        <f t="shared" si="15"/>
        <v xml:space="preserve">LEONARDO SANTOS </v>
      </c>
    </row>
    <row r="1019" spans="1:14" x14ac:dyDescent="0.3">
      <c r="A1019" s="1">
        <v>705004</v>
      </c>
      <c r="B1019" s="1" t="s">
        <v>1007</v>
      </c>
      <c r="C1019" s="5" t="s">
        <v>15</v>
      </c>
      <c r="D1019" s="2">
        <v>45629</v>
      </c>
      <c r="E1019" s="2" t="s">
        <v>31</v>
      </c>
      <c r="F1019" s="1">
        <v>39601</v>
      </c>
      <c r="G1019" s="1" t="s">
        <v>660</v>
      </c>
      <c r="H1019" s="1" t="s">
        <v>661</v>
      </c>
      <c r="J1019" s="2" t="s">
        <v>662</v>
      </c>
      <c r="K1019" s="1" t="s">
        <v>666</v>
      </c>
      <c r="L1019" s="1" t="s">
        <v>258</v>
      </c>
      <c r="N1019" s="1" t="str">
        <f t="shared" si="15"/>
        <v>MATHEUS ALMEIDA</v>
      </c>
    </row>
    <row r="1020" spans="1:14" x14ac:dyDescent="0.3">
      <c r="A1020" s="1">
        <v>703837</v>
      </c>
      <c r="B1020" s="1" t="s">
        <v>1008</v>
      </c>
      <c r="C1020" s="5" t="s">
        <v>15</v>
      </c>
      <c r="D1020" s="2">
        <v>45054</v>
      </c>
      <c r="E1020" s="2" t="s">
        <v>1009</v>
      </c>
      <c r="F1020" s="1">
        <v>38102</v>
      </c>
      <c r="G1020" s="1" t="s">
        <v>725</v>
      </c>
      <c r="H1020" s="1" t="s">
        <v>661</v>
      </c>
      <c r="J1020" s="2" t="s">
        <v>726</v>
      </c>
      <c r="K1020" s="1" t="s">
        <v>1372</v>
      </c>
      <c r="L1020" s="1" t="s">
        <v>1372</v>
      </c>
      <c r="M1020" s="1" t="s">
        <v>1373</v>
      </c>
      <c r="N1020" s="1" t="str">
        <f t="shared" si="15"/>
        <v>DENIS ACASSIO</v>
      </c>
    </row>
    <row r="1021" spans="1:14" x14ac:dyDescent="0.3">
      <c r="A1021" s="1">
        <v>702521</v>
      </c>
      <c r="B1021" s="1" t="s">
        <v>1010</v>
      </c>
      <c r="C1021" s="5" t="s">
        <v>15</v>
      </c>
      <c r="D1021" s="2">
        <v>44411</v>
      </c>
      <c r="E1021" s="2" t="s">
        <v>1011</v>
      </c>
      <c r="F1021" s="1">
        <v>39602</v>
      </c>
      <c r="G1021" s="1" t="s">
        <v>699</v>
      </c>
      <c r="H1021" s="1" t="s">
        <v>661</v>
      </c>
      <c r="J1021" s="2" t="s">
        <v>700</v>
      </c>
      <c r="K1021" s="1" t="s">
        <v>666</v>
      </c>
      <c r="L1021" s="1" t="s">
        <v>258</v>
      </c>
      <c r="M1021" s="1" t="s">
        <v>701</v>
      </c>
      <c r="N1021" s="1" t="str">
        <f t="shared" si="15"/>
        <v>IURY GUEDES</v>
      </c>
    </row>
    <row r="1022" spans="1:14" x14ac:dyDescent="0.3">
      <c r="A1022" s="1">
        <v>705547</v>
      </c>
      <c r="B1022" s="1" t="s">
        <v>1342</v>
      </c>
      <c r="C1022" s="5" t="s">
        <v>15</v>
      </c>
      <c r="D1022" s="2">
        <v>45881</v>
      </c>
      <c r="E1022" s="2" t="s">
        <v>1086</v>
      </c>
      <c r="F1022" s="1">
        <v>31103</v>
      </c>
      <c r="G1022" s="1" t="s">
        <v>718</v>
      </c>
      <c r="H1022" s="1" t="s">
        <v>661</v>
      </c>
      <c r="J1022" s="2" t="s">
        <v>719</v>
      </c>
      <c r="K1022" s="1" t="s">
        <v>132</v>
      </c>
      <c r="L1022" s="1" t="s">
        <v>132</v>
      </c>
      <c r="M1022" s="1" t="s">
        <v>1381</v>
      </c>
      <c r="N1022" s="1" t="str">
        <f t="shared" si="15"/>
        <v>MARCOS OLIVEIRA</v>
      </c>
    </row>
    <row r="1023" spans="1:14" x14ac:dyDescent="0.3">
      <c r="A1023" s="1">
        <v>705555</v>
      </c>
      <c r="B1023" s="1" t="s">
        <v>1343</v>
      </c>
      <c r="C1023" s="5" t="s">
        <v>15</v>
      </c>
      <c r="D1023" s="2">
        <v>45874</v>
      </c>
      <c r="E1023" s="2" t="s">
        <v>31</v>
      </c>
      <c r="F1023" s="1">
        <v>39601</v>
      </c>
      <c r="G1023" s="1" t="s">
        <v>660</v>
      </c>
      <c r="H1023" s="1" t="s">
        <v>661</v>
      </c>
      <c r="J1023" s="2" t="s">
        <v>662</v>
      </c>
      <c r="K1023" s="1" t="s">
        <v>666</v>
      </c>
      <c r="L1023" s="1" t="s">
        <v>258</v>
      </c>
      <c r="N1023" s="1" t="str">
        <f t="shared" si="15"/>
        <v>MATHEUS ALMEIDA</v>
      </c>
    </row>
    <row r="1024" spans="1:14" x14ac:dyDescent="0.3">
      <c r="A1024" s="1">
        <v>701777</v>
      </c>
      <c r="B1024" s="1" t="s">
        <v>1013</v>
      </c>
      <c r="C1024" s="5" t="s">
        <v>15</v>
      </c>
      <c r="D1024" s="2">
        <v>44060</v>
      </c>
      <c r="E1024" s="2" t="s">
        <v>16</v>
      </c>
      <c r="F1024" s="1">
        <v>24102</v>
      </c>
      <c r="G1024" s="1" t="s">
        <v>669</v>
      </c>
      <c r="H1024" s="1" t="s">
        <v>661</v>
      </c>
      <c r="J1024" s="2" t="s">
        <v>682</v>
      </c>
      <c r="K1024" s="1" t="s">
        <v>666</v>
      </c>
      <c r="L1024" s="1" t="s">
        <v>1390</v>
      </c>
      <c r="M1024" s="1" t="s">
        <v>1391</v>
      </c>
      <c r="N1024" s="1" t="str">
        <f t="shared" si="15"/>
        <v>ALCENO JUNIOR/JOÃO MARCOS</v>
      </c>
    </row>
    <row r="1025" spans="1:14" x14ac:dyDescent="0.3">
      <c r="A1025" s="1">
        <v>704978</v>
      </c>
      <c r="B1025" s="1" t="s">
        <v>1014</v>
      </c>
      <c r="C1025" s="5" t="s">
        <v>15</v>
      </c>
      <c r="D1025" s="2">
        <v>45629</v>
      </c>
      <c r="E1025" s="2" t="s">
        <v>418</v>
      </c>
      <c r="F1025" s="1">
        <v>39601</v>
      </c>
      <c r="G1025" s="1" t="s">
        <v>660</v>
      </c>
      <c r="H1025" s="1" t="s">
        <v>661</v>
      </c>
      <c r="J1025" s="2" t="s">
        <v>684</v>
      </c>
      <c r="K1025" s="1" t="s">
        <v>666</v>
      </c>
      <c r="L1025" s="1" t="s">
        <v>258</v>
      </c>
      <c r="M1025" s="1" t="s">
        <v>1392</v>
      </c>
      <c r="N1025" s="1" t="str">
        <f t="shared" si="15"/>
        <v>ADALTON/JANILSON RORIZ/MARIVALDO</v>
      </c>
    </row>
    <row r="1026" spans="1:14" x14ac:dyDescent="0.3">
      <c r="A1026" s="1">
        <v>700841</v>
      </c>
      <c r="B1026" s="1" t="s">
        <v>1015</v>
      </c>
      <c r="C1026" s="5" t="s">
        <v>15</v>
      </c>
      <c r="D1026" s="2">
        <v>43500</v>
      </c>
      <c r="E1026" s="2" t="s">
        <v>138</v>
      </c>
      <c r="F1026" s="1">
        <v>24102</v>
      </c>
      <c r="G1026" s="1" t="s">
        <v>669</v>
      </c>
      <c r="H1026" s="1" t="s">
        <v>661</v>
      </c>
      <c r="J1026" s="2" t="s">
        <v>670</v>
      </c>
      <c r="K1026" s="1" t="s">
        <v>666</v>
      </c>
      <c r="L1026" s="1" t="s">
        <v>1388</v>
      </c>
      <c r="M1026" s="1" t="s">
        <v>1389</v>
      </c>
      <c r="N1026" s="1" t="str">
        <f t="shared" si="15"/>
        <v>JUNIO TEIXEIRA /GEOVANI RORIZ</v>
      </c>
    </row>
    <row r="1027" spans="1:14" x14ac:dyDescent="0.3">
      <c r="A1027" s="1">
        <v>704113</v>
      </c>
      <c r="B1027" s="1" t="s">
        <v>1016</v>
      </c>
      <c r="C1027" s="5" t="s">
        <v>15</v>
      </c>
      <c r="D1027" s="2">
        <v>45215</v>
      </c>
      <c r="E1027" s="2" t="s">
        <v>381</v>
      </c>
      <c r="F1027" s="1">
        <v>39602</v>
      </c>
      <c r="G1027" s="1" t="s">
        <v>699</v>
      </c>
      <c r="H1027" s="1" t="s">
        <v>661</v>
      </c>
      <c r="J1027" s="2" t="s">
        <v>700</v>
      </c>
      <c r="K1027" s="1" t="s">
        <v>666</v>
      </c>
      <c r="L1027" s="1" t="s">
        <v>258</v>
      </c>
      <c r="M1027" s="1" t="s">
        <v>701</v>
      </c>
      <c r="N1027" s="1" t="str">
        <f t="shared" ref="N1027:N1090" si="16">IF(M1027&lt;&gt;"", M1027, IF(L1027&lt;&gt;"", L1027, K1027))</f>
        <v>IURY GUEDES</v>
      </c>
    </row>
    <row r="1028" spans="1:14" x14ac:dyDescent="0.3">
      <c r="A1028" s="1">
        <v>704225</v>
      </c>
      <c r="B1028" s="1" t="s">
        <v>1017</v>
      </c>
      <c r="C1028" s="5" t="s">
        <v>15</v>
      </c>
      <c r="D1028" s="2">
        <v>45328</v>
      </c>
      <c r="E1028" s="2" t="s">
        <v>16</v>
      </c>
      <c r="F1028" s="1">
        <v>24102</v>
      </c>
      <c r="G1028" s="1" t="s">
        <v>669</v>
      </c>
      <c r="H1028" s="1" t="s">
        <v>661</v>
      </c>
      <c r="J1028" s="2" t="s">
        <v>682</v>
      </c>
      <c r="K1028" s="1" t="s">
        <v>666</v>
      </c>
      <c r="L1028" s="1" t="s">
        <v>1390</v>
      </c>
      <c r="M1028" s="1" t="s">
        <v>1391</v>
      </c>
      <c r="N1028" s="1" t="str">
        <f t="shared" si="16"/>
        <v>ALCENO JUNIOR/JOÃO MARCOS</v>
      </c>
    </row>
    <row r="1029" spans="1:14" x14ac:dyDescent="0.3">
      <c r="A1029" s="1">
        <v>700941</v>
      </c>
      <c r="B1029" s="1" t="s">
        <v>1018</v>
      </c>
      <c r="C1029" s="5" t="s">
        <v>15</v>
      </c>
      <c r="D1029" s="2">
        <v>42445</v>
      </c>
      <c r="E1029" s="2" t="s">
        <v>1365</v>
      </c>
      <c r="F1029" s="1">
        <v>24101</v>
      </c>
      <c r="G1029" s="1" t="s">
        <v>968</v>
      </c>
      <c r="H1029" s="1" t="s">
        <v>661</v>
      </c>
      <c r="J1029" s="2" t="s">
        <v>273</v>
      </c>
      <c r="K1029" s="1" t="s">
        <v>124</v>
      </c>
      <c r="L1029" s="1" t="s">
        <v>124</v>
      </c>
      <c r="N1029" s="1" t="str">
        <f t="shared" si="16"/>
        <v>MATHEUS FERNANDES</v>
      </c>
    </row>
    <row r="1030" spans="1:14" x14ac:dyDescent="0.3">
      <c r="A1030" s="1">
        <v>703153</v>
      </c>
      <c r="B1030" s="1" t="s">
        <v>1019</v>
      </c>
      <c r="C1030" s="5" t="s">
        <v>15</v>
      </c>
      <c r="D1030" s="2">
        <v>44733</v>
      </c>
      <c r="E1030" s="2" t="s">
        <v>686</v>
      </c>
      <c r="F1030" s="1">
        <v>39601</v>
      </c>
      <c r="G1030" s="1" t="s">
        <v>660</v>
      </c>
      <c r="H1030" s="1" t="s">
        <v>661</v>
      </c>
      <c r="J1030" s="2" t="s">
        <v>684</v>
      </c>
      <c r="K1030" s="1" t="s">
        <v>666</v>
      </c>
      <c r="L1030" s="1" t="s">
        <v>258</v>
      </c>
      <c r="M1030" s="1" t="s">
        <v>1392</v>
      </c>
      <c r="N1030" s="1" t="str">
        <f t="shared" si="16"/>
        <v>ADALTON/JANILSON RORIZ/MARIVALDO</v>
      </c>
    </row>
    <row r="1031" spans="1:14" x14ac:dyDescent="0.3">
      <c r="A1031" s="1">
        <v>704907</v>
      </c>
      <c r="B1031" s="1" t="s">
        <v>1020</v>
      </c>
      <c r="C1031" s="5" t="s">
        <v>15</v>
      </c>
      <c r="D1031" s="2">
        <v>45601</v>
      </c>
      <c r="E1031" s="2" t="s">
        <v>31</v>
      </c>
      <c r="F1031" s="1">
        <v>39601</v>
      </c>
      <c r="G1031" s="1" t="s">
        <v>660</v>
      </c>
      <c r="H1031" s="1" t="s">
        <v>661</v>
      </c>
      <c r="J1031" s="2" t="s">
        <v>684</v>
      </c>
      <c r="K1031" s="1" t="s">
        <v>666</v>
      </c>
      <c r="L1031" s="1" t="s">
        <v>258</v>
      </c>
      <c r="M1031" s="1" t="s">
        <v>1392</v>
      </c>
      <c r="N1031" s="1" t="str">
        <f t="shared" si="16"/>
        <v>ADALTON/JANILSON RORIZ/MARIVALDO</v>
      </c>
    </row>
    <row r="1032" spans="1:14" x14ac:dyDescent="0.3">
      <c r="A1032" s="1">
        <v>703633</v>
      </c>
      <c r="B1032" s="1" t="s">
        <v>1021</v>
      </c>
      <c r="C1032" s="5" t="s">
        <v>15</v>
      </c>
      <c r="D1032" s="2">
        <v>44993</v>
      </c>
      <c r="E1032" s="2" t="s">
        <v>238</v>
      </c>
      <c r="F1032" s="1">
        <v>37102</v>
      </c>
      <c r="G1032" s="1" t="s">
        <v>694</v>
      </c>
      <c r="H1032" s="1" t="s">
        <v>661</v>
      </c>
      <c r="J1032" s="2" t="s">
        <v>239</v>
      </c>
      <c r="K1032" s="1" t="s">
        <v>216</v>
      </c>
      <c r="L1032" s="1" t="s">
        <v>216</v>
      </c>
      <c r="N1032" s="1" t="str">
        <f t="shared" si="16"/>
        <v>CARSON NEVES</v>
      </c>
    </row>
    <row r="1033" spans="1:14" x14ac:dyDescent="0.3">
      <c r="A1033" s="1">
        <v>704062</v>
      </c>
      <c r="B1033" s="1" t="s">
        <v>1022</v>
      </c>
      <c r="C1033" s="5" t="s">
        <v>15</v>
      </c>
      <c r="D1033" s="2">
        <v>45154</v>
      </c>
      <c r="E1033" s="2" t="s">
        <v>31</v>
      </c>
      <c r="F1033" s="1">
        <v>24102</v>
      </c>
      <c r="G1033" s="1" t="s">
        <v>669</v>
      </c>
      <c r="H1033" s="1" t="s">
        <v>661</v>
      </c>
      <c r="J1033" s="2" t="s">
        <v>670</v>
      </c>
      <c r="K1033" s="1" t="s">
        <v>666</v>
      </c>
      <c r="L1033" s="1" t="s">
        <v>1388</v>
      </c>
      <c r="M1033" s="1" t="s">
        <v>1389</v>
      </c>
      <c r="N1033" s="1" t="str">
        <f t="shared" si="16"/>
        <v>JUNIO TEIXEIRA /GEOVANI RORIZ</v>
      </c>
    </row>
    <row r="1034" spans="1:14" x14ac:dyDescent="0.3">
      <c r="A1034" s="1">
        <v>703315</v>
      </c>
      <c r="B1034" s="1" t="s">
        <v>1023</v>
      </c>
      <c r="C1034" s="5" t="s">
        <v>15</v>
      </c>
      <c r="D1034" s="2">
        <v>44824</v>
      </c>
      <c r="E1034" s="2" t="s">
        <v>507</v>
      </c>
      <c r="F1034" s="1">
        <v>24201</v>
      </c>
      <c r="G1034" s="1" t="s">
        <v>664</v>
      </c>
      <c r="H1034" s="1" t="s">
        <v>661</v>
      </c>
      <c r="J1034" s="2" t="s">
        <v>665</v>
      </c>
      <c r="K1034" s="1" t="s">
        <v>666</v>
      </c>
      <c r="L1034" s="1" t="s">
        <v>258</v>
      </c>
      <c r="M1034" s="1" t="s">
        <v>667</v>
      </c>
      <c r="N1034" s="1" t="str">
        <f t="shared" si="16"/>
        <v>JOSIEL NEVES</v>
      </c>
    </row>
    <row r="1035" spans="1:14" x14ac:dyDescent="0.3">
      <c r="A1035" s="1">
        <v>705050</v>
      </c>
      <c r="B1035" s="1" t="s">
        <v>1024</v>
      </c>
      <c r="C1035" s="5" t="s">
        <v>92</v>
      </c>
      <c r="D1035" s="2">
        <v>45643</v>
      </c>
      <c r="E1035" s="2" t="s">
        <v>22</v>
      </c>
      <c r="F1035" s="1">
        <v>39602</v>
      </c>
      <c r="G1035" s="1" t="s">
        <v>699</v>
      </c>
      <c r="H1035" s="1" t="s">
        <v>661</v>
      </c>
      <c r="I1035" s="2">
        <v>46042</v>
      </c>
      <c r="J1035" s="2" t="s">
        <v>700</v>
      </c>
      <c r="K1035" s="1" t="s">
        <v>666</v>
      </c>
      <c r="L1035" s="1" t="s">
        <v>258</v>
      </c>
      <c r="M1035" s="1" t="s">
        <v>701</v>
      </c>
      <c r="N1035" s="1" t="str">
        <f t="shared" si="16"/>
        <v>IURY GUEDES</v>
      </c>
    </row>
    <row r="1036" spans="1:14" x14ac:dyDescent="0.3">
      <c r="A1036" s="1">
        <v>704385</v>
      </c>
      <c r="B1036" s="1" t="s">
        <v>496</v>
      </c>
      <c r="C1036" s="5" t="s">
        <v>15</v>
      </c>
      <c r="D1036" s="2">
        <v>45391</v>
      </c>
      <c r="E1036" s="2" t="s">
        <v>905</v>
      </c>
      <c r="F1036" s="1">
        <v>32102</v>
      </c>
      <c r="G1036" s="1" t="s">
        <v>674</v>
      </c>
      <c r="H1036" s="1" t="s">
        <v>661</v>
      </c>
      <c r="J1036" s="2" t="s">
        <v>675</v>
      </c>
      <c r="K1036" s="1" t="s">
        <v>25</v>
      </c>
      <c r="L1036" s="1" t="s">
        <v>1369</v>
      </c>
      <c r="M1036" s="1" t="s">
        <v>676</v>
      </c>
      <c r="N1036" s="1" t="str">
        <f t="shared" si="16"/>
        <v>MARCELO DOURADO</v>
      </c>
    </row>
    <row r="1037" spans="1:14" x14ac:dyDescent="0.3">
      <c r="A1037" s="1">
        <v>705670</v>
      </c>
      <c r="B1037" s="1" t="s">
        <v>1434</v>
      </c>
      <c r="C1037" s="5" t="s">
        <v>92</v>
      </c>
      <c r="D1037" s="2">
        <v>45944</v>
      </c>
      <c r="E1037" s="2" t="s">
        <v>31</v>
      </c>
      <c r="F1037" s="1">
        <v>39601</v>
      </c>
      <c r="G1037" s="1" t="s">
        <v>660</v>
      </c>
      <c r="H1037" s="1" t="s">
        <v>661</v>
      </c>
      <c r="I1037" s="2">
        <v>46033</v>
      </c>
      <c r="J1037" s="2" t="s">
        <v>684</v>
      </c>
      <c r="K1037" s="1" t="s">
        <v>666</v>
      </c>
      <c r="L1037" s="1" t="s">
        <v>258</v>
      </c>
      <c r="M1037" s="1" t="s">
        <v>1392</v>
      </c>
      <c r="N1037" s="1" t="str">
        <f t="shared" si="16"/>
        <v>ADALTON/JANILSON RORIZ/MARIVALDO</v>
      </c>
    </row>
    <row r="1038" spans="1:14" x14ac:dyDescent="0.3">
      <c r="A1038" s="1">
        <v>700126</v>
      </c>
      <c r="B1038" s="1" t="s">
        <v>1026</v>
      </c>
      <c r="C1038" s="5" t="s">
        <v>15</v>
      </c>
      <c r="D1038" s="2">
        <v>43192</v>
      </c>
      <c r="E1038" s="2" t="s">
        <v>31</v>
      </c>
      <c r="F1038" s="1">
        <v>24102</v>
      </c>
      <c r="G1038" s="1" t="s">
        <v>669</v>
      </c>
      <c r="H1038" s="1" t="s">
        <v>661</v>
      </c>
      <c r="J1038" s="2" t="s">
        <v>672</v>
      </c>
      <c r="K1038" s="1" t="s">
        <v>666</v>
      </c>
      <c r="L1038" s="1" t="s">
        <v>1388</v>
      </c>
      <c r="M1038" s="1" t="s">
        <v>1389</v>
      </c>
      <c r="N1038" s="1" t="str">
        <f t="shared" si="16"/>
        <v>JUNIO TEIXEIRA /GEOVANI RORIZ</v>
      </c>
    </row>
    <row r="1039" spans="1:14" x14ac:dyDescent="0.3">
      <c r="A1039" s="1">
        <v>701837</v>
      </c>
      <c r="B1039" s="1" t="s">
        <v>1027</v>
      </c>
      <c r="C1039" s="5" t="s">
        <v>15</v>
      </c>
      <c r="D1039" s="2">
        <v>44125</v>
      </c>
      <c r="E1039" s="2" t="s">
        <v>31</v>
      </c>
      <c r="F1039" s="1">
        <v>24102</v>
      </c>
      <c r="G1039" s="1" t="s">
        <v>669</v>
      </c>
      <c r="H1039" s="1" t="s">
        <v>661</v>
      </c>
      <c r="J1039" s="2" t="s">
        <v>680</v>
      </c>
      <c r="K1039" s="1" t="s">
        <v>666</v>
      </c>
      <c r="L1039" s="1" t="s">
        <v>1388</v>
      </c>
      <c r="M1039" s="1" t="s">
        <v>1389</v>
      </c>
      <c r="N1039" s="1" t="str">
        <f t="shared" si="16"/>
        <v>JUNIO TEIXEIRA /GEOVANI RORIZ</v>
      </c>
    </row>
    <row r="1040" spans="1:14" x14ac:dyDescent="0.3">
      <c r="A1040" s="1">
        <v>701315</v>
      </c>
      <c r="B1040" s="1" t="s">
        <v>1028</v>
      </c>
      <c r="C1040" s="5" t="s">
        <v>15</v>
      </c>
      <c r="D1040" s="2">
        <v>43732</v>
      </c>
      <c r="E1040" s="2" t="s">
        <v>146</v>
      </c>
      <c r="F1040" s="1">
        <v>24102</v>
      </c>
      <c r="G1040" s="1" t="s">
        <v>669</v>
      </c>
      <c r="H1040" s="1" t="s">
        <v>661</v>
      </c>
      <c r="J1040" s="2" t="s">
        <v>682</v>
      </c>
      <c r="K1040" s="1" t="s">
        <v>666</v>
      </c>
      <c r="L1040" s="1" t="s">
        <v>1390</v>
      </c>
      <c r="M1040" s="1" t="s">
        <v>1391</v>
      </c>
      <c r="N1040" s="1" t="str">
        <f t="shared" si="16"/>
        <v>ALCENO JUNIOR/JOÃO MARCOS</v>
      </c>
    </row>
    <row r="1041" spans="1:14" x14ac:dyDescent="0.3">
      <c r="A1041" s="1">
        <v>703221</v>
      </c>
      <c r="B1041" s="1" t="s">
        <v>1029</v>
      </c>
      <c r="C1041" s="5" t="s">
        <v>15</v>
      </c>
      <c r="D1041" s="2">
        <v>44756</v>
      </c>
      <c r="E1041" s="2" t="s">
        <v>686</v>
      </c>
      <c r="F1041" s="1">
        <v>39601</v>
      </c>
      <c r="G1041" s="1" t="s">
        <v>660</v>
      </c>
      <c r="H1041" s="1" t="s">
        <v>661</v>
      </c>
      <c r="J1041" s="2" t="s">
        <v>662</v>
      </c>
      <c r="K1041" s="1" t="s">
        <v>666</v>
      </c>
      <c r="L1041" s="1" t="s">
        <v>258</v>
      </c>
      <c r="N1041" s="1" t="str">
        <f t="shared" si="16"/>
        <v>MATHEUS ALMEIDA</v>
      </c>
    </row>
    <row r="1042" spans="1:14" x14ac:dyDescent="0.3">
      <c r="A1042" s="1">
        <v>705070</v>
      </c>
      <c r="B1042" s="1" t="s">
        <v>1030</v>
      </c>
      <c r="C1042" s="5" t="s">
        <v>15</v>
      </c>
      <c r="D1042" s="2">
        <v>45670</v>
      </c>
      <c r="E1042" s="2" t="s">
        <v>31</v>
      </c>
      <c r="F1042" s="1">
        <v>24102</v>
      </c>
      <c r="G1042" s="1" t="s">
        <v>669</v>
      </c>
      <c r="H1042" s="1" t="s">
        <v>661</v>
      </c>
      <c r="J1042" s="2" t="s">
        <v>672</v>
      </c>
      <c r="K1042" s="1" t="s">
        <v>666</v>
      </c>
      <c r="L1042" s="1" t="s">
        <v>1388</v>
      </c>
      <c r="M1042" s="1" t="s">
        <v>1389</v>
      </c>
      <c r="N1042" s="1" t="str">
        <f t="shared" si="16"/>
        <v>JUNIO TEIXEIRA /GEOVANI RORIZ</v>
      </c>
    </row>
    <row r="1043" spans="1:14" x14ac:dyDescent="0.3">
      <c r="A1043" s="1">
        <v>704927</v>
      </c>
      <c r="B1043" s="1" t="s">
        <v>1366</v>
      </c>
      <c r="C1043" s="5" t="s">
        <v>15</v>
      </c>
      <c r="D1043" s="2">
        <v>45601</v>
      </c>
      <c r="E1043" s="2" t="s">
        <v>138</v>
      </c>
      <c r="F1043" s="1">
        <v>24102</v>
      </c>
      <c r="G1043" s="1" t="s">
        <v>669</v>
      </c>
      <c r="H1043" s="1" t="s">
        <v>661</v>
      </c>
      <c r="J1043" s="2" t="s">
        <v>682</v>
      </c>
      <c r="K1043" s="1" t="s">
        <v>666</v>
      </c>
      <c r="L1043" s="1" t="s">
        <v>1390</v>
      </c>
      <c r="M1043" s="1" t="s">
        <v>1391</v>
      </c>
      <c r="N1043" s="1" t="str">
        <f t="shared" si="16"/>
        <v>ALCENO JUNIOR/JOÃO MARCOS</v>
      </c>
    </row>
    <row r="1044" spans="1:14" x14ac:dyDescent="0.3">
      <c r="A1044" s="1">
        <v>703939</v>
      </c>
      <c r="B1044" s="1" t="s">
        <v>1031</v>
      </c>
      <c r="C1044" s="5" t="s">
        <v>15</v>
      </c>
      <c r="D1044" s="2">
        <v>45089</v>
      </c>
      <c r="E1044" s="2" t="s">
        <v>31</v>
      </c>
      <c r="F1044" s="1">
        <v>24102</v>
      </c>
      <c r="G1044" s="1" t="s">
        <v>669</v>
      </c>
      <c r="H1044" s="1" t="s">
        <v>661</v>
      </c>
      <c r="J1044" s="2" t="s">
        <v>680</v>
      </c>
      <c r="K1044" s="1" t="s">
        <v>666</v>
      </c>
      <c r="L1044" s="1" t="s">
        <v>1388</v>
      </c>
      <c r="M1044" s="1" t="s">
        <v>1389</v>
      </c>
      <c r="N1044" s="1" t="str">
        <f t="shared" si="16"/>
        <v>JUNIO TEIXEIRA /GEOVANI RORIZ</v>
      </c>
    </row>
    <row r="1045" spans="1:14" x14ac:dyDescent="0.3">
      <c r="A1045" s="1">
        <v>700661</v>
      </c>
      <c r="B1045" s="1" t="s">
        <v>1032</v>
      </c>
      <c r="C1045" s="5" t="s">
        <v>15</v>
      </c>
      <c r="D1045" s="2">
        <v>42989</v>
      </c>
      <c r="E1045" s="2" t="s">
        <v>1363</v>
      </c>
      <c r="F1045" s="1">
        <v>39203</v>
      </c>
      <c r="G1045" s="1" t="s">
        <v>709</v>
      </c>
      <c r="H1045" s="1" t="s">
        <v>661</v>
      </c>
      <c r="J1045" s="2" t="s">
        <v>710</v>
      </c>
      <c r="K1045" s="1" t="s">
        <v>50</v>
      </c>
      <c r="L1045" s="1" t="s">
        <v>50</v>
      </c>
      <c r="M1045" s="1" t="s">
        <v>1382</v>
      </c>
      <c r="N1045" s="1" t="str">
        <f t="shared" si="16"/>
        <v>ADENILTON RODRIGUES</v>
      </c>
    </row>
    <row r="1046" spans="1:14" x14ac:dyDescent="0.3">
      <c r="A1046" s="1">
        <v>705281</v>
      </c>
      <c r="B1046" s="1" t="s">
        <v>1033</v>
      </c>
      <c r="C1046" s="5" t="s">
        <v>15</v>
      </c>
      <c r="D1046" s="2">
        <v>45762</v>
      </c>
      <c r="E1046" s="2" t="s">
        <v>31</v>
      </c>
      <c r="F1046" s="1">
        <v>39601</v>
      </c>
      <c r="G1046" s="1" t="s">
        <v>660</v>
      </c>
      <c r="H1046" s="1" t="s">
        <v>661</v>
      </c>
      <c r="J1046" s="2" t="s">
        <v>684</v>
      </c>
      <c r="K1046" s="1" t="s">
        <v>666</v>
      </c>
      <c r="L1046" s="1" t="s">
        <v>258</v>
      </c>
      <c r="M1046" s="1" t="s">
        <v>1392</v>
      </c>
      <c r="N1046" s="1" t="str">
        <f t="shared" si="16"/>
        <v>ADALTON/JANILSON RORIZ/MARIVALDO</v>
      </c>
    </row>
    <row r="1047" spans="1:14" x14ac:dyDescent="0.3">
      <c r="A1047" s="1">
        <v>700351</v>
      </c>
      <c r="B1047" s="1" t="s">
        <v>1034</v>
      </c>
      <c r="C1047" s="5" t="s">
        <v>15</v>
      </c>
      <c r="D1047" s="2">
        <v>43297</v>
      </c>
      <c r="E1047" s="2" t="s">
        <v>146</v>
      </c>
      <c r="F1047" s="1">
        <v>39601</v>
      </c>
      <c r="G1047" s="1" t="s">
        <v>660</v>
      </c>
      <c r="H1047" s="1" t="s">
        <v>661</v>
      </c>
      <c r="J1047" s="2" t="s">
        <v>662</v>
      </c>
      <c r="K1047" s="1" t="s">
        <v>666</v>
      </c>
      <c r="L1047" s="1" t="s">
        <v>258</v>
      </c>
      <c r="N1047" s="1" t="str">
        <f t="shared" si="16"/>
        <v>MATHEUS ALMEIDA</v>
      </c>
    </row>
    <row r="1048" spans="1:14" x14ac:dyDescent="0.3">
      <c r="A1048" s="1">
        <v>704977</v>
      </c>
      <c r="B1048" s="1" t="s">
        <v>1035</v>
      </c>
      <c r="C1048" s="5" t="s">
        <v>15</v>
      </c>
      <c r="D1048" s="2">
        <v>45629</v>
      </c>
      <c r="E1048" s="2" t="s">
        <v>427</v>
      </c>
      <c r="F1048" s="1">
        <v>39602</v>
      </c>
      <c r="G1048" s="1" t="s">
        <v>699</v>
      </c>
      <c r="H1048" s="1" t="s">
        <v>661</v>
      </c>
      <c r="J1048" s="2" t="s">
        <v>700</v>
      </c>
      <c r="K1048" s="1" t="s">
        <v>666</v>
      </c>
      <c r="L1048" s="1" t="s">
        <v>258</v>
      </c>
      <c r="M1048" s="1" t="s">
        <v>701</v>
      </c>
      <c r="N1048" s="1" t="str">
        <f t="shared" si="16"/>
        <v>IURY GUEDES</v>
      </c>
    </row>
    <row r="1049" spans="1:14" x14ac:dyDescent="0.3">
      <c r="A1049" s="1">
        <v>701596</v>
      </c>
      <c r="B1049" s="1" t="s">
        <v>1036</v>
      </c>
      <c r="C1049" s="5" t="s">
        <v>15</v>
      </c>
      <c r="D1049" s="2">
        <v>43985</v>
      </c>
      <c r="E1049" s="2" t="s">
        <v>1037</v>
      </c>
      <c r="F1049" s="1">
        <v>32102</v>
      </c>
      <c r="G1049" s="1" t="s">
        <v>674</v>
      </c>
      <c r="H1049" s="1" t="s">
        <v>661</v>
      </c>
      <c r="J1049" s="2" t="s">
        <v>197</v>
      </c>
      <c r="K1049" s="1" t="s">
        <v>1508</v>
      </c>
      <c r="N1049" s="1" t="str">
        <f t="shared" si="16"/>
        <v xml:space="preserve">CARLOS OLIVEIRA </v>
      </c>
    </row>
    <row r="1050" spans="1:14" x14ac:dyDescent="0.3">
      <c r="A1050" s="1">
        <v>705693</v>
      </c>
      <c r="B1050" s="1" t="s">
        <v>1467</v>
      </c>
      <c r="C1050" s="5" t="s">
        <v>15</v>
      </c>
      <c r="D1050" s="2">
        <v>45971</v>
      </c>
      <c r="E1050" s="2" t="s">
        <v>1346</v>
      </c>
      <c r="F1050" s="1">
        <v>39203</v>
      </c>
      <c r="G1050" s="1" t="s">
        <v>709</v>
      </c>
      <c r="H1050" s="1" t="s">
        <v>661</v>
      </c>
      <c r="J1050" s="2" t="s">
        <v>710</v>
      </c>
      <c r="K1050" s="1" t="s">
        <v>50</v>
      </c>
      <c r="L1050" s="1" t="s">
        <v>50</v>
      </c>
      <c r="M1050" s="1" t="s">
        <v>1382</v>
      </c>
      <c r="N1050" s="1" t="str">
        <f t="shared" si="16"/>
        <v>ADENILTON RODRIGUES</v>
      </c>
    </row>
    <row r="1051" spans="1:14" x14ac:dyDescent="0.3">
      <c r="A1051" s="1">
        <v>705671</v>
      </c>
      <c r="B1051" s="1" t="s">
        <v>1435</v>
      </c>
      <c r="C1051" s="5" t="s">
        <v>15</v>
      </c>
      <c r="D1051" s="2">
        <v>45944</v>
      </c>
      <c r="E1051" s="2" t="s">
        <v>31</v>
      </c>
      <c r="F1051" s="1">
        <v>39601</v>
      </c>
      <c r="G1051" s="1" t="s">
        <v>660</v>
      </c>
      <c r="H1051" s="1" t="s">
        <v>661</v>
      </c>
      <c r="J1051" s="2" t="s">
        <v>684</v>
      </c>
      <c r="K1051" s="1" t="s">
        <v>666</v>
      </c>
      <c r="L1051" s="1" t="s">
        <v>258</v>
      </c>
      <c r="M1051" s="1" t="s">
        <v>1392</v>
      </c>
      <c r="N1051" s="1" t="str">
        <f t="shared" si="16"/>
        <v>ADALTON/JANILSON RORIZ/MARIVALDO</v>
      </c>
    </row>
    <row r="1052" spans="1:14" x14ac:dyDescent="0.3">
      <c r="A1052" s="1">
        <v>700186</v>
      </c>
      <c r="B1052" s="1" t="s">
        <v>1038</v>
      </c>
      <c r="C1052" s="5" t="s">
        <v>15</v>
      </c>
      <c r="D1052" s="2">
        <v>43234</v>
      </c>
      <c r="E1052" s="2" t="s">
        <v>166</v>
      </c>
      <c r="F1052" s="1">
        <v>24102</v>
      </c>
      <c r="G1052" s="1" t="s">
        <v>669</v>
      </c>
      <c r="H1052" s="1" t="s">
        <v>661</v>
      </c>
      <c r="J1052" s="2" t="s">
        <v>670</v>
      </c>
      <c r="K1052" s="1" t="s">
        <v>666</v>
      </c>
      <c r="L1052" s="1" t="s">
        <v>1388</v>
      </c>
      <c r="M1052" s="1" t="s">
        <v>1389</v>
      </c>
      <c r="N1052" s="1" t="str">
        <f t="shared" si="16"/>
        <v>JUNIO TEIXEIRA /GEOVANI RORIZ</v>
      </c>
    </row>
    <row r="1053" spans="1:14" x14ac:dyDescent="0.3">
      <c r="A1053" s="1">
        <v>705672</v>
      </c>
      <c r="B1053" s="1" t="s">
        <v>504</v>
      </c>
      <c r="C1053" s="5" t="s">
        <v>15</v>
      </c>
      <c r="D1053" s="2">
        <v>45944</v>
      </c>
      <c r="E1053" s="2" t="s">
        <v>31</v>
      </c>
      <c r="F1053" s="1">
        <v>39601</v>
      </c>
      <c r="G1053" s="1" t="s">
        <v>660</v>
      </c>
      <c r="H1053" s="1" t="s">
        <v>661</v>
      </c>
      <c r="J1053" s="2" t="s">
        <v>662</v>
      </c>
      <c r="K1053" s="1" t="s">
        <v>666</v>
      </c>
      <c r="L1053" s="1" t="s">
        <v>258</v>
      </c>
      <c r="N1053" s="1" t="str">
        <f t="shared" si="16"/>
        <v>MATHEUS ALMEIDA</v>
      </c>
    </row>
    <row r="1054" spans="1:14" x14ac:dyDescent="0.3">
      <c r="A1054" s="1">
        <v>703683</v>
      </c>
      <c r="B1054" s="1" t="s">
        <v>1039</v>
      </c>
      <c r="C1054" s="5" t="s">
        <v>15</v>
      </c>
      <c r="D1054" s="2">
        <v>45019</v>
      </c>
      <c r="E1054" s="2" t="s">
        <v>146</v>
      </c>
      <c r="F1054" s="1">
        <v>39601</v>
      </c>
      <c r="G1054" s="1" t="s">
        <v>660</v>
      </c>
      <c r="H1054" s="1" t="s">
        <v>661</v>
      </c>
      <c r="J1054" s="2" t="s">
        <v>684</v>
      </c>
      <c r="K1054" s="1" t="s">
        <v>666</v>
      </c>
      <c r="L1054" s="1" t="s">
        <v>258</v>
      </c>
      <c r="M1054" s="1" t="s">
        <v>1392</v>
      </c>
      <c r="N1054" s="1" t="str">
        <f t="shared" si="16"/>
        <v>ADALTON/JANILSON RORIZ/MARIVALDO</v>
      </c>
    </row>
    <row r="1055" spans="1:14" x14ac:dyDescent="0.3">
      <c r="A1055" s="1">
        <v>701197</v>
      </c>
      <c r="B1055" s="1" t="s">
        <v>1040</v>
      </c>
      <c r="C1055" s="5" t="s">
        <v>15</v>
      </c>
      <c r="D1055" s="2">
        <v>43682</v>
      </c>
      <c r="E1055" s="2" t="s">
        <v>507</v>
      </c>
      <c r="F1055" s="1">
        <v>24201</v>
      </c>
      <c r="G1055" s="1" t="s">
        <v>664</v>
      </c>
      <c r="H1055" s="1" t="s">
        <v>661</v>
      </c>
      <c r="J1055" s="2" t="s">
        <v>665</v>
      </c>
      <c r="K1055" s="1" t="s">
        <v>666</v>
      </c>
      <c r="L1055" s="1" t="s">
        <v>258</v>
      </c>
      <c r="M1055" s="1" t="s">
        <v>667</v>
      </c>
      <c r="N1055" s="1" t="str">
        <f t="shared" si="16"/>
        <v>JOSIEL NEVES</v>
      </c>
    </row>
    <row r="1056" spans="1:14" x14ac:dyDescent="0.3">
      <c r="A1056" s="1">
        <v>702616</v>
      </c>
      <c r="B1056" s="1" t="s">
        <v>1041</v>
      </c>
      <c r="C1056" s="5" t="s">
        <v>15</v>
      </c>
      <c r="D1056" s="2">
        <v>44487</v>
      </c>
      <c r="E1056" s="2" t="s">
        <v>60</v>
      </c>
      <c r="F1056" s="1">
        <v>24102</v>
      </c>
      <c r="G1056" s="1" t="s">
        <v>669</v>
      </c>
      <c r="H1056" s="1" t="s">
        <v>661</v>
      </c>
      <c r="J1056" s="2" t="s">
        <v>682</v>
      </c>
      <c r="K1056" s="1" t="s">
        <v>666</v>
      </c>
      <c r="L1056" s="1" t="s">
        <v>1390</v>
      </c>
      <c r="M1056" s="1" t="s">
        <v>1391</v>
      </c>
      <c r="N1056" s="1" t="str">
        <f t="shared" si="16"/>
        <v>ALCENO JUNIOR/JOÃO MARCOS</v>
      </c>
    </row>
    <row r="1057" spans="1:14" x14ac:dyDescent="0.3">
      <c r="A1057" s="1">
        <v>705075</v>
      </c>
      <c r="B1057" s="1" t="s">
        <v>1044</v>
      </c>
      <c r="C1057" s="5" t="s">
        <v>15</v>
      </c>
      <c r="D1057" s="2">
        <v>45671</v>
      </c>
      <c r="E1057" s="2" t="s">
        <v>31</v>
      </c>
      <c r="F1057" s="1">
        <v>39601</v>
      </c>
      <c r="G1057" s="1" t="s">
        <v>660</v>
      </c>
      <c r="H1057" s="1" t="s">
        <v>661</v>
      </c>
      <c r="J1057" s="2" t="s">
        <v>672</v>
      </c>
      <c r="K1057" s="1" t="s">
        <v>666</v>
      </c>
      <c r="L1057" s="1" t="s">
        <v>1388</v>
      </c>
      <c r="M1057" s="1" t="s">
        <v>1389</v>
      </c>
      <c r="N1057" s="1" t="str">
        <f t="shared" si="16"/>
        <v>JUNIO TEIXEIRA /GEOVANI RORIZ</v>
      </c>
    </row>
    <row r="1058" spans="1:14" x14ac:dyDescent="0.3">
      <c r="A1058" s="1">
        <v>703936</v>
      </c>
      <c r="B1058" s="1" t="s">
        <v>1045</v>
      </c>
      <c r="C1058" s="5" t="s">
        <v>15</v>
      </c>
      <c r="D1058" s="2">
        <v>45089</v>
      </c>
      <c r="E1058" s="2" t="s">
        <v>138</v>
      </c>
      <c r="F1058" s="1">
        <v>24102</v>
      </c>
      <c r="G1058" s="1" t="s">
        <v>669</v>
      </c>
      <c r="H1058" s="1" t="s">
        <v>661</v>
      </c>
      <c r="J1058" s="2" t="s">
        <v>682</v>
      </c>
      <c r="K1058" s="1" t="s">
        <v>666</v>
      </c>
      <c r="L1058" s="1" t="s">
        <v>1390</v>
      </c>
      <c r="M1058" s="1" t="s">
        <v>1391</v>
      </c>
      <c r="N1058" s="1" t="str">
        <f t="shared" si="16"/>
        <v>ALCENO JUNIOR/JOÃO MARCOS</v>
      </c>
    </row>
    <row r="1059" spans="1:14" x14ac:dyDescent="0.3">
      <c r="A1059" s="1">
        <v>704395</v>
      </c>
      <c r="B1059" s="1" t="s">
        <v>1046</v>
      </c>
      <c r="C1059" s="5" t="s">
        <v>15</v>
      </c>
      <c r="D1059" s="2">
        <v>45391</v>
      </c>
      <c r="E1059" s="2" t="s">
        <v>27</v>
      </c>
      <c r="F1059" s="1">
        <v>39601</v>
      </c>
      <c r="G1059" s="1" t="s">
        <v>660</v>
      </c>
      <c r="H1059" s="1" t="s">
        <v>661</v>
      </c>
      <c r="J1059" s="2" t="s">
        <v>662</v>
      </c>
      <c r="K1059" s="1" t="s">
        <v>666</v>
      </c>
      <c r="L1059" s="1" t="s">
        <v>258</v>
      </c>
      <c r="N1059" s="1" t="str">
        <f t="shared" si="16"/>
        <v>MATHEUS ALMEIDA</v>
      </c>
    </row>
    <row r="1060" spans="1:14" x14ac:dyDescent="0.3">
      <c r="A1060" s="1">
        <v>703239</v>
      </c>
      <c r="B1060" s="1" t="s">
        <v>1048</v>
      </c>
      <c r="C1060" s="5" t="s">
        <v>15</v>
      </c>
      <c r="D1060" s="2">
        <v>44760</v>
      </c>
      <c r="E1060" s="2" t="s">
        <v>230</v>
      </c>
      <c r="F1060" s="1">
        <v>38102</v>
      </c>
      <c r="G1060" s="1" t="s">
        <v>725</v>
      </c>
      <c r="H1060" s="1" t="s">
        <v>661</v>
      </c>
      <c r="J1060" s="2" t="s">
        <v>726</v>
      </c>
      <c r="K1060" s="1" t="s">
        <v>1372</v>
      </c>
      <c r="L1060" s="1" t="s">
        <v>1372</v>
      </c>
      <c r="M1060" s="1" t="s">
        <v>1373</v>
      </c>
      <c r="N1060" s="1" t="str">
        <f t="shared" si="16"/>
        <v>DENIS ACASSIO</v>
      </c>
    </row>
    <row r="1061" spans="1:14" x14ac:dyDescent="0.3">
      <c r="A1061" s="1">
        <v>700755</v>
      </c>
      <c r="B1061" s="1" t="s">
        <v>1049</v>
      </c>
      <c r="C1061" s="5" t="s">
        <v>15</v>
      </c>
      <c r="D1061" s="2">
        <v>43410</v>
      </c>
      <c r="E1061" s="2" t="s">
        <v>97</v>
      </c>
      <c r="F1061" s="1">
        <v>32102</v>
      </c>
      <c r="G1061" s="1" t="s">
        <v>674</v>
      </c>
      <c r="H1061" s="1" t="s">
        <v>661</v>
      </c>
      <c r="J1061" s="2" t="s">
        <v>675</v>
      </c>
      <c r="K1061" s="1" t="s">
        <v>25</v>
      </c>
      <c r="L1061" s="1" t="s">
        <v>1369</v>
      </c>
      <c r="M1061" s="1" t="s">
        <v>676</v>
      </c>
      <c r="N1061" s="1" t="str">
        <f t="shared" si="16"/>
        <v>MARCELO DOURADO</v>
      </c>
    </row>
    <row r="1062" spans="1:14" x14ac:dyDescent="0.3">
      <c r="A1062" s="1">
        <v>703921</v>
      </c>
      <c r="B1062" s="1" t="s">
        <v>1050</v>
      </c>
      <c r="C1062" s="5" t="s">
        <v>15</v>
      </c>
      <c r="D1062" s="2">
        <v>45083</v>
      </c>
      <c r="E1062" s="2" t="s">
        <v>16</v>
      </c>
      <c r="F1062" s="1">
        <v>24102</v>
      </c>
      <c r="G1062" s="1" t="s">
        <v>669</v>
      </c>
      <c r="H1062" s="1" t="s">
        <v>661</v>
      </c>
      <c r="J1062" s="2" t="s">
        <v>682</v>
      </c>
      <c r="K1062" s="1" t="s">
        <v>666</v>
      </c>
      <c r="L1062" s="1" t="s">
        <v>1390</v>
      </c>
      <c r="M1062" s="1" t="s">
        <v>1391</v>
      </c>
      <c r="N1062" s="1" t="str">
        <f t="shared" si="16"/>
        <v>ALCENO JUNIOR/JOÃO MARCOS</v>
      </c>
    </row>
    <row r="1063" spans="1:14" x14ac:dyDescent="0.3">
      <c r="A1063" s="1">
        <v>705164</v>
      </c>
      <c r="B1063" s="1" t="s">
        <v>1175</v>
      </c>
      <c r="C1063" s="5" t="s">
        <v>15</v>
      </c>
      <c r="D1063" s="2">
        <v>45726</v>
      </c>
      <c r="E1063" s="2" t="s">
        <v>31</v>
      </c>
      <c r="F1063" s="1">
        <v>24102</v>
      </c>
      <c r="G1063" s="1" t="s">
        <v>669</v>
      </c>
      <c r="H1063" s="1" t="s">
        <v>661</v>
      </c>
      <c r="J1063" s="2" t="s">
        <v>672</v>
      </c>
      <c r="K1063" s="1" t="s">
        <v>666</v>
      </c>
      <c r="L1063" s="1" t="s">
        <v>1388</v>
      </c>
      <c r="M1063" s="1" t="s">
        <v>1389</v>
      </c>
      <c r="N1063" s="1" t="str">
        <f t="shared" si="16"/>
        <v>JUNIO TEIXEIRA /GEOVANI RORIZ</v>
      </c>
    </row>
    <row r="1064" spans="1:14" x14ac:dyDescent="0.3">
      <c r="A1064" s="1">
        <v>101719</v>
      </c>
      <c r="B1064" s="1" t="s">
        <v>1051</v>
      </c>
      <c r="C1064" s="5" t="s">
        <v>15</v>
      </c>
      <c r="D1064" s="2">
        <v>43060</v>
      </c>
      <c r="E1064" s="2" t="s">
        <v>109</v>
      </c>
      <c r="F1064" s="1">
        <v>32102</v>
      </c>
      <c r="G1064" s="1" t="s">
        <v>674</v>
      </c>
      <c r="H1064" s="1" t="s">
        <v>661</v>
      </c>
      <c r="J1064" s="2" t="s">
        <v>675</v>
      </c>
      <c r="K1064" s="1" t="s">
        <v>25</v>
      </c>
      <c r="L1064" s="1" t="s">
        <v>1369</v>
      </c>
      <c r="M1064" s="1" t="s">
        <v>676</v>
      </c>
      <c r="N1064" s="1" t="str">
        <f t="shared" si="16"/>
        <v>MARCELO DOURADO</v>
      </c>
    </row>
    <row r="1065" spans="1:14" x14ac:dyDescent="0.3">
      <c r="A1065" s="1">
        <v>101265</v>
      </c>
      <c r="B1065" s="1" t="s">
        <v>1052</v>
      </c>
      <c r="C1065" s="5" t="s">
        <v>15</v>
      </c>
      <c r="D1065" s="2">
        <v>42800</v>
      </c>
      <c r="E1065" s="2" t="s">
        <v>27</v>
      </c>
      <c r="F1065" s="1">
        <v>39601</v>
      </c>
      <c r="G1065" s="1" t="s">
        <v>660</v>
      </c>
      <c r="H1065" s="1" t="s">
        <v>661</v>
      </c>
      <c r="J1065" s="2" t="s">
        <v>684</v>
      </c>
      <c r="K1065" s="1" t="s">
        <v>666</v>
      </c>
      <c r="L1065" s="1" t="s">
        <v>258</v>
      </c>
      <c r="M1065" s="1" t="s">
        <v>1392</v>
      </c>
      <c r="N1065" s="1" t="str">
        <f t="shared" si="16"/>
        <v>ADALTON/JANILSON RORIZ/MARIVALDO</v>
      </c>
    </row>
    <row r="1066" spans="1:14" x14ac:dyDescent="0.3">
      <c r="A1066" s="1">
        <v>701413</v>
      </c>
      <c r="B1066" s="1" t="s">
        <v>1053</v>
      </c>
      <c r="C1066" s="5" t="s">
        <v>15</v>
      </c>
      <c r="D1066" s="2">
        <v>43773</v>
      </c>
      <c r="E1066" s="2" t="s">
        <v>507</v>
      </c>
      <c r="F1066" s="1">
        <v>24102</v>
      </c>
      <c r="G1066" s="1" t="s">
        <v>669</v>
      </c>
      <c r="H1066" s="1" t="s">
        <v>661</v>
      </c>
      <c r="J1066" s="2" t="s">
        <v>85</v>
      </c>
      <c r="K1066" s="1" t="s">
        <v>1371</v>
      </c>
      <c r="L1066" s="1" t="s">
        <v>1371</v>
      </c>
      <c r="M1066" s="1" t="s">
        <v>1380</v>
      </c>
      <c r="N1066" s="1" t="str">
        <f t="shared" si="16"/>
        <v xml:space="preserve">LEONARDO SANTOS </v>
      </c>
    </row>
    <row r="1067" spans="1:14" x14ac:dyDescent="0.3">
      <c r="A1067" s="1">
        <v>705717</v>
      </c>
      <c r="B1067" s="1" t="s">
        <v>1468</v>
      </c>
      <c r="C1067" s="5" t="s">
        <v>15</v>
      </c>
      <c r="D1067" s="2">
        <v>45971</v>
      </c>
      <c r="E1067" s="2" t="s">
        <v>31</v>
      </c>
      <c r="F1067" s="1">
        <v>24102</v>
      </c>
      <c r="G1067" s="1" t="s">
        <v>669</v>
      </c>
      <c r="H1067" s="1" t="s">
        <v>661</v>
      </c>
      <c r="J1067" s="2" t="s">
        <v>680</v>
      </c>
      <c r="K1067" s="1" t="s">
        <v>666</v>
      </c>
      <c r="L1067" s="1" t="s">
        <v>1388</v>
      </c>
      <c r="M1067" s="1" t="s">
        <v>1389</v>
      </c>
      <c r="N1067" s="1" t="str">
        <f t="shared" si="16"/>
        <v>JUNIO TEIXEIRA /GEOVANI RORIZ</v>
      </c>
    </row>
    <row r="1068" spans="1:14" x14ac:dyDescent="0.3">
      <c r="A1068" s="1">
        <v>705721</v>
      </c>
      <c r="B1068" s="1" t="s">
        <v>1469</v>
      </c>
      <c r="C1068" s="5" t="s">
        <v>15</v>
      </c>
      <c r="D1068" s="2">
        <v>45971</v>
      </c>
      <c r="E1068" s="2" t="s">
        <v>31</v>
      </c>
      <c r="F1068" s="1">
        <v>39601</v>
      </c>
      <c r="G1068" s="1" t="s">
        <v>660</v>
      </c>
      <c r="H1068" s="1" t="s">
        <v>661</v>
      </c>
      <c r="J1068" s="2" t="s">
        <v>684</v>
      </c>
      <c r="K1068" s="1" t="s">
        <v>666</v>
      </c>
      <c r="L1068" s="1" t="s">
        <v>258</v>
      </c>
      <c r="M1068" s="1" t="s">
        <v>1392</v>
      </c>
      <c r="N1068" s="1" t="str">
        <f t="shared" si="16"/>
        <v>ADALTON/JANILSON RORIZ/MARIVALDO</v>
      </c>
    </row>
    <row r="1069" spans="1:14" x14ac:dyDescent="0.3">
      <c r="A1069" s="1">
        <v>705476</v>
      </c>
      <c r="B1069" s="1" t="s">
        <v>1286</v>
      </c>
      <c r="C1069" s="5" t="s">
        <v>15</v>
      </c>
      <c r="D1069" s="2">
        <v>45824</v>
      </c>
      <c r="E1069" s="2" t="s">
        <v>31</v>
      </c>
      <c r="F1069" s="1">
        <v>24102</v>
      </c>
      <c r="G1069" s="1" t="s">
        <v>669</v>
      </c>
      <c r="H1069" s="1" t="s">
        <v>661</v>
      </c>
      <c r="J1069" s="2" t="s">
        <v>672</v>
      </c>
      <c r="K1069" s="1" t="s">
        <v>666</v>
      </c>
      <c r="L1069" s="1" t="s">
        <v>1388</v>
      </c>
      <c r="M1069" s="1" t="s">
        <v>1389</v>
      </c>
      <c r="N1069" s="1" t="str">
        <f t="shared" si="16"/>
        <v>JUNIO TEIXEIRA /GEOVANI RORIZ</v>
      </c>
    </row>
    <row r="1070" spans="1:14" x14ac:dyDescent="0.3">
      <c r="A1070" s="1">
        <v>704867</v>
      </c>
      <c r="B1070" s="1" t="s">
        <v>1054</v>
      </c>
      <c r="C1070" s="5" t="s">
        <v>15</v>
      </c>
      <c r="D1070" s="2">
        <v>45580</v>
      </c>
      <c r="E1070" s="2" t="s">
        <v>446</v>
      </c>
      <c r="F1070" s="1">
        <v>24201</v>
      </c>
      <c r="G1070" s="1" t="s">
        <v>664</v>
      </c>
      <c r="H1070" s="1" t="s">
        <v>661</v>
      </c>
      <c r="J1070" s="2" t="s">
        <v>665</v>
      </c>
      <c r="K1070" s="1" t="s">
        <v>666</v>
      </c>
      <c r="L1070" s="1" t="s">
        <v>258</v>
      </c>
      <c r="M1070" s="1" t="s">
        <v>667</v>
      </c>
      <c r="N1070" s="1" t="str">
        <f t="shared" si="16"/>
        <v>JOSIEL NEVES</v>
      </c>
    </row>
    <row r="1071" spans="1:14" x14ac:dyDescent="0.3">
      <c r="A1071" s="1">
        <v>703727</v>
      </c>
      <c r="B1071" s="1" t="s">
        <v>1055</v>
      </c>
      <c r="C1071" s="5" t="s">
        <v>15</v>
      </c>
      <c r="D1071" s="2">
        <v>45026</v>
      </c>
      <c r="E1071" s="2" t="s">
        <v>16</v>
      </c>
      <c r="F1071" s="1">
        <v>24102</v>
      </c>
      <c r="G1071" s="1" t="s">
        <v>669</v>
      </c>
      <c r="H1071" s="1" t="s">
        <v>661</v>
      </c>
      <c r="J1071" s="2" t="s">
        <v>682</v>
      </c>
      <c r="K1071" s="1" t="s">
        <v>666</v>
      </c>
      <c r="L1071" s="1" t="s">
        <v>1390</v>
      </c>
      <c r="M1071" s="1" t="s">
        <v>1391</v>
      </c>
      <c r="N1071" s="1" t="str">
        <f t="shared" si="16"/>
        <v>ALCENO JUNIOR/JOÃO MARCOS</v>
      </c>
    </row>
    <row r="1072" spans="1:14" x14ac:dyDescent="0.3">
      <c r="A1072" s="1">
        <v>702943</v>
      </c>
      <c r="B1072" s="1" t="s">
        <v>1056</v>
      </c>
      <c r="C1072" s="5" t="s">
        <v>15</v>
      </c>
      <c r="D1072" s="2">
        <v>44663</v>
      </c>
      <c r="E1072" s="2" t="s">
        <v>31</v>
      </c>
      <c r="F1072" s="1">
        <v>24102</v>
      </c>
      <c r="G1072" s="1" t="s">
        <v>669</v>
      </c>
      <c r="H1072" s="1" t="s">
        <v>661</v>
      </c>
      <c r="J1072" s="2" t="s">
        <v>680</v>
      </c>
      <c r="K1072" s="1" t="s">
        <v>666</v>
      </c>
      <c r="L1072" s="1" t="s">
        <v>1388</v>
      </c>
      <c r="M1072" s="1" t="s">
        <v>1389</v>
      </c>
      <c r="N1072" s="1" t="str">
        <f t="shared" si="16"/>
        <v>JUNIO TEIXEIRA /GEOVANI RORIZ</v>
      </c>
    </row>
    <row r="1073" spans="1:14" x14ac:dyDescent="0.3">
      <c r="A1073" s="1">
        <v>705694</v>
      </c>
      <c r="B1073" s="1" t="s">
        <v>1470</v>
      </c>
      <c r="C1073" s="5" t="s">
        <v>15</v>
      </c>
      <c r="D1073" s="2">
        <v>45971</v>
      </c>
      <c r="E1073" s="2" t="s">
        <v>22</v>
      </c>
      <c r="F1073" s="1">
        <v>32102</v>
      </c>
      <c r="G1073" s="1" t="s">
        <v>674</v>
      </c>
      <c r="H1073" s="1" t="s">
        <v>661</v>
      </c>
      <c r="J1073" s="2" t="s">
        <v>675</v>
      </c>
      <c r="K1073" s="1" t="s">
        <v>25</v>
      </c>
      <c r="L1073" s="1" t="s">
        <v>1369</v>
      </c>
      <c r="M1073" s="1" t="s">
        <v>676</v>
      </c>
      <c r="N1073" s="1" t="str">
        <f t="shared" si="16"/>
        <v>MARCELO DOURADO</v>
      </c>
    </row>
    <row r="1074" spans="1:14" x14ac:dyDescent="0.3">
      <c r="A1074" s="1">
        <v>703816</v>
      </c>
      <c r="B1074" s="1" t="s">
        <v>1057</v>
      </c>
      <c r="C1074" s="5" t="s">
        <v>15</v>
      </c>
      <c r="D1074" s="2">
        <v>44810</v>
      </c>
      <c r="E1074" s="2" t="s">
        <v>16</v>
      </c>
      <c r="F1074" s="1">
        <v>24102</v>
      </c>
      <c r="G1074" s="1" t="s">
        <v>669</v>
      </c>
      <c r="H1074" s="1" t="s">
        <v>661</v>
      </c>
      <c r="J1074" s="2" t="s">
        <v>682</v>
      </c>
      <c r="K1074" s="1" t="s">
        <v>666</v>
      </c>
      <c r="L1074" s="1" t="s">
        <v>1390</v>
      </c>
      <c r="M1074" s="1" t="s">
        <v>1391</v>
      </c>
      <c r="N1074" s="1" t="str">
        <f t="shared" si="16"/>
        <v>ALCENO JUNIOR/JOÃO MARCOS</v>
      </c>
    </row>
    <row r="1075" spans="1:14" x14ac:dyDescent="0.3">
      <c r="A1075" s="1">
        <v>704332</v>
      </c>
      <c r="B1075" s="1" t="s">
        <v>1058</v>
      </c>
      <c r="C1075" s="5" t="s">
        <v>15</v>
      </c>
      <c r="D1075" s="2">
        <v>45363</v>
      </c>
      <c r="E1075" s="2" t="s">
        <v>31</v>
      </c>
      <c r="F1075" s="1">
        <v>24201</v>
      </c>
      <c r="G1075" s="1" t="s">
        <v>664</v>
      </c>
      <c r="H1075" s="1" t="s">
        <v>661</v>
      </c>
      <c r="J1075" s="2" t="s">
        <v>665</v>
      </c>
      <c r="K1075" s="1" t="s">
        <v>666</v>
      </c>
      <c r="L1075" s="1" t="s">
        <v>258</v>
      </c>
      <c r="M1075" s="1" t="s">
        <v>667</v>
      </c>
      <c r="N1075" s="1" t="str">
        <f t="shared" si="16"/>
        <v>JOSIEL NEVES</v>
      </c>
    </row>
    <row r="1076" spans="1:14" x14ac:dyDescent="0.3">
      <c r="A1076" s="1">
        <v>704492</v>
      </c>
      <c r="B1076" s="1" t="s">
        <v>1059</v>
      </c>
      <c r="C1076" s="5" t="s">
        <v>15</v>
      </c>
      <c r="D1076" s="2">
        <v>45419</v>
      </c>
      <c r="E1076" s="2" t="s">
        <v>686</v>
      </c>
      <c r="F1076" s="1">
        <v>39601</v>
      </c>
      <c r="G1076" s="1" t="s">
        <v>660</v>
      </c>
      <c r="H1076" s="1" t="s">
        <v>661</v>
      </c>
      <c r="J1076" s="2" t="s">
        <v>684</v>
      </c>
      <c r="K1076" s="1" t="s">
        <v>666</v>
      </c>
      <c r="L1076" s="1" t="s">
        <v>258</v>
      </c>
      <c r="M1076" s="1" t="s">
        <v>1392</v>
      </c>
      <c r="N1076" s="1" t="str">
        <f t="shared" si="16"/>
        <v>ADALTON/JANILSON RORIZ/MARIVALDO</v>
      </c>
    </row>
    <row r="1077" spans="1:14" x14ac:dyDescent="0.3">
      <c r="A1077" s="1">
        <v>703639</v>
      </c>
      <c r="B1077" s="1" t="s">
        <v>1060</v>
      </c>
      <c r="C1077" s="5" t="s">
        <v>15</v>
      </c>
      <c r="D1077" s="2">
        <v>44998</v>
      </c>
      <c r="E1077" s="2" t="s">
        <v>138</v>
      </c>
      <c r="F1077" s="1">
        <v>24102</v>
      </c>
      <c r="G1077" s="1" t="s">
        <v>669</v>
      </c>
      <c r="H1077" s="1" t="s">
        <v>661</v>
      </c>
      <c r="J1077" s="2" t="s">
        <v>682</v>
      </c>
      <c r="K1077" s="1" t="s">
        <v>666</v>
      </c>
      <c r="L1077" s="1" t="s">
        <v>1390</v>
      </c>
      <c r="M1077" s="1" t="s">
        <v>1391</v>
      </c>
      <c r="N1077" s="1" t="str">
        <f t="shared" si="16"/>
        <v>ALCENO JUNIOR/JOÃO MARCOS</v>
      </c>
    </row>
    <row r="1078" spans="1:14" x14ac:dyDescent="0.3">
      <c r="A1078" s="1">
        <v>703705</v>
      </c>
      <c r="B1078" s="1" t="s">
        <v>1061</v>
      </c>
      <c r="C1078" s="5" t="s">
        <v>15</v>
      </c>
      <c r="D1078" s="2">
        <v>45019</v>
      </c>
      <c r="E1078" s="2" t="s">
        <v>31</v>
      </c>
      <c r="F1078" s="1">
        <v>24102</v>
      </c>
      <c r="G1078" s="1" t="s">
        <v>669</v>
      </c>
      <c r="H1078" s="1" t="s">
        <v>661</v>
      </c>
      <c r="J1078" s="2" t="s">
        <v>680</v>
      </c>
      <c r="K1078" s="1" t="s">
        <v>666</v>
      </c>
      <c r="L1078" s="1" t="s">
        <v>1388</v>
      </c>
      <c r="M1078" s="1" t="s">
        <v>1389</v>
      </c>
      <c r="N1078" s="1" t="str">
        <f t="shared" si="16"/>
        <v>JUNIO TEIXEIRA /GEOVANI RORIZ</v>
      </c>
    </row>
    <row r="1079" spans="1:14" x14ac:dyDescent="0.3">
      <c r="A1079" s="1">
        <v>701714</v>
      </c>
      <c r="B1079" s="1" t="s">
        <v>1062</v>
      </c>
      <c r="C1079" s="5" t="s">
        <v>15</v>
      </c>
      <c r="D1079" s="2">
        <v>44025</v>
      </c>
      <c r="E1079" s="2" t="s">
        <v>423</v>
      </c>
      <c r="F1079" s="1">
        <v>31103</v>
      </c>
      <c r="G1079" s="1" t="s">
        <v>718</v>
      </c>
      <c r="H1079" s="1" t="s">
        <v>661</v>
      </c>
      <c r="J1079" s="2" t="s">
        <v>719</v>
      </c>
      <c r="K1079" s="1" t="s">
        <v>132</v>
      </c>
      <c r="L1079" s="1" t="s">
        <v>132</v>
      </c>
      <c r="M1079" s="1" t="s">
        <v>1381</v>
      </c>
      <c r="N1079" s="1" t="str">
        <f t="shared" si="16"/>
        <v>MARCOS OLIVEIRA</v>
      </c>
    </row>
    <row r="1080" spans="1:14" x14ac:dyDescent="0.3">
      <c r="A1080" s="1">
        <v>701753</v>
      </c>
      <c r="B1080" s="1" t="s">
        <v>1063</v>
      </c>
      <c r="C1080" s="5" t="s">
        <v>15</v>
      </c>
      <c r="D1080" s="2">
        <v>44053</v>
      </c>
      <c r="E1080" s="2" t="s">
        <v>230</v>
      </c>
      <c r="F1080" s="1">
        <v>39601</v>
      </c>
      <c r="G1080" s="1" t="s">
        <v>660</v>
      </c>
      <c r="H1080" s="1" t="s">
        <v>661</v>
      </c>
      <c r="J1080" s="2" t="s">
        <v>662</v>
      </c>
      <c r="K1080" s="1" t="s">
        <v>666</v>
      </c>
      <c r="L1080" s="1" t="s">
        <v>258</v>
      </c>
      <c r="N1080" s="1" t="str">
        <f t="shared" si="16"/>
        <v>MATHEUS ALMEIDA</v>
      </c>
    </row>
    <row r="1081" spans="1:14" x14ac:dyDescent="0.3">
      <c r="A1081" s="1">
        <v>704133</v>
      </c>
      <c r="B1081" s="1" t="s">
        <v>1064</v>
      </c>
      <c r="C1081" s="5" t="s">
        <v>15</v>
      </c>
      <c r="D1081" s="2">
        <v>45244</v>
      </c>
      <c r="E1081" s="2" t="s">
        <v>31</v>
      </c>
      <c r="F1081" s="1">
        <v>24102</v>
      </c>
      <c r="G1081" s="1" t="s">
        <v>669</v>
      </c>
      <c r="H1081" s="1" t="s">
        <v>661</v>
      </c>
      <c r="J1081" s="2" t="s">
        <v>672</v>
      </c>
      <c r="K1081" s="1" t="s">
        <v>666</v>
      </c>
      <c r="L1081" s="1" t="s">
        <v>1388</v>
      </c>
      <c r="M1081" s="1" t="s">
        <v>1389</v>
      </c>
      <c r="N1081" s="1" t="str">
        <f t="shared" si="16"/>
        <v>JUNIO TEIXEIRA /GEOVANI RORIZ</v>
      </c>
    </row>
    <row r="1082" spans="1:14" x14ac:dyDescent="0.3">
      <c r="A1082" s="1">
        <v>702071</v>
      </c>
      <c r="B1082" s="1" t="s">
        <v>1065</v>
      </c>
      <c r="C1082" s="5" t="s">
        <v>15</v>
      </c>
      <c r="D1082" s="2">
        <v>44264</v>
      </c>
      <c r="E1082" s="2" t="s">
        <v>60</v>
      </c>
      <c r="F1082" s="1">
        <v>24102</v>
      </c>
      <c r="G1082" s="1" t="s">
        <v>669</v>
      </c>
      <c r="H1082" s="1" t="s">
        <v>661</v>
      </c>
      <c r="J1082" s="2" t="s">
        <v>697</v>
      </c>
      <c r="K1082" s="1" t="s">
        <v>666</v>
      </c>
      <c r="L1082" s="1" t="s">
        <v>1390</v>
      </c>
      <c r="N1082" s="1" t="str">
        <f t="shared" si="16"/>
        <v>JOÃO FILHO</v>
      </c>
    </row>
    <row r="1083" spans="1:14" x14ac:dyDescent="0.3">
      <c r="A1083" s="1">
        <v>101433</v>
      </c>
      <c r="B1083" s="1" t="s">
        <v>1066</v>
      </c>
      <c r="C1083" s="5" t="s">
        <v>15</v>
      </c>
      <c r="D1083" s="2">
        <v>42948</v>
      </c>
      <c r="E1083" s="2" t="s">
        <v>16</v>
      </c>
      <c r="F1083" s="1">
        <v>24102</v>
      </c>
      <c r="G1083" s="1" t="s">
        <v>669</v>
      </c>
      <c r="H1083" s="1" t="s">
        <v>661</v>
      </c>
      <c r="J1083" s="2" t="s">
        <v>682</v>
      </c>
      <c r="K1083" s="1" t="s">
        <v>666</v>
      </c>
      <c r="L1083" s="1" t="s">
        <v>1390</v>
      </c>
      <c r="M1083" s="1" t="s">
        <v>1391</v>
      </c>
      <c r="N1083" s="1" t="str">
        <f t="shared" si="16"/>
        <v>ALCENO JUNIOR/JOÃO MARCOS</v>
      </c>
    </row>
    <row r="1084" spans="1:14" x14ac:dyDescent="0.3">
      <c r="A1084" s="1">
        <v>704994</v>
      </c>
      <c r="B1084" s="1" t="s">
        <v>1067</v>
      </c>
      <c r="C1084" s="5" t="s">
        <v>15</v>
      </c>
      <c r="D1084" s="2">
        <v>45629</v>
      </c>
      <c r="E1084" s="2" t="s">
        <v>31</v>
      </c>
      <c r="F1084" s="1">
        <v>24201</v>
      </c>
      <c r="G1084" s="1" t="s">
        <v>664</v>
      </c>
      <c r="H1084" s="1" t="s">
        <v>661</v>
      </c>
      <c r="J1084" s="2" t="s">
        <v>665</v>
      </c>
      <c r="K1084" s="1" t="s">
        <v>666</v>
      </c>
      <c r="L1084" s="1" t="s">
        <v>258</v>
      </c>
      <c r="M1084" s="1" t="s">
        <v>667</v>
      </c>
      <c r="N1084" s="1" t="str">
        <f t="shared" si="16"/>
        <v>JOSIEL NEVES</v>
      </c>
    </row>
    <row r="1085" spans="1:14" x14ac:dyDescent="0.3">
      <c r="A1085" s="1">
        <v>702146</v>
      </c>
      <c r="B1085" s="1" t="s">
        <v>1068</v>
      </c>
      <c r="C1085" s="5" t="s">
        <v>15</v>
      </c>
      <c r="D1085" s="2">
        <v>44299</v>
      </c>
      <c r="E1085" s="2" t="s">
        <v>31</v>
      </c>
      <c r="F1085" s="1">
        <v>24102</v>
      </c>
      <c r="G1085" s="1" t="s">
        <v>669</v>
      </c>
      <c r="H1085" s="1" t="s">
        <v>661</v>
      </c>
      <c r="J1085" s="2" t="s">
        <v>680</v>
      </c>
      <c r="K1085" s="1" t="s">
        <v>666</v>
      </c>
      <c r="L1085" s="1" t="s">
        <v>1388</v>
      </c>
      <c r="M1085" s="1" t="s">
        <v>1389</v>
      </c>
      <c r="N1085" s="1" t="str">
        <f t="shared" si="16"/>
        <v>JUNIO TEIXEIRA /GEOVANI RORIZ</v>
      </c>
    </row>
    <row r="1086" spans="1:14" x14ac:dyDescent="0.3">
      <c r="A1086" s="1">
        <v>703716</v>
      </c>
      <c r="B1086" s="1" t="s">
        <v>1069</v>
      </c>
      <c r="C1086" s="5" t="s">
        <v>15</v>
      </c>
      <c r="D1086" s="2">
        <v>45019</v>
      </c>
      <c r="E1086" s="2" t="s">
        <v>146</v>
      </c>
      <c r="F1086" s="1">
        <v>39601</v>
      </c>
      <c r="G1086" s="1" t="s">
        <v>660</v>
      </c>
      <c r="H1086" s="1" t="s">
        <v>661</v>
      </c>
      <c r="J1086" s="2" t="s">
        <v>684</v>
      </c>
      <c r="K1086" s="1" t="s">
        <v>666</v>
      </c>
      <c r="L1086" s="1" t="s">
        <v>258</v>
      </c>
      <c r="M1086" s="1" t="s">
        <v>1392</v>
      </c>
      <c r="N1086" s="1" t="str">
        <f t="shared" si="16"/>
        <v>ADALTON/JANILSON RORIZ/MARIVALDO</v>
      </c>
    </row>
    <row r="1087" spans="1:14" x14ac:dyDescent="0.3">
      <c r="A1087" s="1">
        <v>704221</v>
      </c>
      <c r="B1087" s="1" t="s">
        <v>1070</v>
      </c>
      <c r="C1087" s="5" t="s">
        <v>15</v>
      </c>
      <c r="D1087" s="2">
        <v>45328</v>
      </c>
      <c r="E1087" s="2" t="s">
        <v>507</v>
      </c>
      <c r="F1087" s="1">
        <v>24201</v>
      </c>
      <c r="G1087" s="1" t="s">
        <v>664</v>
      </c>
      <c r="H1087" s="1" t="s">
        <v>661</v>
      </c>
      <c r="J1087" s="2" t="s">
        <v>665</v>
      </c>
      <c r="K1087" s="1" t="s">
        <v>666</v>
      </c>
      <c r="L1087" s="1" t="s">
        <v>258</v>
      </c>
      <c r="M1087" s="1" t="s">
        <v>667</v>
      </c>
      <c r="N1087" s="1" t="str">
        <f t="shared" si="16"/>
        <v>JOSIEL NEVES</v>
      </c>
    </row>
    <row r="1088" spans="1:14" x14ac:dyDescent="0.3">
      <c r="A1088" s="1">
        <v>701739</v>
      </c>
      <c r="B1088" s="1" t="s">
        <v>1071</v>
      </c>
      <c r="C1088" s="5" t="s">
        <v>15</v>
      </c>
      <c r="D1088" s="2">
        <v>44032</v>
      </c>
      <c r="E1088" s="2" t="s">
        <v>27</v>
      </c>
      <c r="F1088" s="1">
        <v>39601</v>
      </c>
      <c r="G1088" s="1" t="s">
        <v>660</v>
      </c>
      <c r="H1088" s="1" t="s">
        <v>661</v>
      </c>
      <c r="J1088" s="2" t="s">
        <v>684</v>
      </c>
      <c r="K1088" s="1" t="s">
        <v>666</v>
      </c>
      <c r="L1088" s="1" t="s">
        <v>258</v>
      </c>
      <c r="M1088" s="1" t="s">
        <v>1392</v>
      </c>
      <c r="N1088" s="1" t="str">
        <f t="shared" si="16"/>
        <v>ADALTON/JANILSON RORIZ/MARIVALDO</v>
      </c>
    </row>
    <row r="1089" spans="1:14" x14ac:dyDescent="0.3">
      <c r="A1089" s="1">
        <v>705177</v>
      </c>
      <c r="B1089" s="1" t="s">
        <v>1176</v>
      </c>
      <c r="C1089" s="5" t="s">
        <v>15</v>
      </c>
      <c r="D1089" s="2">
        <v>45726</v>
      </c>
      <c r="E1089" s="2" t="s">
        <v>31</v>
      </c>
      <c r="F1089" s="1">
        <v>24102</v>
      </c>
      <c r="G1089" s="1" t="s">
        <v>669</v>
      </c>
      <c r="H1089" s="1" t="s">
        <v>661</v>
      </c>
      <c r="J1089" s="2" t="s">
        <v>672</v>
      </c>
      <c r="K1089" s="1" t="s">
        <v>666</v>
      </c>
      <c r="L1089" s="1" t="s">
        <v>1388</v>
      </c>
      <c r="M1089" s="1" t="s">
        <v>1389</v>
      </c>
      <c r="N1089" s="1" t="str">
        <f t="shared" si="16"/>
        <v>JUNIO TEIXEIRA /GEOVANI RORIZ</v>
      </c>
    </row>
    <row r="1090" spans="1:14" x14ac:dyDescent="0.3">
      <c r="A1090" s="1">
        <v>703021</v>
      </c>
      <c r="B1090" s="1" t="s">
        <v>1073</v>
      </c>
      <c r="C1090" s="5" t="s">
        <v>15</v>
      </c>
      <c r="D1090" s="2">
        <v>44691</v>
      </c>
      <c r="E1090" s="2" t="s">
        <v>146</v>
      </c>
      <c r="F1090" s="1">
        <v>24102</v>
      </c>
      <c r="G1090" s="1" t="s">
        <v>669</v>
      </c>
      <c r="H1090" s="1" t="s">
        <v>661</v>
      </c>
      <c r="J1090" s="2" t="s">
        <v>672</v>
      </c>
      <c r="K1090" s="1" t="s">
        <v>666</v>
      </c>
      <c r="L1090" s="1" t="s">
        <v>1388</v>
      </c>
      <c r="M1090" s="1" t="s">
        <v>1389</v>
      </c>
      <c r="N1090" s="1" t="str">
        <f t="shared" si="16"/>
        <v>JUNIO TEIXEIRA /GEOVANI RORIZ</v>
      </c>
    </row>
    <row r="1091" spans="1:14" x14ac:dyDescent="0.3">
      <c r="A1091" s="1">
        <v>705674</v>
      </c>
      <c r="B1091" s="1" t="s">
        <v>1436</v>
      </c>
      <c r="C1091" s="5" t="s">
        <v>15</v>
      </c>
      <c r="D1091" s="2">
        <v>45944</v>
      </c>
      <c r="E1091" s="2" t="s">
        <v>31</v>
      </c>
      <c r="F1091" s="1">
        <v>39601</v>
      </c>
      <c r="G1091" s="1" t="s">
        <v>660</v>
      </c>
      <c r="H1091" s="1" t="s">
        <v>661</v>
      </c>
      <c r="J1091" s="2" t="s">
        <v>662</v>
      </c>
      <c r="K1091" s="1" t="s">
        <v>666</v>
      </c>
      <c r="L1091" s="1" t="s">
        <v>258</v>
      </c>
      <c r="N1091" s="1" t="str">
        <f t="shared" ref="N1091:N1154" si="17">IF(M1091&lt;&gt;"", M1091, IF(L1091&lt;&gt;"", L1091, K1091))</f>
        <v>MATHEUS ALMEIDA</v>
      </c>
    </row>
    <row r="1092" spans="1:14" x14ac:dyDescent="0.3">
      <c r="A1092" s="1">
        <v>701006</v>
      </c>
      <c r="B1092" s="1" t="s">
        <v>1074</v>
      </c>
      <c r="C1092" s="5" t="s">
        <v>15</v>
      </c>
      <c r="D1092" s="2">
        <v>43591</v>
      </c>
      <c r="E1092" s="2" t="s">
        <v>146</v>
      </c>
      <c r="F1092" s="1">
        <v>39601</v>
      </c>
      <c r="G1092" s="1" t="s">
        <v>660</v>
      </c>
      <c r="H1092" s="1" t="s">
        <v>661</v>
      </c>
      <c r="J1092" s="2" t="s">
        <v>684</v>
      </c>
      <c r="K1092" s="1" t="s">
        <v>666</v>
      </c>
      <c r="L1092" s="1" t="s">
        <v>258</v>
      </c>
      <c r="M1092" s="1" t="s">
        <v>1392</v>
      </c>
      <c r="N1092" s="1" t="str">
        <f t="shared" si="17"/>
        <v>ADALTON/JANILSON RORIZ/MARIVALDO</v>
      </c>
    </row>
    <row r="1093" spans="1:14" x14ac:dyDescent="0.3">
      <c r="A1093" s="1">
        <v>703558</v>
      </c>
      <c r="B1093" s="1" t="s">
        <v>1075</v>
      </c>
      <c r="C1093" s="5" t="s">
        <v>15</v>
      </c>
      <c r="D1093" s="2">
        <v>44935</v>
      </c>
      <c r="E1093" s="2" t="s">
        <v>138</v>
      </c>
      <c r="F1093" s="1">
        <v>24102</v>
      </c>
      <c r="G1093" s="1" t="s">
        <v>669</v>
      </c>
      <c r="H1093" s="1" t="s">
        <v>661</v>
      </c>
      <c r="J1093" s="2" t="s">
        <v>672</v>
      </c>
      <c r="K1093" s="1" t="s">
        <v>666</v>
      </c>
      <c r="L1093" s="1" t="s">
        <v>1388</v>
      </c>
      <c r="M1093" s="1" t="s">
        <v>1389</v>
      </c>
      <c r="N1093" s="1" t="str">
        <f t="shared" si="17"/>
        <v>JUNIO TEIXEIRA /GEOVANI RORIZ</v>
      </c>
    </row>
    <row r="1094" spans="1:14" x14ac:dyDescent="0.3">
      <c r="A1094" s="1">
        <v>705103</v>
      </c>
      <c r="B1094" s="1" t="s">
        <v>1267</v>
      </c>
      <c r="C1094" s="5" t="s">
        <v>15</v>
      </c>
      <c r="D1094" s="2">
        <v>45670</v>
      </c>
      <c r="E1094" s="2" t="s">
        <v>31</v>
      </c>
      <c r="F1094" s="1">
        <v>24102</v>
      </c>
      <c r="G1094" s="1" t="s">
        <v>669</v>
      </c>
      <c r="H1094" s="1" t="s">
        <v>661</v>
      </c>
      <c r="J1094" s="2" t="s">
        <v>697</v>
      </c>
      <c r="K1094" s="1" t="s">
        <v>666</v>
      </c>
      <c r="L1094" s="1" t="s">
        <v>1390</v>
      </c>
      <c r="N1094" s="1" t="str">
        <f t="shared" si="17"/>
        <v>JOÃO FILHO</v>
      </c>
    </row>
    <row r="1095" spans="1:14" x14ac:dyDescent="0.3">
      <c r="A1095" s="1">
        <v>700258</v>
      </c>
      <c r="B1095" s="1" t="s">
        <v>1076</v>
      </c>
      <c r="C1095" s="5" t="s">
        <v>15</v>
      </c>
      <c r="D1095" s="2">
        <v>43262</v>
      </c>
      <c r="E1095" s="2" t="s">
        <v>60</v>
      </c>
      <c r="F1095" s="1">
        <v>24102</v>
      </c>
      <c r="G1095" s="1" t="s">
        <v>669</v>
      </c>
      <c r="H1095" s="1" t="s">
        <v>661</v>
      </c>
      <c r="J1095" s="2" t="s">
        <v>682</v>
      </c>
      <c r="K1095" s="1" t="s">
        <v>666</v>
      </c>
      <c r="L1095" s="1" t="s">
        <v>1390</v>
      </c>
      <c r="M1095" s="1" t="s">
        <v>1391</v>
      </c>
      <c r="N1095" s="1" t="str">
        <f t="shared" si="17"/>
        <v>ALCENO JUNIOR/JOÃO MARCOS</v>
      </c>
    </row>
    <row r="1096" spans="1:14" x14ac:dyDescent="0.3">
      <c r="A1096" s="1">
        <v>705526</v>
      </c>
      <c r="B1096" s="1" t="s">
        <v>1437</v>
      </c>
      <c r="C1096" s="5" t="s">
        <v>15</v>
      </c>
      <c r="D1096" s="2">
        <v>45847</v>
      </c>
      <c r="E1096" s="2" t="s">
        <v>31</v>
      </c>
      <c r="F1096" s="1">
        <v>39601</v>
      </c>
      <c r="G1096" s="1" t="s">
        <v>660</v>
      </c>
      <c r="H1096" s="1" t="s">
        <v>661</v>
      </c>
      <c r="J1096" s="2" t="s">
        <v>684</v>
      </c>
      <c r="K1096" s="1" t="s">
        <v>666</v>
      </c>
      <c r="L1096" s="1" t="s">
        <v>258</v>
      </c>
      <c r="M1096" s="1" t="s">
        <v>1392</v>
      </c>
      <c r="N1096" s="1" t="str">
        <f t="shared" si="17"/>
        <v>ADALTON/JANILSON RORIZ/MARIVALDO</v>
      </c>
    </row>
    <row r="1097" spans="1:14" x14ac:dyDescent="0.3">
      <c r="A1097" s="1">
        <v>705114</v>
      </c>
      <c r="B1097" s="1" t="s">
        <v>1077</v>
      </c>
      <c r="C1097" s="5" t="s">
        <v>15</v>
      </c>
      <c r="D1097" s="2">
        <v>45678</v>
      </c>
      <c r="E1097" s="2" t="s">
        <v>31</v>
      </c>
      <c r="F1097" s="1">
        <v>39601</v>
      </c>
      <c r="G1097" s="1" t="s">
        <v>660</v>
      </c>
      <c r="H1097" s="1" t="s">
        <v>661</v>
      </c>
      <c r="J1097" s="2" t="s">
        <v>672</v>
      </c>
      <c r="K1097" s="1" t="s">
        <v>666</v>
      </c>
      <c r="L1097" s="1" t="s">
        <v>1388</v>
      </c>
      <c r="M1097" s="1" t="s">
        <v>1389</v>
      </c>
      <c r="N1097" s="1" t="str">
        <f t="shared" si="17"/>
        <v>JUNIO TEIXEIRA /GEOVANI RORIZ</v>
      </c>
    </row>
    <row r="1098" spans="1:14" x14ac:dyDescent="0.3">
      <c r="A1098" s="1">
        <v>704486</v>
      </c>
      <c r="B1098" s="1" t="s">
        <v>1078</v>
      </c>
      <c r="C1098" s="5" t="s">
        <v>15</v>
      </c>
      <c r="D1098" s="2">
        <v>45419</v>
      </c>
      <c r="E1098" s="2" t="s">
        <v>16</v>
      </c>
      <c r="F1098" s="1">
        <v>24102</v>
      </c>
      <c r="G1098" s="1" t="s">
        <v>669</v>
      </c>
      <c r="H1098" s="1" t="s">
        <v>661</v>
      </c>
      <c r="J1098" s="2" t="s">
        <v>682</v>
      </c>
      <c r="K1098" s="1" t="s">
        <v>666</v>
      </c>
      <c r="L1098" s="1" t="s">
        <v>1390</v>
      </c>
      <c r="M1098" s="1" t="s">
        <v>1391</v>
      </c>
      <c r="N1098" s="1" t="str">
        <f t="shared" si="17"/>
        <v>ALCENO JUNIOR/JOÃO MARCOS</v>
      </c>
    </row>
    <row r="1099" spans="1:14" x14ac:dyDescent="0.3">
      <c r="A1099" s="1">
        <v>705709</v>
      </c>
      <c r="B1099" s="1" t="s">
        <v>1471</v>
      </c>
      <c r="C1099" s="5" t="s">
        <v>15</v>
      </c>
      <c r="D1099" s="2">
        <v>45971</v>
      </c>
      <c r="E1099" s="2" t="s">
        <v>31</v>
      </c>
      <c r="F1099" s="1">
        <v>24201</v>
      </c>
      <c r="G1099" s="1" t="s">
        <v>664</v>
      </c>
      <c r="H1099" s="1" t="s">
        <v>661</v>
      </c>
      <c r="J1099" s="2" t="s">
        <v>665</v>
      </c>
      <c r="K1099" s="1" t="s">
        <v>666</v>
      </c>
      <c r="L1099" s="1" t="s">
        <v>258</v>
      </c>
      <c r="M1099" s="1" t="s">
        <v>667</v>
      </c>
      <c r="N1099" s="1" t="str">
        <f t="shared" si="17"/>
        <v>JOSIEL NEVES</v>
      </c>
    </row>
    <row r="1100" spans="1:14" x14ac:dyDescent="0.3">
      <c r="A1100" s="1">
        <v>705266</v>
      </c>
      <c r="B1100" s="1" t="s">
        <v>1210</v>
      </c>
      <c r="C1100" s="5" t="s">
        <v>15</v>
      </c>
      <c r="D1100" s="2">
        <v>45762</v>
      </c>
      <c r="E1100" s="2" t="s">
        <v>336</v>
      </c>
      <c r="F1100" s="1">
        <v>24102</v>
      </c>
      <c r="G1100" s="1" t="s">
        <v>669</v>
      </c>
      <c r="H1100" s="1" t="s">
        <v>661</v>
      </c>
      <c r="J1100" s="2" t="s">
        <v>672</v>
      </c>
      <c r="K1100" s="1" t="s">
        <v>666</v>
      </c>
      <c r="L1100" s="1" t="s">
        <v>1388</v>
      </c>
      <c r="M1100" s="1" t="s">
        <v>1389</v>
      </c>
      <c r="N1100" s="1" t="str">
        <f t="shared" si="17"/>
        <v>JUNIO TEIXEIRA /GEOVANI RORIZ</v>
      </c>
    </row>
    <row r="1101" spans="1:14" x14ac:dyDescent="0.3">
      <c r="A1101" s="1">
        <v>702803</v>
      </c>
      <c r="B1101" s="1" t="s">
        <v>1079</v>
      </c>
      <c r="C1101" s="5" t="s">
        <v>15</v>
      </c>
      <c r="D1101" s="2">
        <v>44607</v>
      </c>
      <c r="E1101" s="2" t="s">
        <v>31</v>
      </c>
      <c r="F1101" s="1">
        <v>24102</v>
      </c>
      <c r="G1101" s="1" t="s">
        <v>669</v>
      </c>
      <c r="H1101" s="1" t="s">
        <v>661</v>
      </c>
      <c r="J1101" s="2" t="s">
        <v>697</v>
      </c>
      <c r="K1101" s="1" t="s">
        <v>666</v>
      </c>
      <c r="L1101" s="1" t="s">
        <v>1390</v>
      </c>
      <c r="N1101" s="1" t="str">
        <f t="shared" si="17"/>
        <v>JOÃO FILHO</v>
      </c>
    </row>
    <row r="1102" spans="1:14" x14ac:dyDescent="0.3">
      <c r="A1102" s="1">
        <v>704811</v>
      </c>
      <c r="B1102" s="1" t="s">
        <v>1080</v>
      </c>
      <c r="C1102" s="5" t="s">
        <v>15</v>
      </c>
      <c r="D1102" s="2">
        <v>45566</v>
      </c>
      <c r="E1102" s="2" t="s">
        <v>138</v>
      </c>
      <c r="F1102" s="1">
        <v>24102</v>
      </c>
      <c r="G1102" s="1" t="s">
        <v>669</v>
      </c>
      <c r="H1102" s="1" t="s">
        <v>661</v>
      </c>
      <c r="J1102" s="2" t="s">
        <v>682</v>
      </c>
      <c r="K1102" s="1" t="s">
        <v>666</v>
      </c>
      <c r="L1102" s="1" t="s">
        <v>1390</v>
      </c>
      <c r="M1102" s="1" t="s">
        <v>1391</v>
      </c>
      <c r="N1102" s="1" t="str">
        <f t="shared" si="17"/>
        <v>ALCENO JUNIOR/JOÃO MARCOS</v>
      </c>
    </row>
    <row r="1103" spans="1:14" x14ac:dyDescent="0.3">
      <c r="A1103" s="1">
        <v>705276</v>
      </c>
      <c r="B1103" s="1" t="s">
        <v>1211</v>
      </c>
      <c r="C1103" s="5" t="s">
        <v>15</v>
      </c>
      <c r="D1103" s="2">
        <v>45762</v>
      </c>
      <c r="E1103" s="2" t="s">
        <v>31</v>
      </c>
      <c r="F1103" s="1">
        <v>24102</v>
      </c>
      <c r="G1103" s="1" t="s">
        <v>669</v>
      </c>
      <c r="H1103" s="1" t="s">
        <v>661</v>
      </c>
      <c r="J1103" s="2" t="s">
        <v>672</v>
      </c>
      <c r="K1103" s="1" t="s">
        <v>666</v>
      </c>
      <c r="L1103" s="1" t="s">
        <v>1388</v>
      </c>
      <c r="M1103" s="1" t="s">
        <v>1389</v>
      </c>
      <c r="N1103" s="1" t="str">
        <f t="shared" si="17"/>
        <v>JUNIO TEIXEIRA /GEOVANI RORIZ</v>
      </c>
    </row>
    <row r="1104" spans="1:14" x14ac:dyDescent="0.3">
      <c r="A1104" s="1">
        <v>701708</v>
      </c>
      <c r="B1104" s="1" t="s">
        <v>1081</v>
      </c>
      <c r="C1104" s="5" t="s">
        <v>15</v>
      </c>
      <c r="D1104" s="2">
        <v>44025</v>
      </c>
      <c r="E1104" s="2" t="s">
        <v>60</v>
      </c>
      <c r="F1104" s="1">
        <v>24102</v>
      </c>
      <c r="G1104" s="1" t="s">
        <v>669</v>
      </c>
      <c r="H1104" s="1" t="s">
        <v>661</v>
      </c>
      <c r="J1104" s="2" t="s">
        <v>682</v>
      </c>
      <c r="K1104" s="1" t="s">
        <v>666</v>
      </c>
      <c r="L1104" s="1" t="s">
        <v>1390</v>
      </c>
      <c r="M1104" s="1" t="s">
        <v>1391</v>
      </c>
      <c r="N1104" s="1" t="str">
        <f t="shared" si="17"/>
        <v>ALCENO JUNIOR/JOÃO MARCOS</v>
      </c>
    </row>
    <row r="1105" spans="1:14" x14ac:dyDescent="0.3">
      <c r="A1105" s="1">
        <v>100880</v>
      </c>
      <c r="B1105" s="1" t="s">
        <v>1082</v>
      </c>
      <c r="C1105" s="5" t="s">
        <v>15</v>
      </c>
      <c r="D1105" s="2">
        <v>42444</v>
      </c>
      <c r="E1105" s="2" t="s">
        <v>255</v>
      </c>
      <c r="F1105" s="1">
        <v>39601</v>
      </c>
      <c r="G1105" s="1" t="s">
        <v>660</v>
      </c>
      <c r="H1105" s="1" t="s">
        <v>661</v>
      </c>
      <c r="J1105" s="2" t="s">
        <v>662</v>
      </c>
      <c r="K1105" s="1" t="s">
        <v>666</v>
      </c>
      <c r="L1105" s="1" t="s">
        <v>258</v>
      </c>
      <c r="N1105" s="1" t="str">
        <f t="shared" si="17"/>
        <v>MATHEUS ALMEIDA</v>
      </c>
    </row>
    <row r="1106" spans="1:14" x14ac:dyDescent="0.3">
      <c r="A1106" s="1">
        <v>705545</v>
      </c>
      <c r="B1106" s="1" t="s">
        <v>1324</v>
      </c>
      <c r="C1106" s="5" t="s">
        <v>15</v>
      </c>
      <c r="D1106" s="2">
        <v>45881</v>
      </c>
      <c r="E1106" s="2" t="s">
        <v>1325</v>
      </c>
      <c r="F1106" s="1">
        <v>37102</v>
      </c>
      <c r="G1106" s="1" t="s">
        <v>694</v>
      </c>
      <c r="H1106" s="1" t="s">
        <v>661</v>
      </c>
      <c r="J1106" s="2" t="s">
        <v>239</v>
      </c>
      <c r="K1106" s="1" t="s">
        <v>216</v>
      </c>
      <c r="L1106" s="1" t="s">
        <v>216</v>
      </c>
      <c r="N1106" s="1" t="str">
        <f t="shared" si="17"/>
        <v>CARSON NEVES</v>
      </c>
    </row>
    <row r="1107" spans="1:14" x14ac:dyDescent="0.3">
      <c r="A1107" s="1">
        <v>705341</v>
      </c>
      <c r="B1107" s="1" t="s">
        <v>1268</v>
      </c>
      <c r="C1107" s="5" t="s">
        <v>15</v>
      </c>
      <c r="D1107" s="2">
        <v>45784</v>
      </c>
      <c r="E1107" s="2" t="s">
        <v>31</v>
      </c>
      <c r="F1107" s="1">
        <v>39601</v>
      </c>
      <c r="G1107" s="1" t="s">
        <v>660</v>
      </c>
      <c r="H1107" s="1" t="s">
        <v>661</v>
      </c>
      <c r="J1107" s="2" t="s">
        <v>684</v>
      </c>
      <c r="K1107" s="1" t="s">
        <v>666</v>
      </c>
      <c r="L1107" s="1" t="s">
        <v>258</v>
      </c>
      <c r="M1107" s="1" t="s">
        <v>1392</v>
      </c>
      <c r="N1107" s="1" t="str">
        <f t="shared" si="17"/>
        <v>ADALTON/JANILSON RORIZ/MARIVALDO</v>
      </c>
    </row>
    <row r="1108" spans="1:14" x14ac:dyDescent="0.3">
      <c r="A1108" s="1">
        <v>705098</v>
      </c>
      <c r="B1108" s="1" t="s">
        <v>1084</v>
      </c>
      <c r="C1108" s="5" t="s">
        <v>15</v>
      </c>
      <c r="D1108" s="2">
        <v>45670</v>
      </c>
      <c r="E1108" s="2" t="s">
        <v>31</v>
      </c>
      <c r="F1108" s="1">
        <v>39601</v>
      </c>
      <c r="G1108" s="1" t="s">
        <v>660</v>
      </c>
      <c r="H1108" s="1" t="s">
        <v>661</v>
      </c>
      <c r="J1108" s="2" t="s">
        <v>672</v>
      </c>
      <c r="K1108" s="1" t="s">
        <v>666</v>
      </c>
      <c r="L1108" s="1" t="s">
        <v>1388</v>
      </c>
      <c r="M1108" s="1" t="s">
        <v>1389</v>
      </c>
      <c r="N1108" s="1" t="str">
        <f t="shared" si="17"/>
        <v>JUNIO TEIXEIRA /GEOVANI RORIZ</v>
      </c>
    </row>
    <row r="1109" spans="1:14" x14ac:dyDescent="0.3">
      <c r="A1109" s="1">
        <v>701755</v>
      </c>
      <c r="B1109" s="1" t="s">
        <v>1085</v>
      </c>
      <c r="C1109" s="5" t="s">
        <v>15</v>
      </c>
      <c r="D1109" s="2">
        <v>44053</v>
      </c>
      <c r="E1109" s="2" t="s">
        <v>1086</v>
      </c>
      <c r="F1109" s="1">
        <v>31103</v>
      </c>
      <c r="G1109" s="1" t="s">
        <v>718</v>
      </c>
      <c r="H1109" s="1" t="s">
        <v>661</v>
      </c>
      <c r="J1109" s="2" t="s">
        <v>719</v>
      </c>
      <c r="K1109" s="1" t="s">
        <v>132</v>
      </c>
      <c r="L1109" s="1" t="s">
        <v>132</v>
      </c>
      <c r="M1109" s="1" t="s">
        <v>1381</v>
      </c>
      <c r="N1109" s="1" t="str">
        <f t="shared" si="17"/>
        <v>MARCOS OLIVEIRA</v>
      </c>
    </row>
    <row r="1110" spans="1:14" x14ac:dyDescent="0.3">
      <c r="A1110" s="1">
        <v>704674</v>
      </c>
      <c r="B1110" s="1" t="s">
        <v>1087</v>
      </c>
      <c r="C1110" s="5" t="s">
        <v>15</v>
      </c>
      <c r="D1110" s="2">
        <v>45510</v>
      </c>
      <c r="E1110" s="2" t="s">
        <v>418</v>
      </c>
      <c r="F1110" s="1">
        <v>39601</v>
      </c>
      <c r="G1110" s="1" t="s">
        <v>660</v>
      </c>
      <c r="H1110" s="1" t="s">
        <v>661</v>
      </c>
      <c r="J1110" s="2" t="s">
        <v>662</v>
      </c>
      <c r="K1110" s="1" t="s">
        <v>666</v>
      </c>
      <c r="L1110" s="1" t="s">
        <v>258</v>
      </c>
      <c r="N1110" s="1" t="str">
        <f t="shared" si="17"/>
        <v>MATHEUS ALMEIDA</v>
      </c>
    </row>
    <row r="1111" spans="1:14" x14ac:dyDescent="0.3">
      <c r="A1111" s="1">
        <v>101411</v>
      </c>
      <c r="B1111" s="1" t="s">
        <v>1088</v>
      </c>
      <c r="C1111" s="5" t="s">
        <v>15</v>
      </c>
      <c r="D1111" s="2">
        <v>42926</v>
      </c>
      <c r="E1111" s="2" t="s">
        <v>507</v>
      </c>
      <c r="F1111" s="1">
        <v>24201</v>
      </c>
      <c r="G1111" s="1" t="s">
        <v>664</v>
      </c>
      <c r="H1111" s="1" t="s">
        <v>661</v>
      </c>
      <c r="J1111" s="2" t="s">
        <v>665</v>
      </c>
      <c r="K1111" s="1" t="s">
        <v>666</v>
      </c>
      <c r="L1111" s="1" t="s">
        <v>258</v>
      </c>
      <c r="M1111" s="1" t="s">
        <v>667</v>
      </c>
      <c r="N1111" s="1" t="str">
        <f t="shared" si="17"/>
        <v>JOSIEL NEVES</v>
      </c>
    </row>
    <row r="1112" spans="1:14" x14ac:dyDescent="0.3">
      <c r="A1112" s="1">
        <v>705321</v>
      </c>
      <c r="B1112" s="1" t="s">
        <v>1269</v>
      </c>
      <c r="C1112" s="5" t="s">
        <v>15</v>
      </c>
      <c r="D1112" s="2">
        <v>45784</v>
      </c>
      <c r="E1112" s="2" t="s">
        <v>31</v>
      </c>
      <c r="F1112" s="1">
        <v>24102</v>
      </c>
      <c r="G1112" s="1" t="s">
        <v>669</v>
      </c>
      <c r="H1112" s="1" t="s">
        <v>661</v>
      </c>
      <c r="J1112" s="2" t="s">
        <v>672</v>
      </c>
      <c r="K1112" s="1" t="s">
        <v>666</v>
      </c>
      <c r="L1112" s="1" t="s">
        <v>1388</v>
      </c>
      <c r="M1112" s="1" t="s">
        <v>1389</v>
      </c>
      <c r="N1112" s="1" t="str">
        <f t="shared" si="17"/>
        <v>JUNIO TEIXEIRA /GEOVANI RORIZ</v>
      </c>
    </row>
    <row r="1113" spans="1:14" x14ac:dyDescent="0.3">
      <c r="A1113" s="1">
        <v>705675</v>
      </c>
      <c r="B1113" s="1" t="s">
        <v>1438</v>
      </c>
      <c r="C1113" s="5" t="s">
        <v>92</v>
      </c>
      <c r="D1113" s="2">
        <v>45944</v>
      </c>
      <c r="E1113" s="2" t="s">
        <v>31</v>
      </c>
      <c r="F1113" s="1">
        <v>39601</v>
      </c>
      <c r="G1113" s="1" t="s">
        <v>660</v>
      </c>
      <c r="H1113" s="1" t="s">
        <v>661</v>
      </c>
      <c r="I1113" s="2">
        <v>46033</v>
      </c>
      <c r="J1113" s="2" t="s">
        <v>684</v>
      </c>
      <c r="K1113" s="1" t="s">
        <v>666</v>
      </c>
      <c r="L1113" s="1" t="s">
        <v>258</v>
      </c>
      <c r="M1113" s="1" t="s">
        <v>1392</v>
      </c>
      <c r="N1113" s="1" t="str">
        <f t="shared" si="17"/>
        <v>ADALTON/JANILSON RORIZ/MARIVALDO</v>
      </c>
    </row>
    <row r="1114" spans="1:14" x14ac:dyDescent="0.3">
      <c r="A1114" s="1">
        <v>705676</v>
      </c>
      <c r="B1114" s="1" t="s">
        <v>1089</v>
      </c>
      <c r="C1114" s="5" t="s">
        <v>15</v>
      </c>
      <c r="D1114" s="2">
        <v>45944</v>
      </c>
      <c r="E1114" s="2" t="s">
        <v>31</v>
      </c>
      <c r="F1114" s="1">
        <v>39601</v>
      </c>
      <c r="G1114" s="1" t="s">
        <v>660</v>
      </c>
      <c r="H1114" s="1" t="s">
        <v>661</v>
      </c>
      <c r="J1114" s="2" t="s">
        <v>684</v>
      </c>
      <c r="K1114" s="1" t="s">
        <v>666</v>
      </c>
      <c r="L1114" s="1" t="s">
        <v>258</v>
      </c>
      <c r="M1114" s="1" t="s">
        <v>1392</v>
      </c>
      <c r="N1114" s="1" t="str">
        <f t="shared" si="17"/>
        <v>ADALTON/JANILSON RORIZ/MARIVALDO</v>
      </c>
    </row>
    <row r="1115" spans="1:14" x14ac:dyDescent="0.3">
      <c r="A1115" s="1">
        <v>704469</v>
      </c>
      <c r="B1115" s="1" t="s">
        <v>1090</v>
      </c>
      <c r="C1115" s="5" t="s">
        <v>15</v>
      </c>
      <c r="D1115" s="2">
        <v>45419</v>
      </c>
      <c r="E1115" s="2" t="s">
        <v>31</v>
      </c>
      <c r="F1115" s="1">
        <v>24201</v>
      </c>
      <c r="G1115" s="1" t="s">
        <v>664</v>
      </c>
      <c r="H1115" s="1" t="s">
        <v>661</v>
      </c>
      <c r="J1115" s="2" t="s">
        <v>665</v>
      </c>
      <c r="K1115" s="1" t="s">
        <v>666</v>
      </c>
      <c r="L1115" s="1" t="s">
        <v>258</v>
      </c>
      <c r="M1115" s="1" t="s">
        <v>667</v>
      </c>
      <c r="N1115" s="1" t="str">
        <f t="shared" si="17"/>
        <v>JOSIEL NEVES</v>
      </c>
    </row>
    <row r="1116" spans="1:14" x14ac:dyDescent="0.3">
      <c r="A1116" s="1">
        <v>705473</v>
      </c>
      <c r="B1116" s="1" t="s">
        <v>1287</v>
      </c>
      <c r="C1116" s="5" t="s">
        <v>15</v>
      </c>
      <c r="D1116" s="2">
        <v>45824</v>
      </c>
      <c r="E1116" s="2" t="s">
        <v>31</v>
      </c>
      <c r="F1116" s="1">
        <v>24102</v>
      </c>
      <c r="G1116" s="1" t="s">
        <v>669</v>
      </c>
      <c r="H1116" s="1" t="s">
        <v>661</v>
      </c>
      <c r="J1116" s="2" t="s">
        <v>672</v>
      </c>
      <c r="K1116" s="1" t="s">
        <v>666</v>
      </c>
      <c r="L1116" s="1" t="s">
        <v>1388</v>
      </c>
      <c r="M1116" s="1" t="s">
        <v>1389</v>
      </c>
      <c r="N1116" s="1" t="str">
        <f t="shared" si="17"/>
        <v>JUNIO TEIXEIRA /GEOVANI RORIZ</v>
      </c>
    </row>
    <row r="1117" spans="1:14" x14ac:dyDescent="0.3">
      <c r="A1117" s="1">
        <v>705462</v>
      </c>
      <c r="B1117" s="1" t="s">
        <v>1288</v>
      </c>
      <c r="C1117" s="5" t="s">
        <v>15</v>
      </c>
      <c r="D1117" s="2">
        <v>45812</v>
      </c>
      <c r="E1117" s="2" t="s">
        <v>31</v>
      </c>
      <c r="F1117" s="1">
        <v>39601</v>
      </c>
      <c r="G1117" s="1" t="s">
        <v>660</v>
      </c>
      <c r="H1117" s="1" t="s">
        <v>661</v>
      </c>
      <c r="J1117" s="2" t="s">
        <v>662</v>
      </c>
      <c r="K1117" s="1" t="s">
        <v>666</v>
      </c>
      <c r="L1117" s="1" t="s">
        <v>258</v>
      </c>
      <c r="N1117" s="1" t="str">
        <f t="shared" si="17"/>
        <v>MATHEUS ALMEIDA</v>
      </c>
    </row>
    <row r="1118" spans="1:14" x14ac:dyDescent="0.3">
      <c r="A1118" s="1">
        <v>703827</v>
      </c>
      <c r="B1118" s="1" t="s">
        <v>1093</v>
      </c>
      <c r="C1118" s="5" t="s">
        <v>15</v>
      </c>
      <c r="D1118" s="2">
        <v>45054</v>
      </c>
      <c r="E1118" s="2" t="s">
        <v>138</v>
      </c>
      <c r="F1118" s="1">
        <v>24102</v>
      </c>
      <c r="G1118" s="1" t="s">
        <v>669</v>
      </c>
      <c r="H1118" s="1" t="s">
        <v>661</v>
      </c>
      <c r="J1118" s="2" t="s">
        <v>682</v>
      </c>
      <c r="K1118" s="1" t="s">
        <v>666</v>
      </c>
      <c r="L1118" s="1" t="s">
        <v>1390</v>
      </c>
      <c r="M1118" s="1" t="s">
        <v>1391</v>
      </c>
      <c r="N1118" s="1" t="str">
        <f t="shared" si="17"/>
        <v>ALCENO JUNIOR/JOÃO MARCOS</v>
      </c>
    </row>
    <row r="1119" spans="1:14" x14ac:dyDescent="0.3">
      <c r="A1119" s="1">
        <v>705396</v>
      </c>
      <c r="B1119" s="1" t="s">
        <v>1270</v>
      </c>
      <c r="C1119" s="5" t="s">
        <v>15</v>
      </c>
      <c r="D1119" s="2">
        <v>45791</v>
      </c>
      <c r="E1119" s="2" t="s">
        <v>31</v>
      </c>
      <c r="F1119" s="1">
        <v>39601</v>
      </c>
      <c r="G1119" s="1" t="s">
        <v>660</v>
      </c>
      <c r="H1119" s="1" t="s">
        <v>661</v>
      </c>
      <c r="J1119" s="2" t="s">
        <v>662</v>
      </c>
      <c r="K1119" s="1" t="s">
        <v>666</v>
      </c>
      <c r="L1119" s="1" t="s">
        <v>258</v>
      </c>
      <c r="N1119" s="1" t="str">
        <f t="shared" si="17"/>
        <v>MATHEUS ALMEIDA</v>
      </c>
    </row>
    <row r="1120" spans="1:14" x14ac:dyDescent="0.3">
      <c r="A1120" s="1">
        <v>101772</v>
      </c>
      <c r="B1120" s="1" t="s">
        <v>1094</v>
      </c>
      <c r="C1120" s="5" t="s">
        <v>15</v>
      </c>
      <c r="D1120" s="2">
        <v>43073</v>
      </c>
      <c r="E1120" s="2" t="s">
        <v>16</v>
      </c>
      <c r="F1120" s="1">
        <v>24102</v>
      </c>
      <c r="G1120" s="1" t="s">
        <v>669</v>
      </c>
      <c r="H1120" s="1" t="s">
        <v>661</v>
      </c>
      <c r="J1120" s="2" t="s">
        <v>682</v>
      </c>
      <c r="K1120" s="1" t="s">
        <v>666</v>
      </c>
      <c r="L1120" s="1" t="s">
        <v>1390</v>
      </c>
      <c r="M1120" s="1" t="s">
        <v>1391</v>
      </c>
      <c r="N1120" s="1" t="str">
        <f t="shared" si="17"/>
        <v>ALCENO JUNIOR/JOÃO MARCOS</v>
      </c>
    </row>
    <row r="1121" spans="1:14" x14ac:dyDescent="0.3">
      <c r="A1121" s="1">
        <v>703144</v>
      </c>
      <c r="B1121" s="1" t="s">
        <v>1095</v>
      </c>
      <c r="C1121" s="5" t="s">
        <v>15</v>
      </c>
      <c r="D1121" s="2">
        <v>44713</v>
      </c>
      <c r="E1121" s="2" t="s">
        <v>16</v>
      </c>
      <c r="F1121" s="1">
        <v>24102</v>
      </c>
      <c r="G1121" s="2" t="s">
        <v>669</v>
      </c>
      <c r="H1121" s="1" t="s">
        <v>661</v>
      </c>
      <c r="J1121" s="2" t="s">
        <v>682</v>
      </c>
      <c r="K1121" s="1" t="s">
        <v>666</v>
      </c>
      <c r="L1121" s="1" t="s">
        <v>1390</v>
      </c>
      <c r="M1121" s="1" t="s">
        <v>1391</v>
      </c>
      <c r="N1121" s="1" t="str">
        <f t="shared" si="17"/>
        <v>ALCENO JUNIOR/JOÃO MARCOS</v>
      </c>
    </row>
    <row r="1122" spans="1:14" x14ac:dyDescent="0.3">
      <c r="A1122" s="1">
        <v>700457</v>
      </c>
      <c r="B1122" s="1" t="s">
        <v>1096</v>
      </c>
      <c r="C1122" s="5" t="s">
        <v>15</v>
      </c>
      <c r="D1122" s="2">
        <v>43332</v>
      </c>
      <c r="E1122" s="2" t="s">
        <v>686</v>
      </c>
      <c r="F1122" s="1">
        <v>39601</v>
      </c>
      <c r="G1122" s="2" t="s">
        <v>660</v>
      </c>
      <c r="H1122" s="1" t="s">
        <v>661</v>
      </c>
      <c r="J1122" s="2" t="s">
        <v>684</v>
      </c>
      <c r="K1122" s="1" t="s">
        <v>666</v>
      </c>
      <c r="L1122" s="1" t="s">
        <v>258</v>
      </c>
      <c r="M1122" s="1" t="s">
        <v>1392</v>
      </c>
      <c r="N1122" s="1" t="str">
        <f t="shared" si="17"/>
        <v>ADALTON/JANILSON RORIZ/MARIVALDO</v>
      </c>
    </row>
    <row r="1123" spans="1:14" x14ac:dyDescent="0.3">
      <c r="A1123" s="1">
        <v>705101</v>
      </c>
      <c r="B1123" s="1" t="s">
        <v>1098</v>
      </c>
      <c r="C1123" s="5" t="s">
        <v>15</v>
      </c>
      <c r="D1123" s="2">
        <v>45670</v>
      </c>
      <c r="E1123" s="2" t="s">
        <v>31</v>
      </c>
      <c r="F1123" s="1">
        <v>24102</v>
      </c>
      <c r="G1123" s="2" t="s">
        <v>669</v>
      </c>
      <c r="H1123" s="1" t="s">
        <v>661</v>
      </c>
      <c r="J1123" s="2" t="s">
        <v>672</v>
      </c>
      <c r="K1123" s="1" t="s">
        <v>666</v>
      </c>
      <c r="L1123" s="1" t="s">
        <v>1388</v>
      </c>
      <c r="M1123" s="1" t="s">
        <v>1389</v>
      </c>
      <c r="N1123" s="1" t="str">
        <f t="shared" si="17"/>
        <v>JUNIO TEIXEIRA /GEOVANI RORIZ</v>
      </c>
    </row>
    <row r="1124" spans="1:14" x14ac:dyDescent="0.3">
      <c r="A1124" s="1">
        <v>705033</v>
      </c>
      <c r="B1124" s="1" t="s">
        <v>1099</v>
      </c>
      <c r="C1124" s="5" t="s">
        <v>15</v>
      </c>
      <c r="D1124" s="2">
        <v>45636</v>
      </c>
      <c r="E1124" s="2" t="s">
        <v>31</v>
      </c>
      <c r="F1124" s="1">
        <v>24201</v>
      </c>
      <c r="G1124" s="2" t="s">
        <v>664</v>
      </c>
      <c r="H1124" s="1" t="s">
        <v>661</v>
      </c>
      <c r="J1124" s="2" t="s">
        <v>665</v>
      </c>
      <c r="K1124" s="1" t="s">
        <v>666</v>
      </c>
      <c r="L1124" s="1" t="s">
        <v>258</v>
      </c>
      <c r="M1124" s="1" t="s">
        <v>667</v>
      </c>
      <c r="N1124" s="1" t="str">
        <f t="shared" si="17"/>
        <v>JOSIEL NEVES</v>
      </c>
    </row>
    <row r="1125" spans="1:14" x14ac:dyDescent="0.3">
      <c r="A1125" s="1">
        <v>705154</v>
      </c>
      <c r="B1125" s="1" t="s">
        <v>1151</v>
      </c>
      <c r="C1125" s="5" t="s">
        <v>15</v>
      </c>
      <c r="D1125" s="2">
        <v>45705</v>
      </c>
      <c r="E1125" s="2" t="s">
        <v>31</v>
      </c>
      <c r="F1125" s="1">
        <v>24102</v>
      </c>
      <c r="G1125" s="2" t="s">
        <v>669</v>
      </c>
      <c r="H1125" s="1" t="s">
        <v>661</v>
      </c>
      <c r="J1125" s="2" t="s">
        <v>680</v>
      </c>
      <c r="K1125" s="1" t="s">
        <v>666</v>
      </c>
      <c r="L1125" s="1" t="s">
        <v>1388</v>
      </c>
      <c r="M1125" s="1" t="s">
        <v>1389</v>
      </c>
      <c r="N1125" s="1" t="str">
        <f t="shared" si="17"/>
        <v>JUNIO TEIXEIRA /GEOVANI RORIZ</v>
      </c>
    </row>
    <row r="1126" spans="1:14" x14ac:dyDescent="0.3">
      <c r="A1126" s="1">
        <v>705021</v>
      </c>
      <c r="B1126" s="1" t="s">
        <v>1100</v>
      </c>
      <c r="C1126" s="5" t="s">
        <v>15</v>
      </c>
      <c r="D1126" s="2">
        <v>45635</v>
      </c>
      <c r="E1126" s="2" t="s">
        <v>31</v>
      </c>
      <c r="F1126" s="1">
        <v>24102</v>
      </c>
      <c r="G1126" s="2" t="s">
        <v>669</v>
      </c>
      <c r="H1126" s="1" t="s">
        <v>661</v>
      </c>
      <c r="J1126" s="2" t="s">
        <v>672</v>
      </c>
      <c r="K1126" s="1" t="s">
        <v>666</v>
      </c>
      <c r="L1126" s="1" t="s">
        <v>1388</v>
      </c>
      <c r="M1126" s="1" t="s">
        <v>1389</v>
      </c>
      <c r="N1126" s="1" t="str">
        <f t="shared" si="17"/>
        <v>JUNIO TEIXEIRA /GEOVANI RORIZ</v>
      </c>
    </row>
    <row r="1127" spans="1:14" x14ac:dyDescent="0.3">
      <c r="A1127" s="1">
        <v>705595</v>
      </c>
      <c r="B1127" s="1" t="s">
        <v>1344</v>
      </c>
      <c r="C1127" s="5" t="s">
        <v>15</v>
      </c>
      <c r="D1127" s="2">
        <v>45881</v>
      </c>
      <c r="E1127" s="2" t="s">
        <v>31</v>
      </c>
      <c r="F1127" s="1">
        <v>39601</v>
      </c>
      <c r="G1127" s="2" t="s">
        <v>660</v>
      </c>
      <c r="H1127" s="1" t="s">
        <v>661</v>
      </c>
      <c r="J1127" s="2" t="s">
        <v>684</v>
      </c>
      <c r="K1127" s="1" t="s">
        <v>666</v>
      </c>
      <c r="L1127" s="1" t="s">
        <v>258</v>
      </c>
      <c r="M1127" s="1" t="s">
        <v>1392</v>
      </c>
      <c r="N1127" s="1" t="str">
        <f t="shared" si="17"/>
        <v>ADALTON/JANILSON RORIZ/MARIVALDO</v>
      </c>
    </row>
    <row r="1128" spans="1:14" x14ac:dyDescent="0.3">
      <c r="A1128" s="1">
        <v>701241</v>
      </c>
      <c r="B1128" s="1" t="s">
        <v>1101</v>
      </c>
      <c r="C1128" s="5" t="s">
        <v>15</v>
      </c>
      <c r="D1128" s="2">
        <v>43711</v>
      </c>
      <c r="E1128" s="2" t="s">
        <v>16</v>
      </c>
      <c r="F1128" s="1">
        <v>24102</v>
      </c>
      <c r="G1128" s="2" t="s">
        <v>669</v>
      </c>
      <c r="H1128" s="1" t="s">
        <v>661</v>
      </c>
      <c r="J1128" s="2" t="s">
        <v>682</v>
      </c>
      <c r="K1128" s="1" t="s">
        <v>666</v>
      </c>
      <c r="L1128" s="1" t="s">
        <v>1390</v>
      </c>
      <c r="M1128" s="1" t="s">
        <v>1391</v>
      </c>
      <c r="N1128" s="1" t="str">
        <f t="shared" si="17"/>
        <v>ALCENO JUNIOR/JOÃO MARCOS</v>
      </c>
    </row>
    <row r="1129" spans="1:14" x14ac:dyDescent="0.3">
      <c r="A1129" s="1">
        <v>705160</v>
      </c>
      <c r="B1129" s="1" t="s">
        <v>1177</v>
      </c>
      <c r="C1129" s="5" t="s">
        <v>15</v>
      </c>
      <c r="D1129" s="2">
        <v>45720</v>
      </c>
      <c r="E1129" s="2" t="s">
        <v>428</v>
      </c>
      <c r="F1129" s="1">
        <v>32102</v>
      </c>
      <c r="G1129" s="2" t="s">
        <v>674</v>
      </c>
      <c r="H1129" s="1" t="s">
        <v>661</v>
      </c>
      <c r="J1129" s="2" t="s">
        <v>675</v>
      </c>
      <c r="K1129" s="1" t="s">
        <v>25</v>
      </c>
      <c r="L1129" s="1" t="s">
        <v>1369</v>
      </c>
      <c r="M1129" s="1" t="s">
        <v>676</v>
      </c>
      <c r="N1129" s="1" t="str">
        <f t="shared" si="17"/>
        <v>MARCELO DOURADO</v>
      </c>
    </row>
    <row r="1130" spans="1:14" x14ac:dyDescent="0.3">
      <c r="A1130" s="1">
        <v>700898</v>
      </c>
      <c r="B1130" s="1" t="s">
        <v>1102</v>
      </c>
      <c r="C1130" s="5" t="s">
        <v>15</v>
      </c>
      <c r="D1130" s="2">
        <v>43529</v>
      </c>
      <c r="E1130" s="2" t="s">
        <v>16</v>
      </c>
      <c r="F1130" s="1">
        <v>24102</v>
      </c>
      <c r="G1130" s="2" t="s">
        <v>669</v>
      </c>
      <c r="H1130" s="1" t="s">
        <v>661</v>
      </c>
      <c r="J1130" s="2" t="s">
        <v>682</v>
      </c>
      <c r="K1130" s="1" t="s">
        <v>666</v>
      </c>
      <c r="L1130" s="1" t="s">
        <v>1390</v>
      </c>
      <c r="M1130" s="1" t="s">
        <v>1391</v>
      </c>
      <c r="N1130" s="1" t="str">
        <f t="shared" si="17"/>
        <v>ALCENO JUNIOR/JOÃO MARCOS</v>
      </c>
    </row>
    <row r="1131" spans="1:14" x14ac:dyDescent="0.3">
      <c r="A1131" s="1">
        <v>703459</v>
      </c>
      <c r="B1131" s="1" t="s">
        <v>1103</v>
      </c>
      <c r="C1131" s="5" t="s">
        <v>15</v>
      </c>
      <c r="D1131" s="2">
        <v>44887</v>
      </c>
      <c r="E1131" s="2" t="s">
        <v>31</v>
      </c>
      <c r="F1131" s="1">
        <v>24102</v>
      </c>
      <c r="G1131" s="2" t="s">
        <v>669</v>
      </c>
      <c r="H1131" s="1" t="s">
        <v>661</v>
      </c>
      <c r="J1131" s="2" t="s">
        <v>85</v>
      </c>
      <c r="K1131" s="1" t="s">
        <v>1371</v>
      </c>
      <c r="L1131" s="1" t="s">
        <v>1371</v>
      </c>
      <c r="M1131" s="1" t="s">
        <v>1380</v>
      </c>
      <c r="N1131" s="1" t="str">
        <f t="shared" si="17"/>
        <v xml:space="preserve">LEONARDO SANTOS </v>
      </c>
    </row>
    <row r="1132" spans="1:14" x14ac:dyDescent="0.3">
      <c r="A1132" s="1">
        <v>705678</v>
      </c>
      <c r="B1132" s="1" t="s">
        <v>1439</v>
      </c>
      <c r="C1132" s="5" t="s">
        <v>15</v>
      </c>
      <c r="D1132" s="2">
        <v>45944</v>
      </c>
      <c r="E1132" s="2" t="s">
        <v>31</v>
      </c>
      <c r="F1132" s="1">
        <v>39601</v>
      </c>
      <c r="G1132" s="2" t="s">
        <v>660</v>
      </c>
      <c r="H1132" s="1" t="s">
        <v>661</v>
      </c>
      <c r="J1132" s="2" t="s">
        <v>684</v>
      </c>
      <c r="K1132" s="1" t="s">
        <v>666</v>
      </c>
      <c r="L1132" s="1" t="s">
        <v>258</v>
      </c>
      <c r="M1132" s="1" t="s">
        <v>1392</v>
      </c>
      <c r="N1132" s="1" t="str">
        <f t="shared" si="17"/>
        <v>ADALTON/JANILSON RORIZ/MARIVALDO</v>
      </c>
    </row>
    <row r="1133" spans="1:14" x14ac:dyDescent="0.3">
      <c r="A1133" s="1">
        <v>703561</v>
      </c>
      <c r="B1133" s="1" t="s">
        <v>1104</v>
      </c>
      <c r="C1133" s="5" t="s">
        <v>15</v>
      </c>
      <c r="D1133" s="2">
        <v>44935</v>
      </c>
      <c r="E1133" s="2" t="s">
        <v>138</v>
      </c>
      <c r="F1133" s="1">
        <v>24102</v>
      </c>
      <c r="G1133" s="2" t="s">
        <v>669</v>
      </c>
      <c r="H1133" s="1" t="s">
        <v>661</v>
      </c>
      <c r="J1133" s="2" t="s">
        <v>670</v>
      </c>
      <c r="K1133" s="1" t="s">
        <v>666</v>
      </c>
      <c r="L1133" s="1" t="s">
        <v>1388</v>
      </c>
      <c r="M1133" s="1" t="s">
        <v>1389</v>
      </c>
      <c r="N1133" s="1" t="str">
        <f t="shared" si="17"/>
        <v>JUNIO TEIXEIRA /GEOVANI RORIZ</v>
      </c>
    </row>
    <row r="1134" spans="1:14" x14ac:dyDescent="0.3">
      <c r="A1134" s="1">
        <v>704480</v>
      </c>
      <c r="B1134" s="1" t="s">
        <v>1105</v>
      </c>
      <c r="C1134" s="5" t="s">
        <v>15</v>
      </c>
      <c r="D1134" s="2">
        <v>45420</v>
      </c>
      <c r="E1134" s="2" t="s">
        <v>418</v>
      </c>
      <c r="F1134" s="1">
        <v>39601</v>
      </c>
      <c r="G1134" s="2" t="s">
        <v>660</v>
      </c>
      <c r="H1134" s="1" t="s">
        <v>661</v>
      </c>
      <c r="J1134" s="2" t="s">
        <v>662</v>
      </c>
      <c r="K1134" s="1" t="s">
        <v>666</v>
      </c>
      <c r="L1134" s="1" t="s">
        <v>258</v>
      </c>
      <c r="N1134" s="1" t="str">
        <f t="shared" si="17"/>
        <v>MATHEUS ALMEIDA</v>
      </c>
    </row>
    <row r="1135" spans="1:14" x14ac:dyDescent="0.3">
      <c r="A1135" s="1">
        <v>101728</v>
      </c>
      <c r="B1135" s="1" t="s">
        <v>1107</v>
      </c>
      <c r="C1135" s="5" t="s">
        <v>15</v>
      </c>
      <c r="D1135" s="2">
        <v>43066</v>
      </c>
      <c r="E1135" s="2" t="s">
        <v>127</v>
      </c>
      <c r="F1135" s="1">
        <v>24102</v>
      </c>
      <c r="G1135" s="2" t="s">
        <v>669</v>
      </c>
      <c r="H1135" s="1" t="s">
        <v>661</v>
      </c>
      <c r="J1135" s="2" t="s">
        <v>670</v>
      </c>
      <c r="K1135" s="1" t="s">
        <v>666</v>
      </c>
      <c r="L1135" s="1" t="s">
        <v>1388</v>
      </c>
      <c r="M1135" s="1" t="s">
        <v>1389</v>
      </c>
      <c r="N1135" s="1" t="str">
        <f t="shared" si="17"/>
        <v>JUNIO TEIXEIRA /GEOVANI RORIZ</v>
      </c>
    </row>
    <row r="1136" spans="1:14" x14ac:dyDescent="0.3">
      <c r="A1136" s="1">
        <v>704351</v>
      </c>
      <c r="B1136" s="1" t="s">
        <v>1108</v>
      </c>
      <c r="C1136" s="5" t="s">
        <v>15</v>
      </c>
      <c r="D1136" s="2">
        <v>45363</v>
      </c>
      <c r="E1136" s="2" t="s">
        <v>60</v>
      </c>
      <c r="F1136" s="1">
        <v>24102</v>
      </c>
      <c r="G1136" s="2" t="s">
        <v>669</v>
      </c>
      <c r="H1136" s="1" t="s">
        <v>661</v>
      </c>
      <c r="J1136" s="2" t="s">
        <v>804</v>
      </c>
      <c r="K1136" s="1" t="s">
        <v>1371</v>
      </c>
      <c r="L1136" s="1" t="s">
        <v>1378</v>
      </c>
      <c r="M1136" s="1" t="s">
        <v>805</v>
      </c>
      <c r="N1136" s="1" t="str">
        <f t="shared" si="17"/>
        <v>JAILSON RORIZ</v>
      </c>
    </row>
    <row r="1137" spans="1:14" x14ac:dyDescent="0.3">
      <c r="A1137" s="1">
        <v>703261</v>
      </c>
      <c r="B1137" s="1" t="s">
        <v>553</v>
      </c>
      <c r="C1137" s="5" t="s">
        <v>15</v>
      </c>
      <c r="D1137" s="2">
        <v>44781</v>
      </c>
      <c r="E1137" s="2" t="s">
        <v>31</v>
      </c>
      <c r="F1137" s="1">
        <v>24102</v>
      </c>
      <c r="G1137" s="2" t="s">
        <v>669</v>
      </c>
      <c r="H1137" s="1" t="s">
        <v>661</v>
      </c>
      <c r="J1137" s="2" t="s">
        <v>682</v>
      </c>
      <c r="K1137" s="1" t="s">
        <v>666</v>
      </c>
      <c r="L1137" s="1" t="s">
        <v>1390</v>
      </c>
      <c r="M1137" s="1" t="s">
        <v>1391</v>
      </c>
      <c r="N1137" s="1" t="str">
        <f t="shared" si="17"/>
        <v>ALCENO JUNIOR/JOÃO MARCOS</v>
      </c>
    </row>
    <row r="1138" spans="1:14" x14ac:dyDescent="0.3">
      <c r="A1138" s="1">
        <v>704396</v>
      </c>
      <c r="B1138" s="1" t="s">
        <v>1109</v>
      </c>
      <c r="C1138" s="5" t="s">
        <v>15</v>
      </c>
      <c r="D1138" s="2">
        <v>45391</v>
      </c>
      <c r="E1138" s="2" t="s">
        <v>16</v>
      </c>
      <c r="F1138" s="1">
        <v>24102</v>
      </c>
      <c r="G1138" s="2" t="s">
        <v>669</v>
      </c>
      <c r="H1138" s="1" t="s">
        <v>661</v>
      </c>
      <c r="J1138" s="2" t="s">
        <v>682</v>
      </c>
      <c r="K1138" s="1" t="s">
        <v>666</v>
      </c>
      <c r="L1138" s="1" t="s">
        <v>1390</v>
      </c>
      <c r="M1138" s="1" t="s">
        <v>1391</v>
      </c>
      <c r="N1138" s="1" t="str">
        <f t="shared" si="17"/>
        <v>ALCENO JUNIOR/JOÃO MARCOS</v>
      </c>
    </row>
    <row r="1139" spans="1:14" x14ac:dyDescent="0.3">
      <c r="A1139" s="1">
        <v>702070</v>
      </c>
      <c r="B1139" s="1" t="s">
        <v>1110</v>
      </c>
      <c r="C1139" s="5" t="s">
        <v>15</v>
      </c>
      <c r="D1139" s="2">
        <v>44264</v>
      </c>
      <c r="E1139" s="2" t="s">
        <v>423</v>
      </c>
      <c r="F1139" s="1">
        <v>31103</v>
      </c>
      <c r="G1139" s="2" t="s">
        <v>718</v>
      </c>
      <c r="H1139" s="1" t="s">
        <v>661</v>
      </c>
      <c r="J1139" s="2" t="s">
        <v>719</v>
      </c>
      <c r="K1139" s="1" t="s">
        <v>132</v>
      </c>
      <c r="L1139" s="1" t="s">
        <v>132</v>
      </c>
      <c r="M1139" s="1" t="s">
        <v>1381</v>
      </c>
      <c r="N1139" s="1" t="str">
        <f t="shared" si="17"/>
        <v>MARCOS OLIVEIRA</v>
      </c>
    </row>
    <row r="1140" spans="1:14" x14ac:dyDescent="0.3">
      <c r="A1140" s="1">
        <v>703317</v>
      </c>
      <c r="B1140" s="1" t="s">
        <v>1111</v>
      </c>
      <c r="C1140" s="5" t="s">
        <v>15</v>
      </c>
      <c r="D1140" s="2">
        <v>44824</v>
      </c>
      <c r="E1140" s="2" t="s">
        <v>109</v>
      </c>
      <c r="F1140" s="1">
        <v>32102</v>
      </c>
      <c r="G1140" s="2" t="s">
        <v>674</v>
      </c>
      <c r="H1140" s="1" t="s">
        <v>661</v>
      </c>
      <c r="J1140" s="2" t="s">
        <v>675</v>
      </c>
      <c r="K1140" s="1" t="s">
        <v>25</v>
      </c>
      <c r="L1140" s="1" t="s">
        <v>1369</v>
      </c>
      <c r="M1140" s="1" t="s">
        <v>676</v>
      </c>
      <c r="N1140" s="1" t="str">
        <f t="shared" si="17"/>
        <v>MARCELO DOURADO</v>
      </c>
    </row>
    <row r="1141" spans="1:14" x14ac:dyDescent="0.3">
      <c r="A1141" s="1">
        <v>705712</v>
      </c>
      <c r="B1141" s="1" t="s">
        <v>1472</v>
      </c>
      <c r="C1141" s="5" t="s">
        <v>15</v>
      </c>
      <c r="D1141" s="2">
        <v>45971</v>
      </c>
      <c r="E1141" s="2" t="s">
        <v>31</v>
      </c>
      <c r="F1141" s="1">
        <v>39601</v>
      </c>
      <c r="G1141" s="2" t="s">
        <v>660</v>
      </c>
      <c r="H1141" s="1" t="s">
        <v>661</v>
      </c>
      <c r="J1141" s="2" t="s">
        <v>684</v>
      </c>
      <c r="K1141" s="1" t="s">
        <v>666</v>
      </c>
      <c r="L1141" s="1" t="s">
        <v>258</v>
      </c>
      <c r="M1141" s="1" t="s">
        <v>1392</v>
      </c>
      <c r="N1141" s="1" t="str">
        <f t="shared" si="17"/>
        <v>ADALTON/JANILSON RORIZ/MARIVALDO</v>
      </c>
    </row>
    <row r="1142" spans="1:14" x14ac:dyDescent="0.3">
      <c r="A1142" s="1">
        <v>702948</v>
      </c>
      <c r="B1142" s="1" t="s">
        <v>1112</v>
      </c>
      <c r="C1142" s="5" t="s">
        <v>15</v>
      </c>
      <c r="D1142" s="2">
        <v>44663</v>
      </c>
      <c r="E1142" s="2" t="s">
        <v>27</v>
      </c>
      <c r="F1142" s="1">
        <v>39601</v>
      </c>
      <c r="G1142" s="2" t="s">
        <v>660</v>
      </c>
      <c r="H1142" s="1" t="s">
        <v>661</v>
      </c>
      <c r="J1142" s="2" t="s">
        <v>684</v>
      </c>
      <c r="K1142" s="1" t="s">
        <v>666</v>
      </c>
      <c r="L1142" s="1" t="s">
        <v>258</v>
      </c>
      <c r="M1142" s="1" t="s">
        <v>1392</v>
      </c>
      <c r="N1142" s="1" t="str">
        <f t="shared" si="17"/>
        <v>ADALTON/JANILSON RORIZ/MARIVALDO</v>
      </c>
    </row>
    <row r="1143" spans="1:14" x14ac:dyDescent="0.3">
      <c r="A1143" s="1">
        <v>704680</v>
      </c>
      <c r="B1143" s="1" t="s">
        <v>1113</v>
      </c>
      <c r="C1143" s="5" t="s">
        <v>15</v>
      </c>
      <c r="D1143" s="2">
        <v>45510</v>
      </c>
      <c r="E1143" s="2" t="s">
        <v>129</v>
      </c>
      <c r="F1143" s="1">
        <v>31103</v>
      </c>
      <c r="G1143" s="2" t="s">
        <v>718</v>
      </c>
      <c r="H1143" s="1" t="s">
        <v>661</v>
      </c>
      <c r="J1143" s="2" t="s">
        <v>719</v>
      </c>
      <c r="K1143" s="1" t="s">
        <v>132</v>
      </c>
      <c r="L1143" s="1" t="s">
        <v>132</v>
      </c>
      <c r="M1143" s="1" t="s">
        <v>1381</v>
      </c>
      <c r="N1143" s="1" t="str">
        <f t="shared" si="17"/>
        <v>MARCOS OLIVEIRA</v>
      </c>
    </row>
    <row r="1144" spans="1:14" x14ac:dyDescent="0.3">
      <c r="A1144" s="1">
        <v>704822</v>
      </c>
      <c r="B1144" s="1" t="s">
        <v>1114</v>
      </c>
      <c r="C1144" s="5" t="s">
        <v>15</v>
      </c>
      <c r="D1144" s="2">
        <v>45566</v>
      </c>
      <c r="E1144" s="2" t="s">
        <v>418</v>
      </c>
      <c r="F1144" s="1">
        <v>39601</v>
      </c>
      <c r="G1144" s="2" t="s">
        <v>660</v>
      </c>
      <c r="H1144" s="1" t="s">
        <v>661</v>
      </c>
      <c r="J1144" s="2" t="s">
        <v>662</v>
      </c>
      <c r="K1144" s="1" t="s">
        <v>666</v>
      </c>
      <c r="L1144" s="1" t="s">
        <v>258</v>
      </c>
      <c r="N1144" s="1" t="str">
        <f t="shared" si="17"/>
        <v>MATHEUS ALMEIDA</v>
      </c>
    </row>
    <row r="1145" spans="1:14" x14ac:dyDescent="0.3">
      <c r="A1145" s="1">
        <v>702806</v>
      </c>
      <c r="B1145" s="1" t="s">
        <v>1115</v>
      </c>
      <c r="C1145" s="5" t="s">
        <v>233</v>
      </c>
      <c r="D1145" s="2">
        <v>44607</v>
      </c>
      <c r="E1145" s="2" t="s">
        <v>138</v>
      </c>
      <c r="F1145" s="1">
        <v>24102</v>
      </c>
      <c r="G1145" s="2" t="s">
        <v>669</v>
      </c>
      <c r="H1145" s="1" t="s">
        <v>661</v>
      </c>
      <c r="J1145" s="2" t="s">
        <v>697</v>
      </c>
      <c r="K1145" s="1" t="s">
        <v>666</v>
      </c>
      <c r="L1145" s="1" t="s">
        <v>1390</v>
      </c>
      <c r="N1145" s="1" t="str">
        <f t="shared" si="17"/>
        <v>JOÃO FILHO</v>
      </c>
    </row>
    <row r="1146" spans="1:14" x14ac:dyDescent="0.3">
      <c r="A1146" s="1">
        <v>705602</v>
      </c>
      <c r="B1146" s="1" t="s">
        <v>1367</v>
      </c>
      <c r="C1146" s="5" t="s">
        <v>15</v>
      </c>
      <c r="D1146" s="2">
        <v>45902</v>
      </c>
      <c r="E1146" s="2" t="s">
        <v>905</v>
      </c>
      <c r="F1146" s="1">
        <v>39602</v>
      </c>
      <c r="G1146" s="2" t="s">
        <v>699</v>
      </c>
      <c r="H1146" s="1" t="s">
        <v>661</v>
      </c>
      <c r="J1146" s="2" t="s">
        <v>700</v>
      </c>
      <c r="K1146" s="1" t="s">
        <v>666</v>
      </c>
      <c r="L1146" s="1" t="s">
        <v>258</v>
      </c>
      <c r="M1146" s="1" t="s">
        <v>701</v>
      </c>
      <c r="N1146" s="1" t="str">
        <f t="shared" si="17"/>
        <v>IURY GUEDES</v>
      </c>
    </row>
    <row r="1147" spans="1:14" x14ac:dyDescent="0.3">
      <c r="A1147" s="1">
        <v>705325</v>
      </c>
      <c r="B1147" s="1" t="s">
        <v>1271</v>
      </c>
      <c r="C1147" s="5" t="s">
        <v>15</v>
      </c>
      <c r="D1147" s="2">
        <v>45784</v>
      </c>
      <c r="E1147" s="2" t="s">
        <v>31</v>
      </c>
      <c r="F1147" s="1">
        <v>24102</v>
      </c>
      <c r="G1147" s="2" t="s">
        <v>669</v>
      </c>
      <c r="H1147" s="1" t="s">
        <v>661</v>
      </c>
      <c r="J1147" s="2" t="s">
        <v>672</v>
      </c>
      <c r="K1147" s="1" t="s">
        <v>666</v>
      </c>
      <c r="L1147" s="1" t="s">
        <v>1388</v>
      </c>
      <c r="M1147" s="1" t="s">
        <v>1389</v>
      </c>
      <c r="N1147" s="1" t="str">
        <f t="shared" si="17"/>
        <v>JUNIO TEIXEIRA /GEOVANI RORIZ</v>
      </c>
    </row>
    <row r="1148" spans="1:14" x14ac:dyDescent="0.3">
      <c r="A1148" s="1">
        <v>705005</v>
      </c>
      <c r="B1148" s="1" t="s">
        <v>1116</v>
      </c>
      <c r="C1148" s="5" t="s">
        <v>15</v>
      </c>
      <c r="D1148" s="2">
        <v>45636</v>
      </c>
      <c r="E1148" s="2" t="s">
        <v>22</v>
      </c>
      <c r="F1148" s="1">
        <v>39602</v>
      </c>
      <c r="G1148" s="2" t="s">
        <v>699</v>
      </c>
      <c r="H1148" s="1" t="s">
        <v>661</v>
      </c>
      <c r="J1148" s="2" t="s">
        <v>662</v>
      </c>
      <c r="K1148" s="1" t="s">
        <v>666</v>
      </c>
      <c r="L1148" s="1" t="s">
        <v>258</v>
      </c>
      <c r="N1148" s="1" t="str">
        <f t="shared" si="17"/>
        <v>MATHEUS ALMEIDA</v>
      </c>
    </row>
    <row r="1149" spans="1:14" x14ac:dyDescent="0.3">
      <c r="A1149" s="1">
        <v>704347</v>
      </c>
      <c r="B1149" s="1" t="s">
        <v>1117</v>
      </c>
      <c r="C1149" s="5" t="s">
        <v>15</v>
      </c>
      <c r="D1149" s="2">
        <v>45363</v>
      </c>
      <c r="E1149" s="2" t="s">
        <v>138</v>
      </c>
      <c r="F1149" s="1">
        <v>24102</v>
      </c>
      <c r="G1149" s="2" t="s">
        <v>669</v>
      </c>
      <c r="H1149" s="1" t="s">
        <v>661</v>
      </c>
      <c r="J1149" s="2" t="s">
        <v>682</v>
      </c>
      <c r="K1149" s="1" t="s">
        <v>666</v>
      </c>
      <c r="L1149" s="1" t="s">
        <v>1390</v>
      </c>
      <c r="M1149" s="1" t="s">
        <v>1391</v>
      </c>
      <c r="N1149" s="1" t="str">
        <f t="shared" si="17"/>
        <v>ALCENO JUNIOR/JOÃO MARCOS</v>
      </c>
    </row>
    <row r="1150" spans="1:14" x14ac:dyDescent="0.3">
      <c r="A1150" s="1">
        <v>705779</v>
      </c>
      <c r="B1150" s="1" t="s">
        <v>1501</v>
      </c>
      <c r="C1150" s="5" t="s">
        <v>15</v>
      </c>
      <c r="D1150" s="2">
        <v>45993</v>
      </c>
      <c r="E1150" s="2" t="s">
        <v>336</v>
      </c>
      <c r="F1150" s="1">
        <v>24201</v>
      </c>
      <c r="G1150" s="2" t="s">
        <v>664</v>
      </c>
      <c r="H1150" s="1" t="s">
        <v>661</v>
      </c>
      <c r="J1150" s="2" t="s">
        <v>1012</v>
      </c>
      <c r="K1150" s="1" t="s">
        <v>666</v>
      </c>
      <c r="L1150" s="1" t="s">
        <v>258</v>
      </c>
      <c r="N1150" s="1" t="str">
        <f t="shared" si="17"/>
        <v>MATHEUS ALMEIDA</v>
      </c>
    </row>
    <row r="1151" spans="1:14" x14ac:dyDescent="0.3">
      <c r="A1151" s="1">
        <v>704801</v>
      </c>
      <c r="B1151" s="1" t="s">
        <v>1118</v>
      </c>
      <c r="C1151" s="5" t="s">
        <v>15</v>
      </c>
      <c r="D1151" s="2">
        <v>45566</v>
      </c>
      <c r="E1151" s="2" t="s">
        <v>31</v>
      </c>
      <c r="F1151" s="1">
        <v>39601</v>
      </c>
      <c r="G1151" s="2" t="s">
        <v>660</v>
      </c>
      <c r="H1151" s="1" t="s">
        <v>661</v>
      </c>
      <c r="J1151" s="2" t="s">
        <v>662</v>
      </c>
      <c r="K1151" s="1" t="s">
        <v>666</v>
      </c>
      <c r="L1151" s="1" t="s">
        <v>258</v>
      </c>
      <c r="N1151" s="1" t="str">
        <f t="shared" si="17"/>
        <v>MATHEUS ALMEIDA</v>
      </c>
    </row>
    <row r="1152" spans="1:14" x14ac:dyDescent="0.3">
      <c r="A1152" s="1">
        <v>704670</v>
      </c>
      <c r="B1152" s="1" t="s">
        <v>1119</v>
      </c>
      <c r="C1152" s="5" t="s">
        <v>15</v>
      </c>
      <c r="D1152" s="2">
        <v>45489</v>
      </c>
      <c r="E1152" s="2" t="s">
        <v>686</v>
      </c>
      <c r="F1152" s="1">
        <v>39601</v>
      </c>
      <c r="G1152" s="2" t="s">
        <v>660</v>
      </c>
      <c r="H1152" s="1" t="s">
        <v>661</v>
      </c>
      <c r="J1152" s="2" t="s">
        <v>684</v>
      </c>
      <c r="K1152" s="1" t="s">
        <v>666</v>
      </c>
      <c r="L1152" s="1" t="s">
        <v>258</v>
      </c>
      <c r="M1152" s="1" t="s">
        <v>1392</v>
      </c>
      <c r="N1152" s="1" t="str">
        <f t="shared" si="17"/>
        <v>ADALTON/JANILSON RORIZ/MARIVALDO</v>
      </c>
    </row>
    <row r="1153" spans="1:14" x14ac:dyDescent="0.3">
      <c r="A1153" s="1">
        <v>703694</v>
      </c>
      <c r="B1153" s="1" t="s">
        <v>1120</v>
      </c>
      <c r="C1153" s="5" t="s">
        <v>15</v>
      </c>
      <c r="D1153" s="2">
        <v>45019</v>
      </c>
      <c r="E1153" s="2" t="s">
        <v>31</v>
      </c>
      <c r="F1153" s="1">
        <v>24102</v>
      </c>
      <c r="G1153" s="2" t="s">
        <v>669</v>
      </c>
      <c r="H1153" s="1" t="s">
        <v>661</v>
      </c>
      <c r="J1153" s="2" t="s">
        <v>672</v>
      </c>
      <c r="K1153" s="1" t="s">
        <v>666</v>
      </c>
      <c r="L1153" s="1" t="s">
        <v>1388</v>
      </c>
      <c r="M1153" s="1" t="s">
        <v>1389</v>
      </c>
      <c r="N1153" s="1" t="str">
        <f t="shared" si="17"/>
        <v>JUNIO TEIXEIRA /GEOVANI RORIZ</v>
      </c>
    </row>
    <row r="1154" spans="1:14" x14ac:dyDescent="0.3">
      <c r="A1154" s="1">
        <v>705680</v>
      </c>
      <c r="B1154" s="1" t="s">
        <v>1440</v>
      </c>
      <c r="C1154" s="5" t="s">
        <v>15</v>
      </c>
      <c r="D1154" s="2">
        <v>45944</v>
      </c>
      <c r="E1154" s="2" t="s">
        <v>31</v>
      </c>
      <c r="F1154" s="1">
        <v>39601</v>
      </c>
      <c r="G1154" s="2" t="s">
        <v>660</v>
      </c>
      <c r="H1154" s="1" t="s">
        <v>661</v>
      </c>
      <c r="J1154" s="2" t="s">
        <v>684</v>
      </c>
      <c r="K1154" s="1" t="s">
        <v>666</v>
      </c>
      <c r="L1154" s="1" t="s">
        <v>258</v>
      </c>
      <c r="M1154" s="1" t="s">
        <v>1392</v>
      </c>
      <c r="N1154" s="1" t="str">
        <f t="shared" si="17"/>
        <v>ADALTON/JANILSON RORIZ/MARIVALDO</v>
      </c>
    </row>
    <row r="1155" spans="1:14" x14ac:dyDescent="0.3">
      <c r="A1155" s="1">
        <v>105798</v>
      </c>
      <c r="B1155" s="1" t="s">
        <v>1121</v>
      </c>
      <c r="C1155" s="5" t="s">
        <v>15</v>
      </c>
      <c r="D1155" s="2">
        <v>43234</v>
      </c>
      <c r="E1155" s="2" t="s">
        <v>1122</v>
      </c>
      <c r="F1155" s="1">
        <v>39203</v>
      </c>
      <c r="G1155" s="2" t="s">
        <v>709</v>
      </c>
      <c r="H1155" s="1" t="s">
        <v>661</v>
      </c>
      <c r="J1155" s="2" t="s">
        <v>710</v>
      </c>
      <c r="K1155" s="1" t="s">
        <v>50</v>
      </c>
      <c r="L1155" s="1" t="s">
        <v>50</v>
      </c>
      <c r="M1155" s="1" t="s">
        <v>1382</v>
      </c>
      <c r="N1155" s="1" t="str">
        <f t="shared" ref="N1155:N1174" si="18">IF(M1155&lt;&gt;"", M1155, IF(L1155&lt;&gt;"", L1155, K1155))</f>
        <v>ADENILTON RODRIGUES</v>
      </c>
    </row>
    <row r="1156" spans="1:14" x14ac:dyDescent="0.3">
      <c r="A1156" s="1">
        <v>101013</v>
      </c>
      <c r="B1156" s="1" t="s">
        <v>1123</v>
      </c>
      <c r="C1156" s="5" t="s">
        <v>15</v>
      </c>
      <c r="D1156" s="2">
        <v>42632</v>
      </c>
      <c r="E1156" s="2" t="s">
        <v>146</v>
      </c>
      <c r="F1156" s="1">
        <v>39601</v>
      </c>
      <c r="G1156" s="2" t="s">
        <v>660</v>
      </c>
      <c r="H1156" s="1" t="s">
        <v>661</v>
      </c>
      <c r="J1156" s="2" t="s">
        <v>684</v>
      </c>
      <c r="K1156" s="1" t="s">
        <v>666</v>
      </c>
      <c r="L1156" s="1" t="s">
        <v>258</v>
      </c>
      <c r="M1156" s="1" t="s">
        <v>1392</v>
      </c>
      <c r="N1156" s="1" t="str">
        <f t="shared" si="18"/>
        <v>ADALTON/JANILSON RORIZ/MARIVALDO</v>
      </c>
    </row>
    <row r="1157" spans="1:14" x14ac:dyDescent="0.3">
      <c r="A1157" s="1">
        <v>705189</v>
      </c>
      <c r="B1157" s="1" t="s">
        <v>1178</v>
      </c>
      <c r="C1157" s="5" t="s">
        <v>15</v>
      </c>
      <c r="D1157" s="2">
        <v>45726</v>
      </c>
      <c r="E1157" s="2" t="s">
        <v>31</v>
      </c>
      <c r="F1157" s="1">
        <v>39601</v>
      </c>
      <c r="G1157" s="2" t="s">
        <v>660</v>
      </c>
      <c r="H1157" s="1" t="s">
        <v>661</v>
      </c>
      <c r="J1157" s="2" t="s">
        <v>672</v>
      </c>
      <c r="K1157" s="1" t="s">
        <v>666</v>
      </c>
      <c r="L1157" s="1" t="s">
        <v>1388</v>
      </c>
      <c r="M1157" s="1" t="s">
        <v>1389</v>
      </c>
      <c r="N1157" s="1" t="str">
        <f t="shared" si="18"/>
        <v>JUNIO TEIXEIRA /GEOVANI RORIZ</v>
      </c>
    </row>
    <row r="1158" spans="1:14" x14ac:dyDescent="0.3">
      <c r="A1158" s="1">
        <v>702891</v>
      </c>
      <c r="B1158" s="1" t="s">
        <v>1124</v>
      </c>
      <c r="C1158" s="5" t="s">
        <v>15</v>
      </c>
      <c r="D1158" s="2">
        <v>44642</v>
      </c>
      <c r="E1158" s="2" t="s">
        <v>16</v>
      </c>
      <c r="F1158" s="1">
        <v>24102</v>
      </c>
      <c r="G1158" s="2" t="s">
        <v>669</v>
      </c>
      <c r="H1158" s="1" t="s">
        <v>661</v>
      </c>
      <c r="J1158" s="2" t="s">
        <v>682</v>
      </c>
      <c r="K1158" s="1" t="s">
        <v>666</v>
      </c>
      <c r="L1158" s="1" t="s">
        <v>1390</v>
      </c>
      <c r="M1158" s="1" t="s">
        <v>1391</v>
      </c>
      <c r="N1158" s="1" t="str">
        <f t="shared" si="18"/>
        <v>ALCENO JUNIOR/JOÃO MARCOS</v>
      </c>
    </row>
    <row r="1159" spans="1:14" x14ac:dyDescent="0.3">
      <c r="A1159" s="1">
        <v>704992</v>
      </c>
      <c r="B1159" s="1" t="s">
        <v>1125</v>
      </c>
      <c r="C1159" s="5" t="s">
        <v>15</v>
      </c>
      <c r="D1159" s="2">
        <v>45629</v>
      </c>
      <c r="E1159" s="2" t="s">
        <v>31</v>
      </c>
      <c r="F1159" s="1">
        <v>39601</v>
      </c>
      <c r="G1159" s="2" t="s">
        <v>660</v>
      </c>
      <c r="H1159" s="1" t="s">
        <v>661</v>
      </c>
      <c r="J1159" s="2" t="s">
        <v>662</v>
      </c>
      <c r="K1159" s="1" t="s">
        <v>666</v>
      </c>
      <c r="L1159" s="1" t="s">
        <v>258</v>
      </c>
      <c r="N1159" s="1" t="str">
        <f t="shared" si="18"/>
        <v>MATHEUS ALMEIDA</v>
      </c>
    </row>
    <row r="1160" spans="1:14" x14ac:dyDescent="0.3">
      <c r="A1160" s="1">
        <v>704194</v>
      </c>
      <c r="B1160" s="1" t="s">
        <v>1126</v>
      </c>
      <c r="C1160" s="5" t="s">
        <v>15</v>
      </c>
      <c r="D1160" s="2">
        <v>45300</v>
      </c>
      <c r="E1160" s="2" t="s">
        <v>31</v>
      </c>
      <c r="F1160" s="1">
        <v>24102</v>
      </c>
      <c r="G1160" s="2" t="s">
        <v>669</v>
      </c>
      <c r="H1160" s="1" t="s">
        <v>661</v>
      </c>
      <c r="J1160" s="2" t="s">
        <v>85</v>
      </c>
      <c r="K1160" s="1" t="s">
        <v>1371</v>
      </c>
      <c r="L1160" s="1" t="s">
        <v>1371</v>
      </c>
      <c r="M1160" s="1" t="s">
        <v>1380</v>
      </c>
      <c r="N1160" s="1" t="str">
        <f t="shared" si="18"/>
        <v xml:space="preserve">LEONARDO SANTOS </v>
      </c>
    </row>
    <row r="1161" spans="1:14" x14ac:dyDescent="0.3">
      <c r="A1161" s="1">
        <v>702680</v>
      </c>
      <c r="B1161" s="1" t="s">
        <v>1127</v>
      </c>
      <c r="C1161" s="5" t="s">
        <v>15</v>
      </c>
      <c r="D1161" s="2">
        <v>44517</v>
      </c>
      <c r="E1161" s="2" t="s">
        <v>16</v>
      </c>
      <c r="F1161" s="1">
        <v>24102</v>
      </c>
      <c r="G1161" s="2" t="s">
        <v>669</v>
      </c>
      <c r="H1161" s="1" t="s">
        <v>661</v>
      </c>
      <c r="J1161" s="2" t="s">
        <v>682</v>
      </c>
      <c r="K1161" s="1" t="s">
        <v>666</v>
      </c>
      <c r="L1161" s="1" t="s">
        <v>1390</v>
      </c>
      <c r="M1161" s="1" t="s">
        <v>1391</v>
      </c>
      <c r="N1161" s="1" t="str">
        <f t="shared" si="18"/>
        <v>ALCENO JUNIOR/JOÃO MARCOS</v>
      </c>
    </row>
    <row r="1162" spans="1:14" x14ac:dyDescent="0.3">
      <c r="A1162" s="1">
        <v>704812</v>
      </c>
      <c r="B1162" s="1" t="s">
        <v>1128</v>
      </c>
      <c r="C1162" s="5" t="s">
        <v>15</v>
      </c>
      <c r="D1162" s="2">
        <v>45566</v>
      </c>
      <c r="E1162" s="2" t="s">
        <v>31</v>
      </c>
      <c r="F1162" s="1">
        <v>24201</v>
      </c>
      <c r="G1162" s="2" t="s">
        <v>664</v>
      </c>
      <c r="H1162" s="1" t="s">
        <v>661</v>
      </c>
      <c r="J1162" s="2" t="s">
        <v>665</v>
      </c>
      <c r="K1162" s="1" t="s">
        <v>666</v>
      </c>
      <c r="L1162" s="1" t="s">
        <v>258</v>
      </c>
      <c r="M1162" s="1" t="s">
        <v>667</v>
      </c>
      <c r="N1162" s="1" t="str">
        <f t="shared" si="18"/>
        <v>JOSIEL NEVES</v>
      </c>
    </row>
    <row r="1163" spans="1:14" x14ac:dyDescent="0.3">
      <c r="A1163" s="1">
        <v>704778</v>
      </c>
      <c r="B1163" s="1" t="s">
        <v>1129</v>
      </c>
      <c r="C1163" s="5" t="s">
        <v>15</v>
      </c>
      <c r="D1163" s="2">
        <v>45551</v>
      </c>
      <c r="E1163" s="2" t="s">
        <v>31</v>
      </c>
      <c r="F1163" s="1">
        <v>39601</v>
      </c>
      <c r="G1163" s="2" t="s">
        <v>660</v>
      </c>
      <c r="H1163" s="1" t="s">
        <v>661</v>
      </c>
      <c r="J1163" s="2" t="s">
        <v>684</v>
      </c>
      <c r="K1163" s="1" t="s">
        <v>666</v>
      </c>
      <c r="L1163" s="1" t="s">
        <v>258</v>
      </c>
      <c r="M1163" s="1" t="s">
        <v>1392</v>
      </c>
      <c r="N1163" s="1" t="str">
        <f t="shared" si="18"/>
        <v>ADALTON/JANILSON RORIZ/MARIVALDO</v>
      </c>
    </row>
    <row r="1164" spans="1:14" x14ac:dyDescent="0.3">
      <c r="A1164" s="1">
        <v>702874</v>
      </c>
      <c r="B1164" s="1" t="s">
        <v>1130</v>
      </c>
      <c r="C1164" s="5" t="s">
        <v>15</v>
      </c>
      <c r="D1164" s="2">
        <v>44635</v>
      </c>
      <c r="E1164" s="2" t="s">
        <v>230</v>
      </c>
      <c r="F1164" s="1">
        <v>38102</v>
      </c>
      <c r="G1164" s="2" t="s">
        <v>725</v>
      </c>
      <c r="H1164" s="1" t="s">
        <v>661</v>
      </c>
      <c r="J1164" s="2" t="s">
        <v>726</v>
      </c>
      <c r="K1164" s="1" t="s">
        <v>1372</v>
      </c>
      <c r="L1164" s="1" t="s">
        <v>1372</v>
      </c>
      <c r="M1164" s="1" t="s">
        <v>1373</v>
      </c>
      <c r="N1164" s="1" t="str">
        <f t="shared" si="18"/>
        <v>DENIS ACASSIO</v>
      </c>
    </row>
    <row r="1165" spans="1:14" x14ac:dyDescent="0.3">
      <c r="A1165" s="1">
        <v>704452</v>
      </c>
      <c r="B1165" s="1" t="s">
        <v>1131</v>
      </c>
      <c r="C1165" s="5" t="s">
        <v>15</v>
      </c>
      <c r="D1165" s="2">
        <v>45419</v>
      </c>
      <c r="E1165" s="2" t="s">
        <v>427</v>
      </c>
      <c r="F1165" s="1">
        <v>39601</v>
      </c>
      <c r="G1165" s="2" t="s">
        <v>660</v>
      </c>
      <c r="H1165" s="1" t="s">
        <v>661</v>
      </c>
      <c r="J1165" s="2" t="s">
        <v>662</v>
      </c>
      <c r="K1165" s="1" t="s">
        <v>666</v>
      </c>
      <c r="L1165" s="1" t="s">
        <v>258</v>
      </c>
      <c r="N1165" s="1" t="str">
        <f t="shared" si="18"/>
        <v>MATHEUS ALMEIDA</v>
      </c>
    </row>
    <row r="1166" spans="1:14" x14ac:dyDescent="0.3">
      <c r="A1166" s="1">
        <v>705716</v>
      </c>
      <c r="B1166" s="1" t="s">
        <v>1473</v>
      </c>
      <c r="C1166" s="5" t="s">
        <v>15</v>
      </c>
      <c r="D1166" s="2">
        <v>45972</v>
      </c>
      <c r="E1166" s="2" t="s">
        <v>31</v>
      </c>
      <c r="F1166" s="1">
        <v>39601</v>
      </c>
      <c r="G1166" s="2" t="s">
        <v>660</v>
      </c>
      <c r="H1166" s="1" t="s">
        <v>661</v>
      </c>
      <c r="J1166" s="2" t="s">
        <v>684</v>
      </c>
      <c r="K1166" s="1" t="s">
        <v>666</v>
      </c>
      <c r="L1166" s="1" t="s">
        <v>258</v>
      </c>
      <c r="M1166" s="1" t="s">
        <v>1392</v>
      </c>
      <c r="N1166" s="1" t="str">
        <f t="shared" si="18"/>
        <v>ADALTON/JANILSON RORIZ/MARIVALDO</v>
      </c>
    </row>
    <row r="1167" spans="1:14" x14ac:dyDescent="0.3">
      <c r="A1167" s="1">
        <v>705774</v>
      </c>
      <c r="B1167" s="1" t="s">
        <v>1502</v>
      </c>
      <c r="C1167" s="5" t="s">
        <v>15</v>
      </c>
      <c r="D1167" s="2">
        <v>45993</v>
      </c>
      <c r="E1167" s="2" t="s">
        <v>129</v>
      </c>
      <c r="F1167" s="1">
        <v>31103</v>
      </c>
      <c r="G1167" s="2" t="s">
        <v>718</v>
      </c>
      <c r="H1167" s="1" t="s">
        <v>661</v>
      </c>
      <c r="J1167" s="2" t="s">
        <v>719</v>
      </c>
      <c r="K1167" s="1" t="s">
        <v>132</v>
      </c>
      <c r="L1167" s="1" t="s">
        <v>132</v>
      </c>
      <c r="M1167" s="1" t="s">
        <v>1381</v>
      </c>
      <c r="N1167" s="1" t="str">
        <f t="shared" si="18"/>
        <v>MARCOS OLIVEIRA</v>
      </c>
    </row>
    <row r="1168" spans="1:14" x14ac:dyDescent="0.3">
      <c r="A1168" s="1">
        <v>704209</v>
      </c>
      <c r="B1168" s="1" t="s">
        <v>1132</v>
      </c>
      <c r="C1168" s="5" t="s">
        <v>15</v>
      </c>
      <c r="D1168" s="2">
        <v>45300</v>
      </c>
      <c r="E1168" s="2" t="s">
        <v>31</v>
      </c>
      <c r="F1168" s="1">
        <v>24102</v>
      </c>
      <c r="G1168" s="2" t="s">
        <v>669</v>
      </c>
      <c r="H1168" s="1" t="s">
        <v>661</v>
      </c>
      <c r="J1168" s="2" t="s">
        <v>672</v>
      </c>
      <c r="K1168" s="1" t="s">
        <v>666</v>
      </c>
      <c r="L1168" s="1" t="s">
        <v>1388</v>
      </c>
      <c r="M1168" s="1" t="s">
        <v>1389</v>
      </c>
      <c r="N1168" s="1" t="str">
        <f t="shared" si="18"/>
        <v>JUNIO TEIXEIRA /GEOVANI RORIZ</v>
      </c>
    </row>
    <row r="1169" spans="1:14" x14ac:dyDescent="0.3">
      <c r="A1169" s="1">
        <v>701502</v>
      </c>
      <c r="B1169" s="1" t="s">
        <v>1133</v>
      </c>
      <c r="C1169" s="5" t="s">
        <v>15</v>
      </c>
      <c r="D1169" s="2">
        <v>43907</v>
      </c>
      <c r="E1169" s="2" t="s">
        <v>363</v>
      </c>
      <c r="F1169" s="1">
        <v>24102</v>
      </c>
      <c r="G1169" s="2" t="s">
        <v>669</v>
      </c>
      <c r="H1169" s="1" t="s">
        <v>661</v>
      </c>
      <c r="J1169" s="2" t="s">
        <v>891</v>
      </c>
      <c r="K1169" s="1" t="s">
        <v>666</v>
      </c>
      <c r="N1169" s="1" t="str">
        <f t="shared" si="18"/>
        <v>CRISOSTOMO CASTRO</v>
      </c>
    </row>
    <row r="1170" spans="1:14" x14ac:dyDescent="0.3">
      <c r="A1170" s="1">
        <v>703170</v>
      </c>
      <c r="B1170" s="1" t="s">
        <v>1134</v>
      </c>
      <c r="C1170" s="5" t="s">
        <v>15</v>
      </c>
      <c r="D1170" s="2">
        <v>44732</v>
      </c>
      <c r="E1170" s="2" t="s">
        <v>31</v>
      </c>
      <c r="F1170" s="1">
        <v>39601</v>
      </c>
      <c r="G1170" s="2" t="s">
        <v>660</v>
      </c>
      <c r="H1170" s="1" t="s">
        <v>661</v>
      </c>
      <c r="J1170" s="2" t="s">
        <v>662</v>
      </c>
      <c r="K1170" s="1" t="s">
        <v>666</v>
      </c>
      <c r="L1170" s="1" t="s">
        <v>258</v>
      </c>
      <c r="N1170" s="1" t="str">
        <f t="shared" si="18"/>
        <v>MATHEUS ALMEIDA</v>
      </c>
    </row>
    <row r="1171" spans="1:14" x14ac:dyDescent="0.3">
      <c r="A1171" s="1">
        <v>702910</v>
      </c>
      <c r="B1171" s="1" t="s">
        <v>1135</v>
      </c>
      <c r="C1171" s="5" t="s">
        <v>15</v>
      </c>
      <c r="D1171" s="2">
        <v>44656</v>
      </c>
      <c r="E1171" s="2" t="s">
        <v>60</v>
      </c>
      <c r="F1171" s="1">
        <v>24102</v>
      </c>
      <c r="G1171" s="2" t="s">
        <v>669</v>
      </c>
      <c r="H1171" s="1" t="s">
        <v>661</v>
      </c>
      <c r="J1171" s="2" t="s">
        <v>697</v>
      </c>
      <c r="K1171" s="1" t="s">
        <v>666</v>
      </c>
      <c r="L1171" s="1" t="s">
        <v>1390</v>
      </c>
      <c r="N1171" s="1" t="str">
        <f t="shared" si="18"/>
        <v>JOÃO FILHO</v>
      </c>
    </row>
    <row r="1172" spans="1:14" x14ac:dyDescent="0.3">
      <c r="A1172" s="1">
        <v>703570</v>
      </c>
      <c r="B1172" s="1" t="s">
        <v>1136</v>
      </c>
      <c r="C1172" s="5" t="s">
        <v>15</v>
      </c>
      <c r="D1172" s="2">
        <v>44935</v>
      </c>
      <c r="E1172" s="2" t="s">
        <v>146</v>
      </c>
      <c r="F1172" s="1">
        <v>24102</v>
      </c>
      <c r="G1172" s="2" t="s">
        <v>669</v>
      </c>
      <c r="H1172" s="1" t="s">
        <v>661</v>
      </c>
      <c r="J1172" s="2" t="s">
        <v>682</v>
      </c>
      <c r="K1172" s="1" t="s">
        <v>666</v>
      </c>
      <c r="L1172" s="1" t="s">
        <v>1390</v>
      </c>
      <c r="M1172" s="1" t="s">
        <v>1391</v>
      </c>
      <c r="N1172" s="1" t="str">
        <f t="shared" si="18"/>
        <v>ALCENO JUNIOR/JOÃO MARCOS</v>
      </c>
    </row>
    <row r="1173" spans="1:14" x14ac:dyDescent="0.3">
      <c r="A1173" s="1">
        <v>705083</v>
      </c>
      <c r="B1173" s="1" t="s">
        <v>1137</v>
      </c>
      <c r="C1173" s="5" t="s">
        <v>15</v>
      </c>
      <c r="D1173" s="2">
        <v>45671</v>
      </c>
      <c r="E1173" s="2" t="s">
        <v>31</v>
      </c>
      <c r="F1173" s="1">
        <v>39601</v>
      </c>
      <c r="G1173" s="2" t="s">
        <v>660</v>
      </c>
      <c r="H1173" s="1" t="s">
        <v>661</v>
      </c>
      <c r="J1173" s="2" t="s">
        <v>672</v>
      </c>
      <c r="K1173" s="1" t="s">
        <v>666</v>
      </c>
      <c r="L1173" s="1" t="s">
        <v>1388</v>
      </c>
      <c r="M1173" s="1" t="s">
        <v>1389</v>
      </c>
      <c r="N1173" s="1" t="str">
        <f t="shared" si="18"/>
        <v>JUNIO TEIXEIRA /GEOVANI RORIZ</v>
      </c>
    </row>
    <row r="1174" spans="1:14" x14ac:dyDescent="0.3">
      <c r="A1174" s="1">
        <v>703652</v>
      </c>
      <c r="B1174" s="1" t="s">
        <v>1139</v>
      </c>
      <c r="C1174" s="5" t="s">
        <v>15</v>
      </c>
      <c r="D1174" s="2">
        <v>44998</v>
      </c>
      <c r="E1174" s="2" t="s">
        <v>31</v>
      </c>
      <c r="F1174" s="1">
        <v>24102</v>
      </c>
      <c r="G1174" s="2" t="s">
        <v>669</v>
      </c>
      <c r="H1174" s="1" t="s">
        <v>661</v>
      </c>
      <c r="J1174" s="2" t="s">
        <v>680</v>
      </c>
      <c r="K1174" s="1" t="s">
        <v>666</v>
      </c>
      <c r="L1174" s="1" t="s">
        <v>1388</v>
      </c>
      <c r="M1174" s="1" t="s">
        <v>1389</v>
      </c>
      <c r="N1174" s="1" t="str">
        <f t="shared" si="18"/>
        <v>JUNIO TEIXEIRA /GEOVANI RORIZ</v>
      </c>
    </row>
  </sheetData>
  <autoFilter ref="A1:N1174" xr:uid="{B8EBD749-8800-4749-8460-6737E7C4547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D5AA-1F3A-4B73-8269-FF2355963435}">
  <dimension ref="A1:N1204"/>
  <sheetViews>
    <sheetView showGridLines="0" workbookViewId="0">
      <pane ySplit="1" topLeftCell="A2" activePane="bottomLeft" state="frozen"/>
      <selection pane="bottomLeft" activeCell="N4" sqref="N4"/>
    </sheetView>
  </sheetViews>
  <sheetFormatPr defaultColWidth="13.54296875" defaultRowHeight="13" x14ac:dyDescent="0.3"/>
  <cols>
    <col min="1" max="1" width="13.08984375" style="1" bestFit="1" customWidth="1"/>
    <col min="2" max="2" width="39.08984375" style="1" customWidth="1"/>
    <col min="3" max="3" width="20" style="1" bestFit="1" customWidth="1"/>
    <col min="4" max="4" width="17.26953125" style="1" bestFit="1" customWidth="1"/>
    <col min="5" max="5" width="31.90625" style="1" bestFit="1" customWidth="1"/>
    <col min="6" max="6" width="16.08984375" style="1" bestFit="1" customWidth="1"/>
    <col min="7" max="7" width="37.453125" style="1" bestFit="1" customWidth="1"/>
    <col min="8" max="8" width="38.453125" style="1" bestFit="1" customWidth="1"/>
    <col min="9" max="9" width="20.7265625" style="1" bestFit="1" customWidth="1"/>
    <col min="10" max="10" width="24.6328125" style="1" bestFit="1" customWidth="1"/>
    <col min="11" max="11" width="17.81640625" style="1" hidden="1" customWidth="1"/>
    <col min="12" max="12" width="18.81640625" style="1" hidden="1" customWidth="1"/>
    <col min="13" max="13" width="30.6328125" style="1" hidden="1" customWidth="1"/>
    <col min="14" max="14" width="40.81640625" style="1" bestFit="1" customWidth="1"/>
    <col min="15" max="16384" width="13.54296875" style="1"/>
  </cols>
  <sheetData>
    <row r="1" spans="1:14" s="3" customFormat="1" ht="17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>
        <v>2043</v>
      </c>
      <c r="B2" s="1" t="s">
        <v>14</v>
      </c>
      <c r="C2" s="5" t="s">
        <v>15</v>
      </c>
      <c r="D2" s="2">
        <v>40673</v>
      </c>
      <c r="E2" s="1" t="s">
        <v>16</v>
      </c>
      <c r="F2" s="1">
        <v>52104</v>
      </c>
      <c r="G2" s="1" t="s">
        <v>17</v>
      </c>
      <c r="H2" s="1" t="s">
        <v>18</v>
      </c>
      <c r="J2" s="1" t="s">
        <v>19</v>
      </c>
      <c r="K2" s="1" t="str">
        <f>VLOOKUP(J2,'[1]Base SCA 02 2026'!V:X,3,0)</f>
        <v>JOSÉ GOUVEA</v>
      </c>
      <c r="L2" s="1" t="str">
        <f>VLOOKUP(J2,'[1]Base SCA 02 2026'!V:Y,4,0)</f>
        <v>ALEX DIAS</v>
      </c>
      <c r="N2" s="1" t="str">
        <f>IF(M2&lt;&gt;"", M2, IF(L2&lt;&gt;"", L2, K2))</f>
        <v>ALEX DIAS</v>
      </c>
    </row>
    <row r="3" spans="1:14" x14ac:dyDescent="0.3">
      <c r="A3" s="1">
        <v>702424</v>
      </c>
      <c r="B3" s="1" t="s">
        <v>21</v>
      </c>
      <c r="C3" s="5" t="s">
        <v>15</v>
      </c>
      <c r="D3" s="2">
        <v>44390</v>
      </c>
      <c r="E3" s="1" t="s">
        <v>109</v>
      </c>
      <c r="F3" s="1">
        <v>32101</v>
      </c>
      <c r="G3" s="1" t="s">
        <v>23</v>
      </c>
      <c r="H3" s="1" t="s">
        <v>18</v>
      </c>
      <c r="J3" s="1" t="s">
        <v>24</v>
      </c>
      <c r="K3" s="1" t="str">
        <f>VLOOKUP(J3,'[1]Base SCA 02 2026'!V:X,3,0)</f>
        <v>RAFAEL XAVIER</v>
      </c>
      <c r="L3" s="1" t="str">
        <f>VLOOKUP(J3,'[1]Base SCA 02 2026'!V:Y,4,0)</f>
        <v>FERNANDO GUILHERME</v>
      </c>
      <c r="M3" s="1" t="str">
        <f>VLOOKUP(J3,'[1]Base SCA 02 2026'!V:Z,5,0)</f>
        <v>JUNIO COSTA</v>
      </c>
      <c r="N3" s="1" t="str">
        <f t="shared" ref="N3:N66" si="0">IF(M3&lt;&gt;"", M3, IF(L3&lt;&gt;"", L3, K3))</f>
        <v>JUNIO COSTA</v>
      </c>
    </row>
    <row r="4" spans="1:14" x14ac:dyDescent="0.3">
      <c r="A4" s="1">
        <v>705209</v>
      </c>
      <c r="B4" s="1" t="s">
        <v>1152</v>
      </c>
      <c r="C4" s="5" t="s">
        <v>15</v>
      </c>
      <c r="D4" s="2">
        <v>45720</v>
      </c>
      <c r="E4" s="1" t="s">
        <v>138</v>
      </c>
      <c r="F4" s="1">
        <v>22102</v>
      </c>
      <c r="G4" s="1" t="s">
        <v>68</v>
      </c>
      <c r="H4" s="1" t="s">
        <v>18</v>
      </c>
      <c r="J4" s="1" t="s">
        <v>142</v>
      </c>
      <c r="K4" s="1" t="str">
        <f>VLOOKUP(J4,'[1]Base SCA 02 2026'!V:X,3,0)</f>
        <v>PAULO BONIFÁCIO</v>
      </c>
      <c r="L4" s="1" t="str">
        <f>VLOOKUP(J4,'[1]Base SCA 02 2026'!V:Y,4,0)</f>
        <v>MAURICIO SANTOS</v>
      </c>
      <c r="M4" s="1" t="str">
        <f>VLOOKUP(J4,'[1]Base SCA 02 2026'!V:Z,5,0)</f>
        <v>EDIS MOREIRA</v>
      </c>
      <c r="N4" s="1" t="str">
        <f t="shared" si="0"/>
        <v>EDIS MOREIRA</v>
      </c>
    </row>
    <row r="5" spans="1:14" x14ac:dyDescent="0.3">
      <c r="A5" s="1">
        <v>703309</v>
      </c>
      <c r="B5" s="1" t="s">
        <v>26</v>
      </c>
      <c r="C5" s="5" t="s">
        <v>15</v>
      </c>
      <c r="D5" s="2">
        <v>44823</v>
      </c>
      <c r="E5" s="1" t="s">
        <v>27</v>
      </c>
      <c r="F5" s="1">
        <v>39501</v>
      </c>
      <c r="G5" s="1" t="s">
        <v>28</v>
      </c>
      <c r="H5" s="1" t="s">
        <v>18</v>
      </c>
      <c r="J5" s="1" t="s">
        <v>29</v>
      </c>
      <c r="K5" s="1" t="str">
        <f>VLOOKUP(J5,'[1]Base SCA 02 2026'!V:X,3,0)</f>
        <v>JOSÉ GOUVEA</v>
      </c>
      <c r="L5" s="1" t="str">
        <f>VLOOKUP(J5,'[1]Base SCA 02 2026'!V:Y,4,0)</f>
        <v>JOSÉ GOUVEA</v>
      </c>
      <c r="N5" s="1" t="str">
        <f t="shared" si="0"/>
        <v>JOSÉ GOUVEA</v>
      </c>
    </row>
    <row r="6" spans="1:14" x14ac:dyDescent="0.3">
      <c r="A6" s="1">
        <v>705641</v>
      </c>
      <c r="B6" s="1" t="s">
        <v>1393</v>
      </c>
      <c r="C6" s="5" t="s">
        <v>15</v>
      </c>
      <c r="D6" s="2">
        <v>45937</v>
      </c>
      <c r="E6" s="1" t="s">
        <v>31</v>
      </c>
      <c r="F6" s="1">
        <v>51219</v>
      </c>
      <c r="G6" s="1" t="s">
        <v>61</v>
      </c>
      <c r="H6" s="1" t="s">
        <v>18</v>
      </c>
      <c r="J6" s="1" t="s">
        <v>19</v>
      </c>
      <c r="K6" s="1" t="str">
        <f>VLOOKUP(J6,'[1]Base SCA 02 2026'!V:X,3,0)</f>
        <v>JOSÉ GOUVEA</v>
      </c>
      <c r="L6" s="1" t="str">
        <f>VLOOKUP(J6,'[1]Base SCA 02 2026'!V:Y,4,0)</f>
        <v>ALEX DIAS</v>
      </c>
      <c r="N6" s="1" t="str">
        <f t="shared" si="0"/>
        <v>ALEX DIAS</v>
      </c>
    </row>
    <row r="7" spans="1:14" x14ac:dyDescent="0.3">
      <c r="A7" s="1">
        <v>704943</v>
      </c>
      <c r="B7" s="1" t="s">
        <v>30</v>
      </c>
      <c r="C7" s="5" t="s">
        <v>15</v>
      </c>
      <c r="D7" s="2">
        <v>45607</v>
      </c>
      <c r="E7" s="1" t="s">
        <v>31</v>
      </c>
      <c r="F7" s="1">
        <v>52202</v>
      </c>
      <c r="G7" s="1" t="s">
        <v>32</v>
      </c>
      <c r="H7" s="1" t="s">
        <v>18</v>
      </c>
      <c r="J7" s="1" t="s">
        <v>33</v>
      </c>
      <c r="K7" s="1" t="str">
        <f>VLOOKUP(J7,'[1]Base SCA 02 2026'!V:X,3,0)</f>
        <v>JOSÉ GOUVEA</v>
      </c>
      <c r="L7" s="1" t="str">
        <f>VLOOKUP(J7,'[1]Base SCA 02 2026'!V:Y,4,0)</f>
        <v>ALEX DIAS</v>
      </c>
      <c r="N7" s="1" t="str">
        <f t="shared" si="0"/>
        <v>ALEX DIAS</v>
      </c>
    </row>
    <row r="8" spans="1:14" x14ac:dyDescent="0.3">
      <c r="A8" s="1">
        <v>101677</v>
      </c>
      <c r="B8" s="1" t="s">
        <v>34</v>
      </c>
      <c r="C8" s="5" t="s">
        <v>15</v>
      </c>
      <c r="D8" s="2">
        <v>41401</v>
      </c>
      <c r="E8" s="1" t="s">
        <v>31</v>
      </c>
      <c r="F8" s="1">
        <v>38101</v>
      </c>
      <c r="G8" s="1" t="s">
        <v>35</v>
      </c>
      <c r="H8" s="1" t="s">
        <v>18</v>
      </c>
      <c r="J8" s="1" t="s">
        <v>36</v>
      </c>
      <c r="K8" s="1" t="str">
        <f>VLOOKUP(J8,'[1]Base SCA 02 2026'!V:X,3,0)</f>
        <v xml:space="preserve">LEIDJANE MARTINS </v>
      </c>
      <c r="L8" s="1" t="str">
        <f>VLOOKUP(J8,'[1]Base SCA 02 2026'!V:Y,4,0)</f>
        <v xml:space="preserve">LEIDJANE MARTINS </v>
      </c>
      <c r="M8" s="1" t="str">
        <f>VLOOKUP(J8,'[1]Base SCA 02 2026'!V:Z,5,0)</f>
        <v>DENIS ACASSIO</v>
      </c>
      <c r="N8" s="1" t="str">
        <f t="shared" si="0"/>
        <v>DENIS ACASSIO</v>
      </c>
    </row>
    <row r="9" spans="1:14" x14ac:dyDescent="0.3">
      <c r="A9" s="1">
        <v>705689</v>
      </c>
      <c r="B9" s="1" t="s">
        <v>1441</v>
      </c>
      <c r="C9" s="5" t="s">
        <v>15</v>
      </c>
      <c r="D9" s="2">
        <v>45971</v>
      </c>
      <c r="E9" s="1" t="s">
        <v>109</v>
      </c>
      <c r="F9" s="1">
        <v>32101</v>
      </c>
      <c r="G9" s="1" t="s">
        <v>23</v>
      </c>
      <c r="H9" s="1" t="s">
        <v>18</v>
      </c>
      <c r="J9" s="1" t="s">
        <v>24</v>
      </c>
      <c r="K9" s="1" t="str">
        <f>VLOOKUP(J9,'[1]Base SCA 02 2026'!V:X,3,0)</f>
        <v>RAFAEL XAVIER</v>
      </c>
      <c r="L9" s="1" t="str">
        <f>VLOOKUP(J9,'[1]Base SCA 02 2026'!V:Y,4,0)</f>
        <v>FERNANDO GUILHERME</v>
      </c>
      <c r="M9" s="1" t="str">
        <f>VLOOKUP(J9,'[1]Base SCA 02 2026'!V:Z,5,0)</f>
        <v>JUNIO COSTA</v>
      </c>
      <c r="N9" s="1" t="str">
        <f t="shared" si="0"/>
        <v>JUNIO COSTA</v>
      </c>
    </row>
    <row r="10" spans="1:14" x14ac:dyDescent="0.3">
      <c r="A10" s="1">
        <v>702985</v>
      </c>
      <c r="B10" s="1" t="s">
        <v>38</v>
      </c>
      <c r="C10" s="5" t="s">
        <v>15</v>
      </c>
      <c r="D10" s="2">
        <v>44691</v>
      </c>
      <c r="E10" s="1" t="s">
        <v>1345</v>
      </c>
      <c r="F10" s="1">
        <v>32101</v>
      </c>
      <c r="G10" s="1" t="s">
        <v>23</v>
      </c>
      <c r="H10" s="1" t="s">
        <v>18</v>
      </c>
      <c r="J10" s="1" t="s">
        <v>24</v>
      </c>
      <c r="K10" s="1" t="str">
        <f>VLOOKUP(J10,'[1]Base SCA 02 2026'!V:X,3,0)</f>
        <v>RAFAEL XAVIER</v>
      </c>
      <c r="L10" s="1" t="str">
        <f>VLOOKUP(J10,'[1]Base SCA 02 2026'!V:Y,4,0)</f>
        <v>FERNANDO GUILHERME</v>
      </c>
      <c r="M10" s="1" t="str">
        <f>VLOOKUP(J10,'[1]Base SCA 02 2026'!V:Z,5,0)</f>
        <v>JUNIO COSTA</v>
      </c>
      <c r="N10" s="1" t="str">
        <f t="shared" si="0"/>
        <v>JUNIO COSTA</v>
      </c>
    </row>
    <row r="11" spans="1:14" x14ac:dyDescent="0.3">
      <c r="A11" s="1">
        <v>703167</v>
      </c>
      <c r="B11" s="1" t="s">
        <v>39</v>
      </c>
      <c r="C11" s="5" t="s">
        <v>15</v>
      </c>
      <c r="D11" s="2">
        <v>44732</v>
      </c>
      <c r="E11" s="1" t="s">
        <v>138</v>
      </c>
      <c r="F11" s="1">
        <v>51219</v>
      </c>
      <c r="G11" s="1" t="s">
        <v>61</v>
      </c>
      <c r="H11" s="1" t="s">
        <v>18</v>
      </c>
      <c r="J11" s="1" t="s">
        <v>19</v>
      </c>
      <c r="K11" s="1" t="str">
        <f>VLOOKUP(J11,'[1]Base SCA 02 2026'!V:X,3,0)</f>
        <v>JOSÉ GOUVEA</v>
      </c>
      <c r="L11" s="1" t="str">
        <f>VLOOKUP(J11,'[1]Base SCA 02 2026'!V:Y,4,0)</f>
        <v>ALEX DIAS</v>
      </c>
      <c r="N11" s="1" t="str">
        <f t="shared" si="0"/>
        <v>ALEX DIAS</v>
      </c>
    </row>
    <row r="12" spans="1:14" x14ac:dyDescent="0.3">
      <c r="A12" s="1">
        <v>100320</v>
      </c>
      <c r="B12" s="1" t="s">
        <v>41</v>
      </c>
      <c r="C12" s="5" t="s">
        <v>15</v>
      </c>
      <c r="D12" s="2">
        <v>41792</v>
      </c>
      <c r="E12" s="1" t="s">
        <v>42</v>
      </c>
      <c r="F12" s="1">
        <v>34101</v>
      </c>
      <c r="G12" s="1" t="s">
        <v>43</v>
      </c>
      <c r="H12" s="1" t="s">
        <v>18</v>
      </c>
      <c r="J12" s="1" t="s">
        <v>65</v>
      </c>
      <c r="K12" s="1" t="str">
        <f>VLOOKUP(J12,'[1]Base SCA 02 2026'!V:X,3,0)</f>
        <v>RAFAEL XAVIER</v>
      </c>
      <c r="L12" s="1" t="str">
        <f>VLOOKUP(J12,'[1]Base SCA 02 2026'!V:Y,4,0)</f>
        <v>IVONEI CAMPOS</v>
      </c>
      <c r="M12" s="1" t="str">
        <f>VLOOKUP(J12,'[1]Base SCA 02 2026'!V:Z,5,0)</f>
        <v>ANDRÉ CUBA</v>
      </c>
      <c r="N12" s="1" t="str">
        <f t="shared" si="0"/>
        <v>ANDRÉ CUBA</v>
      </c>
    </row>
    <row r="13" spans="1:14" x14ac:dyDescent="0.3">
      <c r="A13" s="1">
        <v>705377</v>
      </c>
      <c r="B13" s="1" t="s">
        <v>1212</v>
      </c>
      <c r="C13" s="5" t="s">
        <v>15</v>
      </c>
      <c r="D13" s="2">
        <v>45784</v>
      </c>
      <c r="E13" s="1" t="s">
        <v>31</v>
      </c>
      <c r="F13" s="1">
        <v>39301</v>
      </c>
      <c r="G13" s="1" t="s">
        <v>73</v>
      </c>
      <c r="H13" s="1" t="s">
        <v>18</v>
      </c>
      <c r="J13" s="1" t="s">
        <v>74</v>
      </c>
      <c r="K13" s="1" t="str">
        <f>VLOOKUP(J13,'[1]Base SCA 02 2026'!V:X,3,0)</f>
        <v>PAULO BONIFÁCIO</v>
      </c>
      <c r="L13" s="1" t="str">
        <f>VLOOKUP(J13,'[1]Base SCA 02 2026'!V:Y,4,0)</f>
        <v>ALDAIR BORGES</v>
      </c>
      <c r="M13" s="1" t="str">
        <f>VLOOKUP(J13,'[1]Base SCA 02 2026'!V:Z,5,0)</f>
        <v>ISAC NONATO</v>
      </c>
      <c r="N13" s="1" t="str">
        <f t="shared" si="0"/>
        <v>ISAC NONATO</v>
      </c>
    </row>
    <row r="14" spans="1:14" x14ac:dyDescent="0.3">
      <c r="A14" s="1">
        <v>705797</v>
      </c>
      <c r="B14" s="1" t="s">
        <v>1510</v>
      </c>
      <c r="C14" s="5" t="s">
        <v>92</v>
      </c>
      <c r="D14" s="2">
        <v>46029</v>
      </c>
      <c r="E14" s="1" t="s">
        <v>31</v>
      </c>
      <c r="F14" s="1">
        <v>52202</v>
      </c>
      <c r="G14" s="1" t="s">
        <v>32</v>
      </c>
      <c r="H14" s="1" t="s">
        <v>18</v>
      </c>
      <c r="I14" s="2">
        <v>46054</v>
      </c>
      <c r="J14" s="1" t="s">
        <v>33</v>
      </c>
      <c r="K14" s="1" t="str">
        <f>VLOOKUP(J14,'[1]Base SCA 02 2026'!V:X,3,0)</f>
        <v>JOSÉ GOUVEA</v>
      </c>
      <c r="L14" s="1" t="str">
        <f>VLOOKUP(J14,'[1]Base SCA 02 2026'!V:Y,4,0)</f>
        <v>ALEX DIAS</v>
      </c>
      <c r="N14" s="1" t="str">
        <f t="shared" si="0"/>
        <v>ALEX DIAS</v>
      </c>
    </row>
    <row r="15" spans="1:14" x14ac:dyDescent="0.3">
      <c r="A15" s="1">
        <v>705428</v>
      </c>
      <c r="B15" s="1" t="s">
        <v>1236</v>
      </c>
      <c r="C15" s="5" t="s">
        <v>15</v>
      </c>
      <c r="D15" s="2">
        <v>45797</v>
      </c>
      <c r="E15" s="1" t="s">
        <v>31</v>
      </c>
      <c r="F15" s="1">
        <v>22102</v>
      </c>
      <c r="G15" s="1" t="s">
        <v>68</v>
      </c>
      <c r="H15" s="1" t="s">
        <v>18</v>
      </c>
      <c r="J15" s="1" t="s">
        <v>81</v>
      </c>
      <c r="K15" s="1" t="str">
        <f>VLOOKUP(J15,'[1]Base SCA 02 2026'!V:X,3,0)</f>
        <v>PAULO BONIFÁCIO</v>
      </c>
      <c r="L15" s="1" t="str">
        <f>VLOOKUP(J15,'[1]Base SCA 02 2026'!V:Y,4,0)</f>
        <v>MAURICIO SANTOS</v>
      </c>
      <c r="M15" s="1" t="str">
        <f>VLOOKUP(J15,'[1]Base SCA 02 2026'!V:Z,5,0)</f>
        <v xml:space="preserve">EDSON/MARCELO LIMA </v>
      </c>
      <c r="N15" s="1" t="str">
        <f t="shared" si="0"/>
        <v xml:space="preserve">EDSON/MARCELO LIMA </v>
      </c>
    </row>
    <row r="16" spans="1:14" x14ac:dyDescent="0.3">
      <c r="A16" s="1">
        <v>702023</v>
      </c>
      <c r="B16" s="1" t="s">
        <v>51</v>
      </c>
      <c r="C16" s="5" t="s">
        <v>15</v>
      </c>
      <c r="D16" s="2">
        <v>44249</v>
      </c>
      <c r="E16" s="1" t="s">
        <v>326</v>
      </c>
      <c r="F16" s="1">
        <v>32101</v>
      </c>
      <c r="G16" s="1" t="s">
        <v>23</v>
      </c>
      <c r="H16" s="1" t="s">
        <v>18</v>
      </c>
      <c r="J16" s="1" t="s">
        <v>24</v>
      </c>
      <c r="K16" s="1" t="str">
        <f>VLOOKUP(J16,'[1]Base SCA 02 2026'!V:X,3,0)</f>
        <v>RAFAEL XAVIER</v>
      </c>
      <c r="L16" s="1" t="str">
        <f>VLOOKUP(J16,'[1]Base SCA 02 2026'!V:Y,4,0)</f>
        <v>FERNANDO GUILHERME</v>
      </c>
      <c r="M16" s="1" t="str">
        <f>VLOOKUP(J16,'[1]Base SCA 02 2026'!V:Z,5,0)</f>
        <v>JUNIO COSTA</v>
      </c>
      <c r="N16" s="1" t="str">
        <f t="shared" si="0"/>
        <v>JUNIO COSTA</v>
      </c>
    </row>
    <row r="17" spans="1:14" x14ac:dyDescent="0.3">
      <c r="A17" s="1">
        <v>704650</v>
      </c>
      <c r="B17" s="1" t="s">
        <v>53</v>
      </c>
      <c r="C17" s="5" t="s">
        <v>15</v>
      </c>
      <c r="D17" s="2">
        <v>45476</v>
      </c>
      <c r="E17" s="1" t="s">
        <v>40</v>
      </c>
      <c r="F17" s="1">
        <v>52104</v>
      </c>
      <c r="G17" s="1" t="s">
        <v>17</v>
      </c>
      <c r="H17" s="1" t="s">
        <v>18</v>
      </c>
      <c r="J17" s="1" t="s">
        <v>19</v>
      </c>
      <c r="K17" s="1" t="str">
        <f>VLOOKUP(J17,'[1]Base SCA 02 2026'!V:X,3,0)</f>
        <v>JOSÉ GOUVEA</v>
      </c>
      <c r="L17" s="1" t="str">
        <f>VLOOKUP(J17,'[1]Base SCA 02 2026'!V:Y,4,0)</f>
        <v>ALEX DIAS</v>
      </c>
      <c r="N17" s="1" t="str">
        <f t="shared" si="0"/>
        <v>ALEX DIAS</v>
      </c>
    </row>
    <row r="18" spans="1:14" x14ac:dyDescent="0.3">
      <c r="A18" s="1">
        <v>637</v>
      </c>
      <c r="B18" s="1" t="s">
        <v>54</v>
      </c>
      <c r="C18" s="5" t="s">
        <v>15</v>
      </c>
      <c r="D18" s="2">
        <v>39966</v>
      </c>
      <c r="E18" s="1" t="s">
        <v>55</v>
      </c>
      <c r="F18" s="1">
        <v>39304</v>
      </c>
      <c r="G18" s="1" t="s">
        <v>56</v>
      </c>
      <c r="H18" s="1" t="s">
        <v>18</v>
      </c>
      <c r="J18" s="1" t="s">
        <v>57</v>
      </c>
      <c r="K18" s="1" t="str">
        <f>VLOOKUP(J18,'[1]Base SCA 02 2026'!V:X,3,0)</f>
        <v>PAULO BONIFÁCIO</v>
      </c>
      <c r="L18" s="1" t="str">
        <f>VLOOKUP(J18,'[1]Base SCA 02 2026'!V:Y,4,0)</f>
        <v>ALDAIR BORGES</v>
      </c>
      <c r="M18" s="1" t="str">
        <f>VLOOKUP(J18,'[1]Base SCA 02 2026'!V:Z,5,0)</f>
        <v>WARLEY RIBEIRO</v>
      </c>
      <c r="N18" s="1" t="str">
        <f t="shared" si="0"/>
        <v>WARLEY RIBEIRO</v>
      </c>
    </row>
    <row r="19" spans="1:14" x14ac:dyDescent="0.3">
      <c r="A19" s="1">
        <v>704972</v>
      </c>
      <c r="B19" s="1" t="s">
        <v>58</v>
      </c>
      <c r="C19" s="5" t="s">
        <v>15</v>
      </c>
      <c r="D19" s="2">
        <v>45629</v>
      </c>
      <c r="E19" s="1" t="s">
        <v>31</v>
      </c>
      <c r="F19" s="1">
        <v>52104</v>
      </c>
      <c r="G19" s="1" t="s">
        <v>17</v>
      </c>
      <c r="H19" s="1" t="s">
        <v>18</v>
      </c>
      <c r="J19" s="1" t="s">
        <v>19</v>
      </c>
      <c r="K19" s="1" t="str">
        <f>VLOOKUP(J19,'[1]Base SCA 02 2026'!V:X,3,0)</f>
        <v>JOSÉ GOUVEA</v>
      </c>
      <c r="L19" s="1" t="str">
        <f>VLOOKUP(J19,'[1]Base SCA 02 2026'!V:Y,4,0)</f>
        <v>ALEX DIAS</v>
      </c>
      <c r="N19" s="1" t="str">
        <f t="shared" si="0"/>
        <v>ALEX DIAS</v>
      </c>
    </row>
    <row r="20" spans="1:14" x14ac:dyDescent="0.3">
      <c r="A20" s="1">
        <v>105221</v>
      </c>
      <c r="B20" s="1" t="s">
        <v>59</v>
      </c>
      <c r="C20" s="5" t="s">
        <v>15</v>
      </c>
      <c r="D20" s="2">
        <v>42632</v>
      </c>
      <c r="E20" s="1" t="s">
        <v>166</v>
      </c>
      <c r="F20" s="1">
        <v>51219</v>
      </c>
      <c r="G20" s="1" t="s">
        <v>61</v>
      </c>
      <c r="H20" s="1" t="s">
        <v>18</v>
      </c>
      <c r="J20" s="1" t="s">
        <v>37</v>
      </c>
      <c r="K20" s="1" t="str">
        <f>VLOOKUP(J20,'[1]Base SCA 02 2026'!V:X,3,0)</f>
        <v>JOSÉ GOUVEA</v>
      </c>
      <c r="L20" s="1" t="str">
        <f>VLOOKUP(J20,'[1]Base SCA 02 2026'!V:Y,4,0)</f>
        <v>ALEX DIAS</v>
      </c>
      <c r="N20" s="1" t="str">
        <f t="shared" si="0"/>
        <v>ALEX DIAS</v>
      </c>
    </row>
    <row r="21" spans="1:14" x14ac:dyDescent="0.3">
      <c r="A21" s="1">
        <v>704155</v>
      </c>
      <c r="B21" s="1" t="s">
        <v>62</v>
      </c>
      <c r="C21" s="5" t="s">
        <v>15</v>
      </c>
      <c r="D21" s="2">
        <v>45264</v>
      </c>
      <c r="E21" s="1" t="s">
        <v>31</v>
      </c>
      <c r="F21" s="1">
        <v>52104</v>
      </c>
      <c r="G21" s="1" t="s">
        <v>17</v>
      </c>
      <c r="H21" s="1" t="s">
        <v>18</v>
      </c>
      <c r="J21" s="1" t="s">
        <v>19</v>
      </c>
      <c r="K21" s="1" t="str">
        <f>VLOOKUP(J21,'[1]Base SCA 02 2026'!V:X,3,0)</f>
        <v>JOSÉ GOUVEA</v>
      </c>
      <c r="L21" s="1" t="str">
        <f>VLOOKUP(J21,'[1]Base SCA 02 2026'!V:Y,4,0)</f>
        <v>ALEX DIAS</v>
      </c>
      <c r="N21" s="1" t="str">
        <f t="shared" si="0"/>
        <v>ALEX DIAS</v>
      </c>
    </row>
    <row r="22" spans="1:14" x14ac:dyDescent="0.3">
      <c r="A22" s="1">
        <v>700244</v>
      </c>
      <c r="B22" s="1" t="s">
        <v>63</v>
      </c>
      <c r="C22" s="5" t="s">
        <v>15</v>
      </c>
      <c r="D22" s="2">
        <v>43262</v>
      </c>
      <c r="E22" s="1" t="s">
        <v>52</v>
      </c>
      <c r="F22" s="1">
        <v>33301</v>
      </c>
      <c r="G22" s="1" t="s">
        <v>64</v>
      </c>
      <c r="H22" s="1" t="s">
        <v>18</v>
      </c>
      <c r="J22" s="1" t="s">
        <v>65</v>
      </c>
      <c r="K22" s="1" t="str">
        <f>VLOOKUP(J22,'[1]Base SCA 02 2026'!V:X,3,0)</f>
        <v>RAFAEL XAVIER</v>
      </c>
      <c r="L22" s="1" t="str">
        <f>VLOOKUP(J22,'[1]Base SCA 02 2026'!V:Y,4,0)</f>
        <v>IVONEI CAMPOS</v>
      </c>
      <c r="M22" s="1" t="str">
        <f>VLOOKUP(J22,'[1]Base SCA 02 2026'!V:Z,5,0)</f>
        <v>ANDRÉ CUBA</v>
      </c>
      <c r="N22" s="1" t="str">
        <f t="shared" si="0"/>
        <v>ANDRÉ CUBA</v>
      </c>
    </row>
    <row r="23" spans="1:14" x14ac:dyDescent="0.3">
      <c r="A23" s="1">
        <v>703533</v>
      </c>
      <c r="B23" s="1" t="s">
        <v>66</v>
      </c>
      <c r="C23" s="5" t="s">
        <v>15</v>
      </c>
      <c r="D23" s="2">
        <v>44907</v>
      </c>
      <c r="E23" s="1" t="s">
        <v>67</v>
      </c>
      <c r="F23" s="1">
        <v>22102</v>
      </c>
      <c r="G23" s="1" t="s">
        <v>68</v>
      </c>
      <c r="H23" s="1" t="s">
        <v>18</v>
      </c>
      <c r="J23" s="1" t="s">
        <v>69</v>
      </c>
      <c r="K23" s="1" t="str">
        <f>VLOOKUP(J23,'[1]Base SCA 02 2026'!V:X,3,0)</f>
        <v>PAULO BONIFÁCIO</v>
      </c>
      <c r="L23" s="1" t="str">
        <f>VLOOKUP(J23,'[1]Base SCA 02 2026'!V:Y,4,0)</f>
        <v xml:space="preserve">JOÃO KOMURA </v>
      </c>
      <c r="N23" s="1" t="str">
        <f t="shared" si="0"/>
        <v xml:space="preserve">JOÃO KOMURA </v>
      </c>
    </row>
    <row r="24" spans="1:14" x14ac:dyDescent="0.3">
      <c r="A24" s="1">
        <v>101789</v>
      </c>
      <c r="B24" s="1" t="s">
        <v>70</v>
      </c>
      <c r="C24" s="5" t="s">
        <v>15</v>
      </c>
      <c r="D24" s="2">
        <v>43080</v>
      </c>
      <c r="E24" s="1" t="s">
        <v>71</v>
      </c>
      <c r="F24" s="1">
        <v>25201</v>
      </c>
      <c r="G24" s="1" t="s">
        <v>89</v>
      </c>
      <c r="H24" s="1" t="s">
        <v>18</v>
      </c>
      <c r="J24" s="1" t="s">
        <v>19</v>
      </c>
      <c r="K24" s="1" t="str">
        <f>VLOOKUP(J24,'[1]Base SCA 02 2026'!V:X,3,0)</f>
        <v>JOSÉ GOUVEA</v>
      </c>
      <c r="L24" s="1" t="str">
        <f>VLOOKUP(J24,'[1]Base SCA 02 2026'!V:Y,4,0)</f>
        <v>ALEX DIAS</v>
      </c>
      <c r="N24" s="1" t="str">
        <f t="shared" si="0"/>
        <v>ALEX DIAS</v>
      </c>
    </row>
    <row r="25" spans="1:14" x14ac:dyDescent="0.3">
      <c r="A25" s="1">
        <v>704884</v>
      </c>
      <c r="B25" s="1" t="s">
        <v>76</v>
      </c>
      <c r="C25" s="5" t="s">
        <v>15</v>
      </c>
      <c r="D25" s="2">
        <v>45586</v>
      </c>
      <c r="E25" s="1" t="s">
        <v>77</v>
      </c>
      <c r="F25" s="1">
        <v>38107</v>
      </c>
      <c r="G25" s="1" t="s">
        <v>1503</v>
      </c>
      <c r="H25" s="1" t="s">
        <v>18</v>
      </c>
      <c r="J25" s="1" t="s">
        <v>78</v>
      </c>
      <c r="K25" s="1" t="str">
        <f>VLOOKUP(J25,'[1]Base SCA 02 2026'!V:X,3,0)</f>
        <v xml:space="preserve">LEIDJANE MARTINS </v>
      </c>
      <c r="L25" s="1" t="str">
        <f>VLOOKUP(J25,'[1]Base SCA 02 2026'!V:Y,4,0)</f>
        <v xml:space="preserve">LEIDJANE MARTINS </v>
      </c>
      <c r="N25" s="1" t="str">
        <f t="shared" si="0"/>
        <v xml:space="preserve">LEIDJANE MARTINS </v>
      </c>
    </row>
    <row r="26" spans="1:14" x14ac:dyDescent="0.3">
      <c r="A26" s="1">
        <v>704497</v>
      </c>
      <c r="B26" s="1" t="s">
        <v>79</v>
      </c>
      <c r="C26" s="5" t="s">
        <v>92</v>
      </c>
      <c r="D26" s="2">
        <v>45419</v>
      </c>
      <c r="E26" s="1" t="s">
        <v>80</v>
      </c>
      <c r="F26" s="1">
        <v>22102</v>
      </c>
      <c r="G26" s="1" t="s">
        <v>68</v>
      </c>
      <c r="H26" s="1" t="s">
        <v>18</v>
      </c>
      <c r="I26" s="2">
        <v>46057</v>
      </c>
      <c r="J26" s="1" t="s">
        <v>81</v>
      </c>
      <c r="K26" s="1" t="str">
        <f>VLOOKUP(J26,'[1]Base SCA 02 2026'!V:X,3,0)</f>
        <v>PAULO BONIFÁCIO</v>
      </c>
      <c r="L26" s="1" t="str">
        <f>VLOOKUP(J26,'[1]Base SCA 02 2026'!V:Y,4,0)</f>
        <v>MAURICIO SANTOS</v>
      </c>
      <c r="M26" s="1" t="str">
        <f>VLOOKUP(J26,'[1]Base SCA 02 2026'!V:Z,5,0)</f>
        <v xml:space="preserve">EDSON/MARCELO LIMA </v>
      </c>
      <c r="N26" s="1" t="str">
        <f t="shared" si="0"/>
        <v xml:space="preserve">EDSON/MARCELO LIMA </v>
      </c>
    </row>
    <row r="27" spans="1:14" x14ac:dyDescent="0.3">
      <c r="A27" s="1">
        <v>100914</v>
      </c>
      <c r="B27" s="1" t="s">
        <v>82</v>
      </c>
      <c r="C27" s="5" t="s">
        <v>15</v>
      </c>
      <c r="D27" s="2">
        <v>42499</v>
      </c>
      <c r="E27" s="1" t="s">
        <v>83</v>
      </c>
      <c r="F27" s="1">
        <v>34201</v>
      </c>
      <c r="G27" s="1" t="s">
        <v>84</v>
      </c>
      <c r="H27" s="1" t="s">
        <v>18</v>
      </c>
      <c r="J27" s="1" t="s">
        <v>85</v>
      </c>
      <c r="K27" s="1" t="str">
        <f>VLOOKUP(J27,'[1]Base SCA 02 2026'!V:X,3,0)</f>
        <v>PAULO BONIFÁCIO</v>
      </c>
      <c r="L27" s="1" t="str">
        <f>VLOOKUP(J27,'[1]Base SCA 02 2026'!V:Y,4,0)</f>
        <v>PAULO BONIFÁCIO</v>
      </c>
      <c r="M27" s="1" t="str">
        <f>VLOOKUP(J27,'[1]Base SCA 02 2026'!V:Z,5,0)</f>
        <v xml:space="preserve">LEONARDO SANTOS </v>
      </c>
      <c r="N27" s="1" t="str">
        <f t="shared" si="0"/>
        <v xml:space="preserve">LEONARDO SANTOS </v>
      </c>
    </row>
    <row r="28" spans="1:14" x14ac:dyDescent="0.3">
      <c r="A28" s="1">
        <v>704374</v>
      </c>
      <c r="B28" s="1" t="s">
        <v>86</v>
      </c>
      <c r="C28" s="5" t="s">
        <v>15</v>
      </c>
      <c r="D28" s="2">
        <v>45391</v>
      </c>
      <c r="E28" s="1" t="s">
        <v>27</v>
      </c>
      <c r="F28" s="1">
        <v>39501</v>
      </c>
      <c r="G28" s="1" t="s">
        <v>28</v>
      </c>
      <c r="H28" s="1" t="s">
        <v>18</v>
      </c>
      <c r="J28" s="1" t="s">
        <v>29</v>
      </c>
      <c r="K28" s="1" t="str">
        <f>VLOOKUP(J28,'[1]Base SCA 02 2026'!V:X,3,0)</f>
        <v>JOSÉ GOUVEA</v>
      </c>
      <c r="L28" s="1" t="str">
        <f>VLOOKUP(J28,'[1]Base SCA 02 2026'!V:Y,4,0)</f>
        <v>JOSÉ GOUVEA</v>
      </c>
      <c r="N28" s="1" t="str">
        <f t="shared" si="0"/>
        <v>JOSÉ GOUVEA</v>
      </c>
    </row>
    <row r="29" spans="1:14" x14ac:dyDescent="0.3">
      <c r="A29" s="1">
        <v>705107</v>
      </c>
      <c r="B29" s="1" t="s">
        <v>88</v>
      </c>
      <c r="C29" s="5" t="s">
        <v>15</v>
      </c>
      <c r="D29" s="2">
        <v>45678</v>
      </c>
      <c r="E29" s="1" t="s">
        <v>31</v>
      </c>
      <c r="F29" s="1">
        <v>51219</v>
      </c>
      <c r="G29" s="1" t="s">
        <v>61</v>
      </c>
      <c r="H29" s="1" t="s">
        <v>18</v>
      </c>
      <c r="J29" s="1" t="s">
        <v>37</v>
      </c>
      <c r="K29" s="1" t="str">
        <f>VLOOKUP(J29,'[1]Base SCA 02 2026'!V:X,3,0)</f>
        <v>JOSÉ GOUVEA</v>
      </c>
      <c r="L29" s="1" t="str">
        <f>VLOOKUP(J29,'[1]Base SCA 02 2026'!V:Y,4,0)</f>
        <v>ALEX DIAS</v>
      </c>
      <c r="N29" s="1" t="str">
        <f t="shared" si="0"/>
        <v>ALEX DIAS</v>
      </c>
    </row>
    <row r="30" spans="1:14" x14ac:dyDescent="0.3">
      <c r="A30" s="1">
        <v>704639</v>
      </c>
      <c r="B30" s="1" t="s">
        <v>90</v>
      </c>
      <c r="C30" s="5" t="s">
        <v>15</v>
      </c>
      <c r="D30" s="2">
        <v>45476</v>
      </c>
      <c r="E30" s="1" t="s">
        <v>91</v>
      </c>
      <c r="F30" s="1">
        <v>34201</v>
      </c>
      <c r="G30" s="1" t="s">
        <v>84</v>
      </c>
      <c r="H30" s="1" t="s">
        <v>18</v>
      </c>
      <c r="J30" s="1" t="s">
        <v>85</v>
      </c>
      <c r="K30" s="1" t="str">
        <f>VLOOKUP(J30,'[1]Base SCA 02 2026'!V:X,3,0)</f>
        <v>PAULO BONIFÁCIO</v>
      </c>
      <c r="L30" s="1" t="str">
        <f>VLOOKUP(J30,'[1]Base SCA 02 2026'!V:Y,4,0)</f>
        <v>PAULO BONIFÁCIO</v>
      </c>
      <c r="M30" s="1" t="str">
        <f>VLOOKUP(J30,'[1]Base SCA 02 2026'!V:Z,5,0)</f>
        <v xml:space="preserve">LEONARDO SANTOS </v>
      </c>
      <c r="N30" s="1" t="str">
        <f t="shared" si="0"/>
        <v xml:space="preserve">LEONARDO SANTOS </v>
      </c>
    </row>
    <row r="31" spans="1:14" x14ac:dyDescent="0.3">
      <c r="A31" s="1">
        <v>703274</v>
      </c>
      <c r="B31" s="1" t="s">
        <v>96</v>
      </c>
      <c r="C31" s="5" t="s">
        <v>15</v>
      </c>
      <c r="D31" s="2">
        <v>44781</v>
      </c>
      <c r="E31" s="1" t="s">
        <v>97</v>
      </c>
      <c r="F31" s="1">
        <v>32101</v>
      </c>
      <c r="G31" s="1" t="s">
        <v>23</v>
      </c>
      <c r="H31" s="1" t="s">
        <v>18</v>
      </c>
      <c r="J31" s="1" t="s">
        <v>24</v>
      </c>
      <c r="K31" s="1" t="str">
        <f>VLOOKUP(J31,'[1]Base SCA 02 2026'!V:X,3,0)</f>
        <v>RAFAEL XAVIER</v>
      </c>
      <c r="L31" s="1" t="str">
        <f>VLOOKUP(J31,'[1]Base SCA 02 2026'!V:Y,4,0)</f>
        <v>FERNANDO GUILHERME</v>
      </c>
      <c r="M31" s="1" t="str">
        <f>VLOOKUP(J31,'[1]Base SCA 02 2026'!V:Z,5,0)</f>
        <v>JUNIO COSTA</v>
      </c>
      <c r="N31" s="1" t="str">
        <f t="shared" si="0"/>
        <v>JUNIO COSTA</v>
      </c>
    </row>
    <row r="32" spans="1:14" x14ac:dyDescent="0.3">
      <c r="A32" s="1">
        <v>700150</v>
      </c>
      <c r="B32" s="1" t="s">
        <v>98</v>
      </c>
      <c r="C32" s="5" t="s">
        <v>15</v>
      </c>
      <c r="D32" s="2">
        <v>43227</v>
      </c>
      <c r="E32" s="1" t="s">
        <v>99</v>
      </c>
      <c r="F32" s="1">
        <v>34201</v>
      </c>
      <c r="G32" s="1" t="s">
        <v>84</v>
      </c>
      <c r="H32" s="1" t="s">
        <v>18</v>
      </c>
      <c r="J32" s="1" t="s">
        <v>85</v>
      </c>
      <c r="K32" s="1" t="str">
        <f>VLOOKUP(J32,'[1]Base SCA 02 2026'!V:X,3,0)</f>
        <v>PAULO BONIFÁCIO</v>
      </c>
      <c r="L32" s="1" t="str">
        <f>VLOOKUP(J32,'[1]Base SCA 02 2026'!V:Y,4,0)</f>
        <v>PAULO BONIFÁCIO</v>
      </c>
      <c r="M32" s="1" t="str">
        <f>VLOOKUP(J32,'[1]Base SCA 02 2026'!V:Z,5,0)</f>
        <v xml:space="preserve">LEONARDO SANTOS </v>
      </c>
      <c r="N32" s="1" t="str">
        <f t="shared" si="0"/>
        <v xml:space="preserve">LEONARDO SANTOS </v>
      </c>
    </row>
    <row r="33" spans="1:14" x14ac:dyDescent="0.3">
      <c r="A33" s="1">
        <v>100974</v>
      </c>
      <c r="B33" s="1" t="s">
        <v>100</v>
      </c>
      <c r="C33" s="5" t="s">
        <v>15</v>
      </c>
      <c r="D33" s="2">
        <v>42548</v>
      </c>
      <c r="E33" s="1" t="s">
        <v>195</v>
      </c>
      <c r="F33" s="1">
        <v>39302</v>
      </c>
      <c r="G33" s="1" t="s">
        <v>102</v>
      </c>
      <c r="H33" s="1" t="s">
        <v>18</v>
      </c>
      <c r="J33" s="1" t="s">
        <v>103</v>
      </c>
      <c r="K33" s="1" t="str">
        <f>VLOOKUP(J33,'[1]Base SCA 02 2026'!V:X,3,0)</f>
        <v>PAULO BONIFÁCIO</v>
      </c>
      <c r="L33" s="1" t="str">
        <f>VLOOKUP(J33,'[1]Base SCA 02 2026'!V:Y,4,0)</f>
        <v>PAULO BONIFÁCIO</v>
      </c>
      <c r="N33" s="1" t="str">
        <f t="shared" si="0"/>
        <v>PAULO BONIFÁCIO</v>
      </c>
    </row>
    <row r="34" spans="1:14" x14ac:dyDescent="0.3">
      <c r="A34" s="1">
        <v>705820</v>
      </c>
      <c r="B34" s="1" t="s">
        <v>1535</v>
      </c>
      <c r="C34" s="5" t="s">
        <v>15</v>
      </c>
      <c r="D34" s="2">
        <v>46063</v>
      </c>
      <c r="E34" s="1" t="s">
        <v>31</v>
      </c>
      <c r="F34" s="1">
        <v>51219</v>
      </c>
      <c r="G34" s="1" t="s">
        <v>61</v>
      </c>
      <c r="H34" s="1" t="s">
        <v>18</v>
      </c>
      <c r="J34" s="1" t="s">
        <v>19</v>
      </c>
      <c r="K34" s="1" t="str">
        <f>VLOOKUP(J34,'[1]Base SCA 02 2026'!V:X,3,0)</f>
        <v>JOSÉ GOUVEA</v>
      </c>
      <c r="L34" s="1" t="str">
        <f>VLOOKUP(J34,'[1]Base SCA 02 2026'!V:Y,4,0)</f>
        <v>ALEX DIAS</v>
      </c>
      <c r="N34" s="1" t="str">
        <f t="shared" si="0"/>
        <v>ALEX DIAS</v>
      </c>
    </row>
    <row r="35" spans="1:14" x14ac:dyDescent="0.3">
      <c r="A35" s="1">
        <v>101733</v>
      </c>
      <c r="B35" s="1" t="s">
        <v>104</v>
      </c>
      <c r="C35" s="5" t="s">
        <v>15</v>
      </c>
      <c r="D35" s="2">
        <v>42121</v>
      </c>
      <c r="E35" s="1" t="s">
        <v>105</v>
      </c>
      <c r="F35" s="1">
        <v>22102</v>
      </c>
      <c r="G35" s="1" t="s">
        <v>68</v>
      </c>
      <c r="H35" s="1" t="s">
        <v>18</v>
      </c>
      <c r="J35" s="1" t="s">
        <v>81</v>
      </c>
      <c r="K35" s="1" t="str">
        <f>VLOOKUP(J35,'[1]Base SCA 02 2026'!V:X,3,0)</f>
        <v>PAULO BONIFÁCIO</v>
      </c>
      <c r="L35" s="1" t="str">
        <f>VLOOKUP(J35,'[1]Base SCA 02 2026'!V:Y,4,0)</f>
        <v>MAURICIO SANTOS</v>
      </c>
      <c r="M35" s="1" t="str">
        <f>VLOOKUP(J35,'[1]Base SCA 02 2026'!V:Z,5,0)</f>
        <v xml:space="preserve">EDSON/MARCELO LIMA </v>
      </c>
      <c r="N35" s="1" t="str">
        <f t="shared" si="0"/>
        <v xml:space="preserve">EDSON/MARCELO LIMA </v>
      </c>
    </row>
    <row r="36" spans="1:14" x14ac:dyDescent="0.3">
      <c r="A36" s="1">
        <v>704081</v>
      </c>
      <c r="B36" s="1" t="s">
        <v>106</v>
      </c>
      <c r="C36" s="5" t="s">
        <v>15</v>
      </c>
      <c r="D36" s="2">
        <v>45188</v>
      </c>
      <c r="E36" s="1" t="s">
        <v>71</v>
      </c>
      <c r="F36" s="1">
        <v>25201</v>
      </c>
      <c r="G36" s="1" t="s">
        <v>89</v>
      </c>
      <c r="H36" s="1" t="s">
        <v>18</v>
      </c>
      <c r="J36" s="1" t="s">
        <v>19</v>
      </c>
      <c r="K36" s="1" t="str">
        <f>VLOOKUP(J36,'[1]Base SCA 02 2026'!V:X,3,0)</f>
        <v>JOSÉ GOUVEA</v>
      </c>
      <c r="L36" s="1" t="str">
        <f>VLOOKUP(J36,'[1]Base SCA 02 2026'!V:Y,4,0)</f>
        <v>ALEX DIAS</v>
      </c>
      <c r="N36" s="1" t="str">
        <f t="shared" si="0"/>
        <v>ALEX DIAS</v>
      </c>
    </row>
    <row r="37" spans="1:14" x14ac:dyDescent="0.3">
      <c r="A37" s="1">
        <v>702828</v>
      </c>
      <c r="B37" s="1" t="s">
        <v>107</v>
      </c>
      <c r="C37" s="5" t="s">
        <v>15</v>
      </c>
      <c r="D37" s="2">
        <v>44614</v>
      </c>
      <c r="E37" s="1" t="s">
        <v>31</v>
      </c>
      <c r="F37" s="1">
        <v>52104</v>
      </c>
      <c r="G37" s="1" t="s">
        <v>17</v>
      </c>
      <c r="H37" s="1" t="s">
        <v>18</v>
      </c>
      <c r="J37" s="1" t="s">
        <v>37</v>
      </c>
      <c r="K37" s="1" t="str">
        <f>VLOOKUP(J37,'[1]Base SCA 02 2026'!V:X,3,0)</f>
        <v>JOSÉ GOUVEA</v>
      </c>
      <c r="L37" s="1" t="str">
        <f>VLOOKUP(J37,'[1]Base SCA 02 2026'!V:Y,4,0)</f>
        <v>ALEX DIAS</v>
      </c>
      <c r="N37" s="1" t="str">
        <f t="shared" si="0"/>
        <v>ALEX DIAS</v>
      </c>
    </row>
    <row r="38" spans="1:14" x14ac:dyDescent="0.3">
      <c r="A38" s="1">
        <v>705624</v>
      </c>
      <c r="B38" s="1" t="s">
        <v>1394</v>
      </c>
      <c r="C38" s="5" t="s">
        <v>15</v>
      </c>
      <c r="D38" s="2">
        <v>45937</v>
      </c>
      <c r="E38" s="1" t="s">
        <v>152</v>
      </c>
      <c r="F38" s="1">
        <v>39201</v>
      </c>
      <c r="G38" s="1" t="s">
        <v>153</v>
      </c>
      <c r="H38" s="1" t="s">
        <v>18</v>
      </c>
      <c r="J38" s="1" t="s">
        <v>154</v>
      </c>
      <c r="K38" s="1" t="str">
        <f>VLOOKUP(J38,'[1]Base SCA 02 2026'!V:X,3,0)</f>
        <v>ANDREZA LARDO</v>
      </c>
      <c r="L38" s="1" t="str">
        <f>VLOOKUP(J38,'[1]Base SCA 02 2026'!V:Y,4,0)</f>
        <v>ANDREZA LARDO</v>
      </c>
      <c r="M38" s="1" t="str">
        <f>VLOOKUP(J38,'[1]Base SCA 02 2026'!V:Z,5,0)</f>
        <v>ADENILTON RODRIGUES</v>
      </c>
      <c r="N38" s="1" t="str">
        <f t="shared" si="0"/>
        <v>ADENILTON RODRIGUES</v>
      </c>
    </row>
    <row r="39" spans="1:14" x14ac:dyDescent="0.3">
      <c r="A39" s="1">
        <v>704227</v>
      </c>
      <c r="B39" s="1" t="s">
        <v>108</v>
      </c>
      <c r="C39" s="5" t="s">
        <v>15</v>
      </c>
      <c r="D39" s="2">
        <v>45328</v>
      </c>
      <c r="E39" s="1" t="s">
        <v>219</v>
      </c>
      <c r="F39" s="1">
        <v>32101</v>
      </c>
      <c r="G39" s="1" t="s">
        <v>23</v>
      </c>
      <c r="H39" s="1" t="s">
        <v>18</v>
      </c>
      <c r="J39" s="1" t="s">
        <v>24</v>
      </c>
      <c r="K39" s="1" t="str">
        <f>VLOOKUP(J39,'[1]Base SCA 02 2026'!V:X,3,0)</f>
        <v>RAFAEL XAVIER</v>
      </c>
      <c r="L39" s="1" t="str">
        <f>VLOOKUP(J39,'[1]Base SCA 02 2026'!V:Y,4,0)</f>
        <v>FERNANDO GUILHERME</v>
      </c>
      <c r="M39" s="1" t="str">
        <f>VLOOKUP(J39,'[1]Base SCA 02 2026'!V:Z,5,0)</f>
        <v>JUNIO COSTA</v>
      </c>
      <c r="N39" s="1" t="str">
        <f t="shared" si="0"/>
        <v>JUNIO COSTA</v>
      </c>
    </row>
    <row r="40" spans="1:14" x14ac:dyDescent="0.3">
      <c r="A40" s="1">
        <v>101307</v>
      </c>
      <c r="B40" s="1" t="s">
        <v>110</v>
      </c>
      <c r="C40" s="5" t="s">
        <v>15</v>
      </c>
      <c r="D40" s="2">
        <v>42850</v>
      </c>
      <c r="E40" s="1" t="s">
        <v>111</v>
      </c>
      <c r="F40" s="1">
        <v>52104</v>
      </c>
      <c r="G40" s="1" t="s">
        <v>17</v>
      </c>
      <c r="H40" s="1" t="s">
        <v>18</v>
      </c>
      <c r="J40" s="1" t="s">
        <v>112</v>
      </c>
      <c r="K40" s="1" t="str">
        <f>VLOOKUP(J40,'[1]Base SCA 02 2026'!V:X,3,0)</f>
        <v>JOSÉ GOUVEA</v>
      </c>
      <c r="L40" s="1" t="str">
        <f>VLOOKUP(J40,'[1]Base SCA 02 2026'!V:Y,4,0)</f>
        <v>JOSÉ GOUVEA</v>
      </c>
      <c r="N40" s="1" t="str">
        <f t="shared" si="0"/>
        <v>JOSÉ GOUVEA</v>
      </c>
    </row>
    <row r="41" spans="1:14" x14ac:dyDescent="0.3">
      <c r="A41" s="1">
        <v>702711</v>
      </c>
      <c r="B41" s="1" t="s">
        <v>113</v>
      </c>
      <c r="C41" s="5" t="s">
        <v>15</v>
      </c>
      <c r="D41" s="2">
        <v>44586</v>
      </c>
      <c r="E41" s="1" t="s">
        <v>114</v>
      </c>
      <c r="F41" s="1">
        <v>38101</v>
      </c>
      <c r="G41" s="1" t="s">
        <v>35</v>
      </c>
      <c r="H41" s="1" t="s">
        <v>18</v>
      </c>
      <c r="J41" s="1" t="s">
        <v>36</v>
      </c>
      <c r="K41" s="1" t="str">
        <f>VLOOKUP(J41,'[1]Base SCA 02 2026'!V:X,3,0)</f>
        <v xml:space="preserve">LEIDJANE MARTINS </v>
      </c>
      <c r="L41" s="1" t="str">
        <f>VLOOKUP(J41,'[1]Base SCA 02 2026'!V:Y,4,0)</f>
        <v xml:space="preserve">LEIDJANE MARTINS </v>
      </c>
      <c r="M41" s="1" t="str">
        <f>VLOOKUP(J41,'[1]Base SCA 02 2026'!V:Z,5,0)</f>
        <v>DENIS ACASSIO</v>
      </c>
      <c r="N41" s="1" t="str">
        <f t="shared" si="0"/>
        <v>DENIS ACASSIO</v>
      </c>
    </row>
    <row r="42" spans="1:14" x14ac:dyDescent="0.3">
      <c r="A42" s="1">
        <v>705753</v>
      </c>
      <c r="B42" s="1" t="s">
        <v>1476</v>
      </c>
      <c r="C42" s="5" t="s">
        <v>92</v>
      </c>
      <c r="D42" s="2">
        <v>45993</v>
      </c>
      <c r="E42" s="1" t="s">
        <v>31</v>
      </c>
      <c r="F42" s="1">
        <v>25102</v>
      </c>
      <c r="G42" s="1" t="s">
        <v>1153</v>
      </c>
      <c r="H42" s="1" t="s">
        <v>18</v>
      </c>
      <c r="I42" s="2">
        <v>46054</v>
      </c>
      <c r="J42" s="1" t="s">
        <v>19</v>
      </c>
      <c r="K42" s="1" t="str">
        <f>VLOOKUP(J42,'[1]Base SCA 02 2026'!V:X,3,0)</f>
        <v>JOSÉ GOUVEA</v>
      </c>
      <c r="L42" s="1" t="str">
        <f>VLOOKUP(J42,'[1]Base SCA 02 2026'!V:Y,4,0)</f>
        <v>ALEX DIAS</v>
      </c>
      <c r="N42" s="1" t="str">
        <f t="shared" si="0"/>
        <v>ALEX DIAS</v>
      </c>
    </row>
    <row r="43" spans="1:14" x14ac:dyDescent="0.3">
      <c r="A43" s="1">
        <v>700325</v>
      </c>
      <c r="B43" s="1" t="s">
        <v>115</v>
      </c>
      <c r="C43" s="5" t="s">
        <v>15</v>
      </c>
      <c r="D43" s="2">
        <v>43292</v>
      </c>
      <c r="E43" s="1" t="s">
        <v>116</v>
      </c>
      <c r="F43" s="1">
        <v>34201</v>
      </c>
      <c r="G43" s="1" t="s">
        <v>84</v>
      </c>
      <c r="H43" s="1" t="s">
        <v>18</v>
      </c>
      <c r="J43" s="1" t="s">
        <v>85</v>
      </c>
      <c r="K43" s="1" t="str">
        <f>VLOOKUP(J43,'[1]Base SCA 02 2026'!V:X,3,0)</f>
        <v>PAULO BONIFÁCIO</v>
      </c>
      <c r="L43" s="1" t="str">
        <f>VLOOKUP(J43,'[1]Base SCA 02 2026'!V:Y,4,0)</f>
        <v>PAULO BONIFÁCIO</v>
      </c>
      <c r="M43" s="1" t="str">
        <f>VLOOKUP(J43,'[1]Base SCA 02 2026'!V:Z,5,0)</f>
        <v xml:space="preserve">LEONARDO SANTOS </v>
      </c>
      <c r="N43" s="1" t="str">
        <f t="shared" si="0"/>
        <v xml:space="preserve">LEONARDO SANTOS </v>
      </c>
    </row>
    <row r="44" spans="1:14" x14ac:dyDescent="0.3">
      <c r="A44" s="1">
        <v>701609</v>
      </c>
      <c r="B44" s="1" t="s">
        <v>117</v>
      </c>
      <c r="C44" s="5" t="s">
        <v>15</v>
      </c>
      <c r="D44" s="2">
        <v>43999</v>
      </c>
      <c r="E44" s="1" t="s">
        <v>138</v>
      </c>
      <c r="F44" s="1">
        <v>51219</v>
      </c>
      <c r="G44" s="1" t="s">
        <v>61</v>
      </c>
      <c r="H44" s="1" t="s">
        <v>18</v>
      </c>
      <c r="J44" s="1" t="s">
        <v>37</v>
      </c>
      <c r="K44" s="1" t="str">
        <f>VLOOKUP(J44,'[1]Base SCA 02 2026'!V:X,3,0)</f>
        <v>JOSÉ GOUVEA</v>
      </c>
      <c r="L44" s="1" t="str">
        <f>VLOOKUP(J44,'[1]Base SCA 02 2026'!V:Y,4,0)</f>
        <v>ALEX DIAS</v>
      </c>
      <c r="N44" s="1" t="str">
        <f t="shared" si="0"/>
        <v>ALEX DIAS</v>
      </c>
    </row>
    <row r="45" spans="1:14" x14ac:dyDescent="0.3">
      <c r="A45" s="1">
        <v>705583</v>
      </c>
      <c r="B45" s="1" t="s">
        <v>1310</v>
      </c>
      <c r="C45" s="5" t="s">
        <v>15</v>
      </c>
      <c r="D45" s="2">
        <v>45881</v>
      </c>
      <c r="E45" s="1" t="s">
        <v>31</v>
      </c>
      <c r="F45" s="1">
        <v>25201</v>
      </c>
      <c r="G45" s="1" t="s">
        <v>89</v>
      </c>
      <c r="H45" s="1" t="s">
        <v>18</v>
      </c>
      <c r="J45" s="1" t="s">
        <v>19</v>
      </c>
      <c r="K45" s="1" t="str">
        <f>VLOOKUP(J45,'[1]Base SCA 02 2026'!V:X,3,0)</f>
        <v>JOSÉ GOUVEA</v>
      </c>
      <c r="L45" s="1" t="str">
        <f>VLOOKUP(J45,'[1]Base SCA 02 2026'!V:Y,4,0)</f>
        <v>ALEX DIAS</v>
      </c>
      <c r="N45" s="1" t="str">
        <f t="shared" si="0"/>
        <v>ALEX DIAS</v>
      </c>
    </row>
    <row r="46" spans="1:14" x14ac:dyDescent="0.3">
      <c r="A46" s="1">
        <v>700171</v>
      </c>
      <c r="B46" s="1" t="s">
        <v>118</v>
      </c>
      <c r="C46" s="5" t="s">
        <v>15</v>
      </c>
      <c r="D46" s="2">
        <v>43234</v>
      </c>
      <c r="E46" s="1" t="s">
        <v>116</v>
      </c>
      <c r="F46" s="1">
        <v>34201</v>
      </c>
      <c r="G46" s="1" t="s">
        <v>84</v>
      </c>
      <c r="H46" s="1" t="s">
        <v>18</v>
      </c>
      <c r="J46" s="1" t="s">
        <v>85</v>
      </c>
      <c r="K46" s="1" t="str">
        <f>VLOOKUP(J46,'[1]Base SCA 02 2026'!V:X,3,0)</f>
        <v>PAULO BONIFÁCIO</v>
      </c>
      <c r="L46" s="1" t="str">
        <f>VLOOKUP(J46,'[1]Base SCA 02 2026'!V:Y,4,0)</f>
        <v>PAULO BONIFÁCIO</v>
      </c>
      <c r="M46" s="1" t="str">
        <f>VLOOKUP(J46,'[1]Base SCA 02 2026'!V:Z,5,0)</f>
        <v xml:space="preserve">LEONARDO SANTOS </v>
      </c>
      <c r="N46" s="1" t="str">
        <f t="shared" si="0"/>
        <v xml:space="preserve">LEONARDO SANTOS </v>
      </c>
    </row>
    <row r="47" spans="1:14" x14ac:dyDescent="0.3">
      <c r="A47" s="1">
        <v>704215</v>
      </c>
      <c r="B47" s="1" t="s">
        <v>119</v>
      </c>
      <c r="C47" s="5" t="s">
        <v>15</v>
      </c>
      <c r="D47" s="2">
        <v>45300</v>
      </c>
      <c r="E47" s="1" t="s">
        <v>67</v>
      </c>
      <c r="F47" s="1">
        <v>22102</v>
      </c>
      <c r="G47" s="1" t="s">
        <v>68</v>
      </c>
      <c r="H47" s="1" t="s">
        <v>18</v>
      </c>
      <c r="J47" s="1" t="s">
        <v>69</v>
      </c>
      <c r="K47" s="1" t="str">
        <f>VLOOKUP(J47,'[1]Base SCA 02 2026'!V:X,3,0)</f>
        <v>PAULO BONIFÁCIO</v>
      </c>
      <c r="L47" s="1" t="str">
        <f>VLOOKUP(J47,'[1]Base SCA 02 2026'!V:Y,4,0)</f>
        <v xml:space="preserve">JOÃO KOMURA </v>
      </c>
      <c r="N47" s="1" t="str">
        <f t="shared" si="0"/>
        <v xml:space="preserve">JOÃO KOMURA </v>
      </c>
    </row>
    <row r="48" spans="1:14" x14ac:dyDescent="0.3">
      <c r="A48" s="1">
        <v>704331</v>
      </c>
      <c r="B48" s="1" t="s">
        <v>120</v>
      </c>
      <c r="C48" s="5" t="s">
        <v>15</v>
      </c>
      <c r="D48" s="2">
        <v>45363</v>
      </c>
      <c r="E48" s="1" t="s">
        <v>121</v>
      </c>
      <c r="F48" s="1">
        <v>22101</v>
      </c>
      <c r="G48" s="1" t="s">
        <v>122</v>
      </c>
      <c r="H48" s="1" t="s">
        <v>18</v>
      </c>
      <c r="J48" s="1" t="s">
        <v>123</v>
      </c>
      <c r="K48" s="1" t="str">
        <f>VLOOKUP(J48,'[1]Base SCA 02 2026'!V:X,3,0)</f>
        <v>MATHEUS FERNANDES</v>
      </c>
      <c r="L48" s="1" t="str">
        <f>VLOOKUP(J48,'[1]Base SCA 02 2026'!V:Y,4,0)</f>
        <v>MATHEUS FERNANDES</v>
      </c>
      <c r="N48" s="1" t="str">
        <f t="shared" si="0"/>
        <v>MATHEUS FERNANDES</v>
      </c>
    </row>
    <row r="49" spans="1:14" x14ac:dyDescent="0.3">
      <c r="A49" s="1">
        <v>100765</v>
      </c>
      <c r="B49" s="1" t="s">
        <v>126</v>
      </c>
      <c r="C49" s="5" t="s">
        <v>15</v>
      </c>
      <c r="D49" s="2">
        <v>42205</v>
      </c>
      <c r="E49" s="1" t="s">
        <v>127</v>
      </c>
      <c r="F49" s="1">
        <v>22102</v>
      </c>
      <c r="G49" s="1" t="s">
        <v>68</v>
      </c>
      <c r="H49" s="1" t="s">
        <v>18</v>
      </c>
      <c r="J49" s="1" t="s">
        <v>81</v>
      </c>
      <c r="K49" s="1" t="str">
        <f>VLOOKUP(J49,'[1]Base SCA 02 2026'!V:X,3,0)</f>
        <v>PAULO BONIFÁCIO</v>
      </c>
      <c r="L49" s="1" t="str">
        <f>VLOOKUP(J49,'[1]Base SCA 02 2026'!V:Y,4,0)</f>
        <v>MAURICIO SANTOS</v>
      </c>
      <c r="M49" s="1" t="str">
        <f>VLOOKUP(J49,'[1]Base SCA 02 2026'!V:Z,5,0)</f>
        <v xml:space="preserve">EDSON/MARCELO LIMA </v>
      </c>
      <c r="N49" s="1" t="str">
        <f t="shared" si="0"/>
        <v xml:space="preserve">EDSON/MARCELO LIMA </v>
      </c>
    </row>
    <row r="50" spans="1:14" x14ac:dyDescent="0.3">
      <c r="A50" s="1">
        <v>705817</v>
      </c>
      <c r="B50" s="1" t="s">
        <v>1511</v>
      </c>
      <c r="C50" s="5" t="s">
        <v>15</v>
      </c>
      <c r="D50" s="2">
        <v>46035</v>
      </c>
      <c r="E50" s="1" t="s">
        <v>31</v>
      </c>
      <c r="F50" s="1">
        <v>51219</v>
      </c>
      <c r="G50" s="1" t="s">
        <v>61</v>
      </c>
      <c r="H50" s="1" t="s">
        <v>18</v>
      </c>
      <c r="J50" s="1" t="s">
        <v>19</v>
      </c>
      <c r="K50" s="1" t="str">
        <f>VLOOKUP(J50,'[1]Base SCA 02 2026'!V:X,3,0)</f>
        <v>JOSÉ GOUVEA</v>
      </c>
      <c r="L50" s="1" t="str">
        <f>VLOOKUP(J50,'[1]Base SCA 02 2026'!V:Y,4,0)</f>
        <v>ALEX DIAS</v>
      </c>
      <c r="N50" s="1" t="str">
        <f t="shared" si="0"/>
        <v>ALEX DIAS</v>
      </c>
    </row>
    <row r="51" spans="1:14" x14ac:dyDescent="0.3">
      <c r="A51" s="1">
        <v>704952</v>
      </c>
      <c r="B51" s="1" t="s">
        <v>128</v>
      </c>
      <c r="C51" s="5" t="s">
        <v>15</v>
      </c>
      <c r="D51" s="2">
        <v>45607</v>
      </c>
      <c r="E51" s="1" t="s">
        <v>129</v>
      </c>
      <c r="F51" s="1">
        <v>22102</v>
      </c>
      <c r="G51" s="1" t="s">
        <v>68</v>
      </c>
      <c r="H51" s="1" t="s">
        <v>18</v>
      </c>
      <c r="J51" s="1" t="s">
        <v>142</v>
      </c>
      <c r="K51" s="1" t="str">
        <f>VLOOKUP(J51,'[1]Base SCA 02 2026'!V:X,3,0)</f>
        <v>PAULO BONIFÁCIO</v>
      </c>
      <c r="L51" s="1" t="str">
        <f>VLOOKUP(J51,'[1]Base SCA 02 2026'!V:Y,4,0)</f>
        <v>MAURICIO SANTOS</v>
      </c>
      <c r="M51" s="1" t="str">
        <f>VLOOKUP(J51,'[1]Base SCA 02 2026'!V:Z,5,0)</f>
        <v>EDIS MOREIRA</v>
      </c>
      <c r="N51" s="1" t="str">
        <f t="shared" si="0"/>
        <v>EDIS MOREIRA</v>
      </c>
    </row>
    <row r="52" spans="1:14" x14ac:dyDescent="0.3">
      <c r="A52" s="1">
        <v>705786</v>
      </c>
      <c r="B52" s="1" t="s">
        <v>1512</v>
      </c>
      <c r="C52" s="5" t="s">
        <v>15</v>
      </c>
      <c r="D52" s="2">
        <v>46029</v>
      </c>
      <c r="E52" s="1" t="s">
        <v>31</v>
      </c>
      <c r="F52" s="1">
        <v>52202</v>
      </c>
      <c r="G52" s="1" t="s">
        <v>32</v>
      </c>
      <c r="H52" s="1" t="s">
        <v>18</v>
      </c>
      <c r="J52" s="1" t="s">
        <v>33</v>
      </c>
      <c r="K52" s="1" t="str">
        <f>VLOOKUP(J52,'[1]Base SCA 02 2026'!V:X,3,0)</f>
        <v>JOSÉ GOUVEA</v>
      </c>
      <c r="L52" s="1" t="str">
        <f>VLOOKUP(J52,'[1]Base SCA 02 2026'!V:Y,4,0)</f>
        <v>ALEX DIAS</v>
      </c>
      <c r="N52" s="1" t="str">
        <f t="shared" si="0"/>
        <v>ALEX DIAS</v>
      </c>
    </row>
    <row r="53" spans="1:14" x14ac:dyDescent="0.3">
      <c r="A53" s="1">
        <v>704882</v>
      </c>
      <c r="B53" s="1" t="s">
        <v>133</v>
      </c>
      <c r="C53" s="5" t="s">
        <v>15</v>
      </c>
      <c r="D53" s="2">
        <v>45586</v>
      </c>
      <c r="E53" s="1" t="s">
        <v>77</v>
      </c>
      <c r="F53" s="1">
        <v>38107</v>
      </c>
      <c r="G53" s="1" t="s">
        <v>1503</v>
      </c>
      <c r="H53" s="1" t="s">
        <v>18</v>
      </c>
      <c r="J53" s="1" t="s">
        <v>78</v>
      </c>
      <c r="K53" s="1" t="str">
        <f>VLOOKUP(J53,'[1]Base SCA 02 2026'!V:X,3,0)</f>
        <v xml:space="preserve">LEIDJANE MARTINS </v>
      </c>
      <c r="L53" s="1" t="str">
        <f>VLOOKUP(J53,'[1]Base SCA 02 2026'!V:Y,4,0)</f>
        <v xml:space="preserve">LEIDJANE MARTINS </v>
      </c>
      <c r="N53" s="1" t="str">
        <f t="shared" si="0"/>
        <v xml:space="preserve">LEIDJANE MARTINS </v>
      </c>
    </row>
    <row r="54" spans="1:14" x14ac:dyDescent="0.3">
      <c r="A54" s="1">
        <v>705544</v>
      </c>
      <c r="B54" s="1" t="s">
        <v>1311</v>
      </c>
      <c r="C54" s="5" t="s">
        <v>15</v>
      </c>
      <c r="D54" s="2">
        <v>45874</v>
      </c>
      <c r="E54" s="1" t="s">
        <v>508</v>
      </c>
      <c r="F54" s="1">
        <v>33301</v>
      </c>
      <c r="G54" s="1" t="s">
        <v>64</v>
      </c>
      <c r="H54" s="1" t="s">
        <v>18</v>
      </c>
      <c r="J54" s="1" t="s">
        <v>65</v>
      </c>
      <c r="K54" s="1" t="str">
        <f>VLOOKUP(J54,'[1]Base SCA 02 2026'!V:X,3,0)</f>
        <v>RAFAEL XAVIER</v>
      </c>
      <c r="L54" s="1" t="str">
        <f>VLOOKUP(J54,'[1]Base SCA 02 2026'!V:Y,4,0)</f>
        <v>IVONEI CAMPOS</v>
      </c>
      <c r="M54" s="1" t="str">
        <f>VLOOKUP(J54,'[1]Base SCA 02 2026'!V:Z,5,0)</f>
        <v>ANDRÉ CUBA</v>
      </c>
      <c r="N54" s="1" t="str">
        <f t="shared" si="0"/>
        <v>ANDRÉ CUBA</v>
      </c>
    </row>
    <row r="55" spans="1:14" x14ac:dyDescent="0.3">
      <c r="A55" s="1">
        <v>101125</v>
      </c>
      <c r="B55" s="1" t="s">
        <v>134</v>
      </c>
      <c r="C55" s="5" t="s">
        <v>15</v>
      </c>
      <c r="D55" s="2">
        <v>42692</v>
      </c>
      <c r="E55" s="1" t="s">
        <v>1122</v>
      </c>
      <c r="F55" s="1">
        <v>39201</v>
      </c>
      <c r="G55" s="1" t="s">
        <v>153</v>
      </c>
      <c r="H55" s="1" t="s">
        <v>18</v>
      </c>
      <c r="J55" s="1" t="s">
        <v>154</v>
      </c>
      <c r="K55" s="1" t="str">
        <f>VLOOKUP(J55,'[1]Base SCA 02 2026'!V:X,3,0)</f>
        <v>ANDREZA LARDO</v>
      </c>
      <c r="L55" s="1" t="str">
        <f>VLOOKUP(J55,'[1]Base SCA 02 2026'!V:Y,4,0)</f>
        <v>ANDREZA LARDO</v>
      </c>
      <c r="M55" s="1" t="str">
        <f>VLOOKUP(J55,'[1]Base SCA 02 2026'!V:Z,5,0)</f>
        <v>ADENILTON RODRIGUES</v>
      </c>
      <c r="N55" s="1" t="str">
        <f t="shared" si="0"/>
        <v>ADENILTON RODRIGUES</v>
      </c>
    </row>
    <row r="56" spans="1:14" x14ac:dyDescent="0.3">
      <c r="A56" s="1">
        <v>705639</v>
      </c>
      <c r="B56" s="1" t="s">
        <v>1395</v>
      </c>
      <c r="C56" s="5" t="s">
        <v>15</v>
      </c>
      <c r="D56" s="2">
        <v>45937</v>
      </c>
      <c r="E56" s="1" t="s">
        <v>282</v>
      </c>
      <c r="F56" s="1">
        <v>32101</v>
      </c>
      <c r="G56" s="1" t="s">
        <v>23</v>
      </c>
      <c r="H56" s="1" t="s">
        <v>18</v>
      </c>
      <c r="J56" s="1" t="s">
        <v>24</v>
      </c>
      <c r="K56" s="1" t="str">
        <f>VLOOKUP(J56,'[1]Base SCA 02 2026'!V:X,3,0)</f>
        <v>RAFAEL XAVIER</v>
      </c>
      <c r="L56" s="1" t="str">
        <f>VLOOKUP(J56,'[1]Base SCA 02 2026'!V:Y,4,0)</f>
        <v>FERNANDO GUILHERME</v>
      </c>
      <c r="M56" s="1" t="str">
        <f>VLOOKUP(J56,'[1]Base SCA 02 2026'!V:Z,5,0)</f>
        <v>JUNIO COSTA</v>
      </c>
      <c r="N56" s="1" t="str">
        <f t="shared" si="0"/>
        <v>JUNIO COSTA</v>
      </c>
    </row>
    <row r="57" spans="1:14" x14ac:dyDescent="0.3">
      <c r="A57" s="1">
        <v>101790</v>
      </c>
      <c r="B57" s="1" t="s">
        <v>137</v>
      </c>
      <c r="C57" s="5" t="s">
        <v>15</v>
      </c>
      <c r="D57" s="2">
        <v>43080</v>
      </c>
      <c r="E57" s="1" t="s">
        <v>60</v>
      </c>
      <c r="F57" s="1">
        <v>52104</v>
      </c>
      <c r="G57" s="1" t="s">
        <v>17</v>
      </c>
      <c r="H57" s="1" t="s">
        <v>18</v>
      </c>
      <c r="J57" s="1" t="s">
        <v>19</v>
      </c>
      <c r="K57" s="1" t="str">
        <f>VLOOKUP(J57,'[1]Base SCA 02 2026'!V:X,3,0)</f>
        <v>JOSÉ GOUVEA</v>
      </c>
      <c r="L57" s="1" t="str">
        <f>VLOOKUP(J57,'[1]Base SCA 02 2026'!V:Y,4,0)</f>
        <v>ALEX DIAS</v>
      </c>
      <c r="N57" s="1" t="str">
        <f t="shared" si="0"/>
        <v>ALEX DIAS</v>
      </c>
    </row>
    <row r="58" spans="1:14" x14ac:dyDescent="0.3">
      <c r="A58" s="1">
        <v>704157</v>
      </c>
      <c r="B58" s="1" t="s">
        <v>139</v>
      </c>
      <c r="C58" s="5" t="s">
        <v>15</v>
      </c>
      <c r="D58" s="2">
        <v>45264</v>
      </c>
      <c r="E58" s="1" t="s">
        <v>40</v>
      </c>
      <c r="F58" s="1">
        <v>51219</v>
      </c>
      <c r="G58" s="1" t="s">
        <v>61</v>
      </c>
      <c r="H58" s="1" t="s">
        <v>18</v>
      </c>
      <c r="J58" s="1" t="s">
        <v>19</v>
      </c>
      <c r="K58" s="1" t="str">
        <f>VLOOKUP(J58,'[1]Base SCA 02 2026'!V:X,3,0)</f>
        <v>JOSÉ GOUVEA</v>
      </c>
      <c r="L58" s="1" t="str">
        <f>VLOOKUP(J58,'[1]Base SCA 02 2026'!V:Y,4,0)</f>
        <v>ALEX DIAS</v>
      </c>
      <c r="N58" s="1" t="str">
        <f t="shared" si="0"/>
        <v>ALEX DIAS</v>
      </c>
    </row>
    <row r="59" spans="1:14" x14ac:dyDescent="0.3">
      <c r="A59" s="1">
        <v>702156</v>
      </c>
      <c r="B59" s="1" t="s">
        <v>140</v>
      </c>
      <c r="C59" s="5" t="s">
        <v>15</v>
      </c>
      <c r="D59" s="2">
        <v>44299</v>
      </c>
      <c r="E59" s="1" t="s">
        <v>141</v>
      </c>
      <c r="F59" s="1">
        <v>22102</v>
      </c>
      <c r="G59" s="1" t="s">
        <v>68</v>
      </c>
      <c r="H59" s="1" t="s">
        <v>18</v>
      </c>
      <c r="J59" s="1" t="s">
        <v>142</v>
      </c>
      <c r="K59" s="1" t="str">
        <f>VLOOKUP(J59,'[1]Base SCA 02 2026'!V:X,3,0)</f>
        <v>PAULO BONIFÁCIO</v>
      </c>
      <c r="L59" s="1" t="str">
        <f>VLOOKUP(J59,'[1]Base SCA 02 2026'!V:Y,4,0)</f>
        <v>MAURICIO SANTOS</v>
      </c>
      <c r="M59" s="1" t="str">
        <f>VLOOKUP(J59,'[1]Base SCA 02 2026'!V:Z,5,0)</f>
        <v>EDIS MOREIRA</v>
      </c>
      <c r="N59" s="1" t="str">
        <f t="shared" si="0"/>
        <v>EDIS MOREIRA</v>
      </c>
    </row>
    <row r="60" spans="1:14" x14ac:dyDescent="0.3">
      <c r="A60" s="1">
        <v>705809</v>
      </c>
      <c r="B60" s="1" t="s">
        <v>1513</v>
      </c>
      <c r="C60" s="5" t="s">
        <v>15</v>
      </c>
      <c r="D60" s="2">
        <v>46035</v>
      </c>
      <c r="E60" s="1" t="s">
        <v>31</v>
      </c>
      <c r="F60" s="1">
        <v>51219</v>
      </c>
      <c r="G60" s="1" t="s">
        <v>61</v>
      </c>
      <c r="H60" s="1" t="s">
        <v>18</v>
      </c>
      <c r="J60" s="1" t="s">
        <v>19</v>
      </c>
      <c r="K60" s="1" t="str">
        <f>VLOOKUP(J60,'[1]Base SCA 02 2026'!V:X,3,0)</f>
        <v>JOSÉ GOUVEA</v>
      </c>
      <c r="L60" s="1" t="str">
        <f>VLOOKUP(J60,'[1]Base SCA 02 2026'!V:Y,4,0)</f>
        <v>ALEX DIAS</v>
      </c>
      <c r="N60" s="1" t="str">
        <f t="shared" si="0"/>
        <v>ALEX DIAS</v>
      </c>
    </row>
    <row r="61" spans="1:14" x14ac:dyDescent="0.3">
      <c r="A61" s="1">
        <v>705643</v>
      </c>
      <c r="B61" s="1" t="s">
        <v>144</v>
      </c>
      <c r="C61" s="5" t="s">
        <v>15</v>
      </c>
      <c r="D61" s="2">
        <v>45944</v>
      </c>
      <c r="E61" s="1" t="s">
        <v>31</v>
      </c>
      <c r="F61" s="1">
        <v>51219</v>
      </c>
      <c r="G61" s="1" t="s">
        <v>61</v>
      </c>
      <c r="H61" s="1" t="s">
        <v>18</v>
      </c>
      <c r="J61" s="1" t="s">
        <v>19</v>
      </c>
      <c r="K61" s="1" t="str">
        <f>VLOOKUP(J61,'[1]Base SCA 02 2026'!V:X,3,0)</f>
        <v>JOSÉ GOUVEA</v>
      </c>
      <c r="L61" s="1" t="str">
        <f>VLOOKUP(J61,'[1]Base SCA 02 2026'!V:Y,4,0)</f>
        <v>ALEX DIAS</v>
      </c>
      <c r="N61" s="1" t="str">
        <f t="shared" si="0"/>
        <v>ALEX DIAS</v>
      </c>
    </row>
    <row r="62" spans="1:14" x14ac:dyDescent="0.3">
      <c r="A62" s="1">
        <v>703625</v>
      </c>
      <c r="B62" s="1" t="s">
        <v>145</v>
      </c>
      <c r="C62" s="5" t="s">
        <v>15</v>
      </c>
      <c r="D62" s="2">
        <v>44991</v>
      </c>
      <c r="E62" s="1" t="s">
        <v>255</v>
      </c>
      <c r="F62" s="1">
        <v>52104</v>
      </c>
      <c r="G62" s="1" t="s">
        <v>17</v>
      </c>
      <c r="H62" s="1" t="s">
        <v>18</v>
      </c>
      <c r="J62" s="1" t="s">
        <v>19</v>
      </c>
      <c r="K62" s="1" t="str">
        <f>VLOOKUP(J62,'[1]Base SCA 02 2026'!V:X,3,0)</f>
        <v>JOSÉ GOUVEA</v>
      </c>
      <c r="L62" s="1" t="str">
        <f>VLOOKUP(J62,'[1]Base SCA 02 2026'!V:Y,4,0)</f>
        <v>ALEX DIAS</v>
      </c>
      <c r="N62" s="1" t="str">
        <f t="shared" si="0"/>
        <v>ALEX DIAS</v>
      </c>
    </row>
    <row r="63" spans="1:14" x14ac:dyDescent="0.3">
      <c r="A63" s="1">
        <v>704967</v>
      </c>
      <c r="B63" s="1" t="s">
        <v>147</v>
      </c>
      <c r="C63" s="5" t="s">
        <v>15</v>
      </c>
      <c r="D63" s="2">
        <v>45629</v>
      </c>
      <c r="E63" s="1" t="s">
        <v>91</v>
      </c>
      <c r="F63" s="1">
        <v>34201</v>
      </c>
      <c r="G63" s="1" t="s">
        <v>84</v>
      </c>
      <c r="H63" s="1" t="s">
        <v>18</v>
      </c>
      <c r="J63" s="1" t="s">
        <v>85</v>
      </c>
      <c r="K63" s="1" t="str">
        <f>VLOOKUP(J63,'[1]Base SCA 02 2026'!V:X,3,0)</f>
        <v>PAULO BONIFÁCIO</v>
      </c>
      <c r="L63" s="1" t="str">
        <f>VLOOKUP(J63,'[1]Base SCA 02 2026'!V:Y,4,0)</f>
        <v>PAULO BONIFÁCIO</v>
      </c>
      <c r="M63" s="1" t="str">
        <f>VLOOKUP(J63,'[1]Base SCA 02 2026'!V:Z,5,0)</f>
        <v xml:space="preserve">LEONARDO SANTOS </v>
      </c>
      <c r="N63" s="1" t="str">
        <f t="shared" si="0"/>
        <v xml:space="preserve">LEONARDO SANTOS </v>
      </c>
    </row>
    <row r="64" spans="1:14" x14ac:dyDescent="0.3">
      <c r="A64" s="1">
        <v>2006</v>
      </c>
      <c r="B64" s="1" t="s">
        <v>148</v>
      </c>
      <c r="C64" s="5" t="s">
        <v>15</v>
      </c>
      <c r="D64" s="2">
        <v>40665</v>
      </c>
      <c r="E64" s="1" t="s">
        <v>149</v>
      </c>
      <c r="F64" s="1">
        <v>39302</v>
      </c>
      <c r="G64" s="1" t="s">
        <v>102</v>
      </c>
      <c r="H64" s="1" t="s">
        <v>18</v>
      </c>
      <c r="J64" s="1" t="s">
        <v>57</v>
      </c>
      <c r="K64" s="1" t="str">
        <f>VLOOKUP(J64,'[1]Base SCA 02 2026'!V:X,3,0)</f>
        <v>PAULO BONIFÁCIO</v>
      </c>
      <c r="L64" s="1" t="str">
        <f>VLOOKUP(J64,'[1]Base SCA 02 2026'!V:Y,4,0)</f>
        <v>ALDAIR BORGES</v>
      </c>
      <c r="M64" s="1" t="str">
        <f>VLOOKUP(J64,'[1]Base SCA 02 2026'!V:Z,5,0)</f>
        <v>WARLEY RIBEIRO</v>
      </c>
      <c r="N64" s="1" t="str">
        <f t="shared" si="0"/>
        <v>WARLEY RIBEIRO</v>
      </c>
    </row>
    <row r="65" spans="1:14" x14ac:dyDescent="0.3">
      <c r="A65" s="1">
        <v>705158</v>
      </c>
      <c r="B65" s="1" t="s">
        <v>1154</v>
      </c>
      <c r="C65" s="5" t="s">
        <v>15</v>
      </c>
      <c r="D65" s="2">
        <v>45720</v>
      </c>
      <c r="E65" s="1" t="s">
        <v>282</v>
      </c>
      <c r="F65" s="1">
        <v>32101</v>
      </c>
      <c r="G65" s="1" t="s">
        <v>23</v>
      </c>
      <c r="H65" s="1" t="s">
        <v>18</v>
      </c>
      <c r="J65" s="1" t="s">
        <v>24</v>
      </c>
      <c r="K65" s="1" t="str">
        <f>VLOOKUP(J65,'[1]Base SCA 02 2026'!V:X,3,0)</f>
        <v>RAFAEL XAVIER</v>
      </c>
      <c r="L65" s="1" t="str">
        <f>VLOOKUP(J65,'[1]Base SCA 02 2026'!V:Y,4,0)</f>
        <v>FERNANDO GUILHERME</v>
      </c>
      <c r="M65" s="1" t="str">
        <f>VLOOKUP(J65,'[1]Base SCA 02 2026'!V:Z,5,0)</f>
        <v>JUNIO COSTA</v>
      </c>
      <c r="N65" s="1" t="str">
        <f t="shared" si="0"/>
        <v>JUNIO COSTA</v>
      </c>
    </row>
    <row r="66" spans="1:14" x14ac:dyDescent="0.3">
      <c r="A66" s="1">
        <v>701822</v>
      </c>
      <c r="B66" s="1" t="s">
        <v>150</v>
      </c>
      <c r="C66" s="5" t="s">
        <v>15</v>
      </c>
      <c r="D66" s="2">
        <v>44088</v>
      </c>
      <c r="E66" s="1" t="s">
        <v>127</v>
      </c>
      <c r="F66" s="1">
        <v>22102</v>
      </c>
      <c r="G66" s="1" t="s">
        <v>68</v>
      </c>
      <c r="H66" s="1" t="s">
        <v>18</v>
      </c>
      <c r="J66" s="1" t="s">
        <v>94</v>
      </c>
      <c r="K66" s="1" t="str">
        <f>VLOOKUP(J66,'[1]Base SCA 02 2026'!V:X,3,0)</f>
        <v>PAULO BONIFÁCIO</v>
      </c>
      <c r="L66" s="1" t="str">
        <f>VLOOKUP(J66,'[1]Base SCA 02 2026'!V:Y,4,0)</f>
        <v xml:space="preserve">JOÃO KOMURA </v>
      </c>
      <c r="M66" s="1" t="str">
        <f>VLOOKUP(J66,'[1]Base SCA 02 2026'!V:Z,5,0)</f>
        <v>LUAN ABADIA</v>
      </c>
      <c r="N66" s="1" t="str">
        <f t="shared" si="0"/>
        <v>LUAN ABADIA</v>
      </c>
    </row>
    <row r="67" spans="1:14" x14ac:dyDescent="0.3">
      <c r="A67" s="1">
        <v>704879</v>
      </c>
      <c r="B67" s="1" t="s">
        <v>151</v>
      </c>
      <c r="C67" s="5" t="s">
        <v>15</v>
      </c>
      <c r="D67" s="2">
        <v>45586</v>
      </c>
      <c r="E67" s="1" t="s">
        <v>77</v>
      </c>
      <c r="F67" s="1">
        <v>38107</v>
      </c>
      <c r="G67" s="1" t="s">
        <v>1503</v>
      </c>
      <c r="H67" s="1" t="s">
        <v>18</v>
      </c>
      <c r="J67" s="1" t="s">
        <v>78</v>
      </c>
      <c r="K67" s="1" t="str">
        <f>VLOOKUP(J67,'[1]Base SCA 02 2026'!V:X,3,0)</f>
        <v xml:space="preserve">LEIDJANE MARTINS </v>
      </c>
      <c r="L67" s="1" t="str">
        <f>VLOOKUP(J67,'[1]Base SCA 02 2026'!V:Y,4,0)</f>
        <v xml:space="preserve">LEIDJANE MARTINS </v>
      </c>
      <c r="N67" s="1" t="str">
        <f t="shared" ref="N67:N130" si="1">IF(M67&lt;&gt;"", M67, IF(L67&lt;&gt;"", L67, K67))</f>
        <v xml:space="preserve">LEIDJANE MARTINS </v>
      </c>
    </row>
    <row r="68" spans="1:14" x14ac:dyDescent="0.3">
      <c r="A68" s="1">
        <v>704115</v>
      </c>
      <c r="B68" s="1" t="s">
        <v>155</v>
      </c>
      <c r="C68" s="5" t="s">
        <v>15</v>
      </c>
      <c r="D68" s="2">
        <v>45224</v>
      </c>
      <c r="E68" s="1" t="s">
        <v>156</v>
      </c>
      <c r="F68" s="1">
        <v>38101</v>
      </c>
      <c r="G68" s="1" t="s">
        <v>35</v>
      </c>
      <c r="H68" s="1" t="s">
        <v>18</v>
      </c>
      <c r="J68" s="1" t="s">
        <v>36</v>
      </c>
      <c r="K68" s="1" t="str">
        <f>VLOOKUP(J68,'[1]Base SCA 02 2026'!V:X,3,0)</f>
        <v xml:space="preserve">LEIDJANE MARTINS </v>
      </c>
      <c r="L68" s="1" t="str">
        <f>VLOOKUP(J68,'[1]Base SCA 02 2026'!V:Y,4,0)</f>
        <v xml:space="preserve">LEIDJANE MARTINS </v>
      </c>
      <c r="M68" s="1" t="str">
        <f>VLOOKUP(J68,'[1]Base SCA 02 2026'!V:Z,5,0)</f>
        <v>DENIS ACASSIO</v>
      </c>
      <c r="N68" s="1" t="str">
        <f t="shared" si="1"/>
        <v>DENIS ACASSIO</v>
      </c>
    </row>
    <row r="69" spans="1:14" x14ac:dyDescent="0.3">
      <c r="A69" s="1">
        <v>705828</v>
      </c>
      <c r="B69" s="1" t="s">
        <v>1536</v>
      </c>
      <c r="C69" s="5" t="s">
        <v>15</v>
      </c>
      <c r="D69" s="2">
        <v>46063</v>
      </c>
      <c r="E69" s="1" t="s">
        <v>31</v>
      </c>
      <c r="F69" s="1">
        <v>51219</v>
      </c>
      <c r="G69" s="1" t="s">
        <v>61</v>
      </c>
      <c r="H69" s="1" t="s">
        <v>18</v>
      </c>
      <c r="J69" s="1" t="s">
        <v>19</v>
      </c>
      <c r="K69" s="1" t="str">
        <f>VLOOKUP(J69,'[1]Base SCA 02 2026'!V:X,3,0)</f>
        <v>JOSÉ GOUVEA</v>
      </c>
      <c r="L69" s="1" t="str">
        <f>VLOOKUP(J69,'[1]Base SCA 02 2026'!V:Y,4,0)</f>
        <v>ALEX DIAS</v>
      </c>
      <c r="N69" s="1" t="str">
        <f t="shared" si="1"/>
        <v>ALEX DIAS</v>
      </c>
    </row>
    <row r="70" spans="1:14" x14ac:dyDescent="0.3">
      <c r="A70" s="1">
        <v>700068</v>
      </c>
      <c r="B70" s="1" t="s">
        <v>157</v>
      </c>
      <c r="C70" s="5" t="s">
        <v>15</v>
      </c>
      <c r="D70" s="2">
        <v>40637</v>
      </c>
      <c r="E70" s="1" t="s">
        <v>158</v>
      </c>
      <c r="F70" s="1">
        <v>15101</v>
      </c>
      <c r="G70" s="1" t="s">
        <v>447</v>
      </c>
      <c r="H70" s="1" t="s">
        <v>18</v>
      </c>
      <c r="J70" s="1" t="s">
        <v>448</v>
      </c>
      <c r="K70" s="1" t="str">
        <f>VLOOKUP(J70,'[1]Base SCA 02 2026'!V:X,3,0)</f>
        <v xml:space="preserve">RAFAEL VIRGENS </v>
      </c>
      <c r="L70" s="1" t="str">
        <f>VLOOKUP(J70,'[1]Base SCA 02 2026'!V:Y,4,0)</f>
        <v xml:space="preserve">RAFAEL VIRGENS </v>
      </c>
      <c r="N70" s="1" t="str">
        <f t="shared" si="1"/>
        <v xml:space="preserve">RAFAEL VIRGENS </v>
      </c>
    </row>
    <row r="71" spans="1:14" x14ac:dyDescent="0.3">
      <c r="A71" s="1">
        <v>101079</v>
      </c>
      <c r="B71" s="1" t="s">
        <v>159</v>
      </c>
      <c r="C71" s="5" t="s">
        <v>15</v>
      </c>
      <c r="D71" s="2">
        <v>42667</v>
      </c>
      <c r="E71" s="1" t="s">
        <v>160</v>
      </c>
      <c r="F71" s="1">
        <v>32101</v>
      </c>
      <c r="G71" s="1" t="s">
        <v>23</v>
      </c>
      <c r="H71" s="1" t="s">
        <v>18</v>
      </c>
      <c r="J71" s="1" t="s">
        <v>24</v>
      </c>
      <c r="K71" s="1" t="str">
        <f>VLOOKUP(J71,'[1]Base SCA 02 2026'!V:X,3,0)</f>
        <v>RAFAEL XAVIER</v>
      </c>
      <c r="L71" s="1" t="str">
        <f>VLOOKUP(J71,'[1]Base SCA 02 2026'!V:Y,4,0)</f>
        <v>FERNANDO GUILHERME</v>
      </c>
      <c r="M71" s="1" t="str">
        <f>VLOOKUP(J71,'[1]Base SCA 02 2026'!V:Z,5,0)</f>
        <v>JUNIO COSTA</v>
      </c>
      <c r="N71" s="1" t="str">
        <f t="shared" si="1"/>
        <v>JUNIO COSTA</v>
      </c>
    </row>
    <row r="72" spans="1:14" x14ac:dyDescent="0.3">
      <c r="A72" s="1">
        <v>705100</v>
      </c>
      <c r="B72" s="1" t="s">
        <v>740</v>
      </c>
      <c r="C72" s="5" t="s">
        <v>233</v>
      </c>
      <c r="D72" s="2">
        <v>45670</v>
      </c>
      <c r="E72" s="1" t="s">
        <v>22</v>
      </c>
      <c r="F72" s="1">
        <v>34101</v>
      </c>
      <c r="G72" s="1" t="s">
        <v>43</v>
      </c>
      <c r="H72" s="1" t="s">
        <v>18</v>
      </c>
      <c r="J72" s="1" t="s">
        <v>237</v>
      </c>
      <c r="K72" s="1" t="str">
        <f>VLOOKUP(J72,'[1]Base SCA 02 2026'!V:X,3,0)</f>
        <v>RAFAEL XAVIER</v>
      </c>
      <c r="L72" s="1" t="str">
        <f>VLOOKUP(J72,'[1]Base SCA 02 2026'!V:Y,4,0)</f>
        <v>IVONEI CAMPOS</v>
      </c>
      <c r="M72" s="1" t="str">
        <f>VLOOKUP(J72,'[1]Base SCA 02 2026'!V:Z,5,0)</f>
        <v xml:space="preserve">MARCOS VINICIUS </v>
      </c>
      <c r="N72" s="1" t="str">
        <f t="shared" si="1"/>
        <v xml:space="preserve">MARCOS VINICIUS </v>
      </c>
    </row>
    <row r="73" spans="1:14" x14ac:dyDescent="0.3">
      <c r="A73" s="1">
        <v>702683</v>
      </c>
      <c r="B73" s="1" t="s">
        <v>161</v>
      </c>
      <c r="C73" s="5" t="s">
        <v>15</v>
      </c>
      <c r="D73" s="2">
        <v>44517</v>
      </c>
      <c r="E73" s="1" t="s">
        <v>162</v>
      </c>
      <c r="F73" s="1">
        <v>32101</v>
      </c>
      <c r="G73" s="1" t="s">
        <v>23</v>
      </c>
      <c r="H73" s="1" t="s">
        <v>18</v>
      </c>
      <c r="J73" s="1" t="s">
        <v>24</v>
      </c>
      <c r="K73" s="1" t="str">
        <f>VLOOKUP(J73,'[1]Base SCA 02 2026'!V:X,3,0)</f>
        <v>RAFAEL XAVIER</v>
      </c>
      <c r="L73" s="1" t="str">
        <f>VLOOKUP(J73,'[1]Base SCA 02 2026'!V:Y,4,0)</f>
        <v>FERNANDO GUILHERME</v>
      </c>
      <c r="M73" s="1" t="str">
        <f>VLOOKUP(J73,'[1]Base SCA 02 2026'!V:Z,5,0)</f>
        <v>JUNIO COSTA</v>
      </c>
      <c r="N73" s="1" t="str">
        <f t="shared" si="1"/>
        <v>JUNIO COSTA</v>
      </c>
    </row>
    <row r="74" spans="1:14" x14ac:dyDescent="0.3">
      <c r="A74" s="1">
        <v>705754</v>
      </c>
      <c r="B74" s="1" t="s">
        <v>1477</v>
      </c>
      <c r="C74" s="5" t="s">
        <v>15</v>
      </c>
      <c r="D74" s="2">
        <v>45993</v>
      </c>
      <c r="E74" s="1" t="s">
        <v>31</v>
      </c>
      <c r="F74" s="1">
        <v>51219</v>
      </c>
      <c r="G74" s="1" t="s">
        <v>61</v>
      </c>
      <c r="H74" s="1" t="s">
        <v>18</v>
      </c>
      <c r="J74" s="1" t="s">
        <v>19</v>
      </c>
      <c r="K74" s="1" t="str">
        <f>VLOOKUP(J74,'[1]Base SCA 02 2026'!V:X,3,0)</f>
        <v>JOSÉ GOUVEA</v>
      </c>
      <c r="L74" s="1" t="str">
        <f>VLOOKUP(J74,'[1]Base SCA 02 2026'!V:Y,4,0)</f>
        <v>ALEX DIAS</v>
      </c>
      <c r="N74" s="1" t="str">
        <f t="shared" si="1"/>
        <v>ALEX DIAS</v>
      </c>
    </row>
    <row r="75" spans="1:14" x14ac:dyDescent="0.3">
      <c r="A75" s="1">
        <v>703848</v>
      </c>
      <c r="B75" s="1" t="s">
        <v>163</v>
      </c>
      <c r="C75" s="5" t="s">
        <v>15</v>
      </c>
      <c r="D75" s="2">
        <v>45054</v>
      </c>
      <c r="E75" s="1" t="s">
        <v>164</v>
      </c>
      <c r="F75" s="1">
        <v>39301</v>
      </c>
      <c r="G75" s="1" t="s">
        <v>73</v>
      </c>
      <c r="H75" s="1" t="s">
        <v>18</v>
      </c>
      <c r="J75" s="1" t="s">
        <v>74</v>
      </c>
      <c r="K75" s="1" t="str">
        <f>VLOOKUP(J75,'[1]Base SCA 02 2026'!V:X,3,0)</f>
        <v>PAULO BONIFÁCIO</v>
      </c>
      <c r="L75" s="1" t="str">
        <f>VLOOKUP(J75,'[1]Base SCA 02 2026'!V:Y,4,0)</f>
        <v>ALDAIR BORGES</v>
      </c>
      <c r="M75" s="1" t="str">
        <f>VLOOKUP(J75,'[1]Base SCA 02 2026'!V:Z,5,0)</f>
        <v>ISAC NONATO</v>
      </c>
      <c r="N75" s="1" t="str">
        <f t="shared" si="1"/>
        <v>ISAC NONATO</v>
      </c>
    </row>
    <row r="76" spans="1:14" x14ac:dyDescent="0.3">
      <c r="A76" s="1">
        <v>702913</v>
      </c>
      <c r="B76" s="1" t="s">
        <v>165</v>
      </c>
      <c r="C76" s="5" t="s">
        <v>15</v>
      </c>
      <c r="D76" s="2">
        <v>44656</v>
      </c>
      <c r="E76" s="1" t="s">
        <v>166</v>
      </c>
      <c r="F76" s="1">
        <v>22102</v>
      </c>
      <c r="G76" s="1" t="s">
        <v>68</v>
      </c>
      <c r="H76" s="1" t="s">
        <v>18</v>
      </c>
      <c r="J76" s="1" t="s">
        <v>167</v>
      </c>
      <c r="K76" s="1" t="str">
        <f>VLOOKUP(J76,'[1]Base SCA 02 2026'!V:X,3,0)</f>
        <v>PAULO BONIFÁCIO</v>
      </c>
      <c r="L76" s="1" t="str">
        <f>VLOOKUP(J76,'[1]Base SCA 02 2026'!V:Y,4,0)</f>
        <v>MAURICIO SANTOS</v>
      </c>
      <c r="M76" s="1" t="str">
        <f>VLOOKUP(J76,'[1]Base SCA 02 2026'!V:Z,5,0)</f>
        <v>FABIANO</v>
      </c>
      <c r="N76" s="1" t="str">
        <f t="shared" si="1"/>
        <v>FABIANO</v>
      </c>
    </row>
    <row r="77" spans="1:14" x14ac:dyDescent="0.3">
      <c r="A77" s="1">
        <v>705701</v>
      </c>
      <c r="B77" s="1" t="s">
        <v>1443</v>
      </c>
      <c r="C77" s="5" t="s">
        <v>92</v>
      </c>
      <c r="D77" s="2">
        <v>45971</v>
      </c>
      <c r="E77" s="1" t="s">
        <v>31</v>
      </c>
      <c r="F77" s="1">
        <v>25102</v>
      </c>
      <c r="G77" s="1" t="s">
        <v>1153</v>
      </c>
      <c r="H77" s="1" t="s">
        <v>18</v>
      </c>
      <c r="I77" s="2">
        <v>46060</v>
      </c>
      <c r="J77" s="1" t="s">
        <v>19</v>
      </c>
      <c r="K77" s="1" t="str">
        <f>VLOOKUP(J77,'[1]Base SCA 02 2026'!V:X,3,0)</f>
        <v>JOSÉ GOUVEA</v>
      </c>
      <c r="L77" s="1" t="str">
        <f>VLOOKUP(J77,'[1]Base SCA 02 2026'!V:Y,4,0)</f>
        <v>ALEX DIAS</v>
      </c>
      <c r="N77" s="1" t="str">
        <f t="shared" si="1"/>
        <v>ALEX DIAS</v>
      </c>
    </row>
    <row r="78" spans="1:14" x14ac:dyDescent="0.3">
      <c r="A78" s="1">
        <v>705088</v>
      </c>
      <c r="B78" s="1" t="s">
        <v>168</v>
      </c>
      <c r="C78" s="5" t="s">
        <v>15</v>
      </c>
      <c r="D78" s="2">
        <v>45670</v>
      </c>
      <c r="E78" s="1" t="s">
        <v>31</v>
      </c>
      <c r="F78" s="1">
        <v>52104</v>
      </c>
      <c r="G78" s="1" t="s">
        <v>17</v>
      </c>
      <c r="H78" s="1" t="s">
        <v>18</v>
      </c>
      <c r="J78" s="1" t="s">
        <v>19</v>
      </c>
      <c r="K78" s="1" t="str">
        <f>VLOOKUP(J78,'[1]Base SCA 02 2026'!V:X,3,0)</f>
        <v>JOSÉ GOUVEA</v>
      </c>
      <c r="L78" s="1" t="str">
        <f>VLOOKUP(J78,'[1]Base SCA 02 2026'!V:Y,4,0)</f>
        <v>ALEX DIAS</v>
      </c>
      <c r="N78" s="1" t="str">
        <f t="shared" si="1"/>
        <v>ALEX DIAS</v>
      </c>
    </row>
    <row r="79" spans="1:14" x14ac:dyDescent="0.3">
      <c r="A79" s="1">
        <v>702920</v>
      </c>
      <c r="B79" s="1" t="s">
        <v>169</v>
      </c>
      <c r="C79" s="5" t="s">
        <v>15</v>
      </c>
      <c r="D79" s="2">
        <v>44656</v>
      </c>
      <c r="E79" s="1" t="s">
        <v>121</v>
      </c>
      <c r="F79" s="1">
        <v>22102</v>
      </c>
      <c r="G79" s="1" t="s">
        <v>68</v>
      </c>
      <c r="H79" s="1" t="s">
        <v>18</v>
      </c>
      <c r="J79" s="1" t="s">
        <v>94</v>
      </c>
      <c r="K79" s="1" t="str">
        <f>VLOOKUP(J79,'[1]Base SCA 02 2026'!V:X,3,0)</f>
        <v>PAULO BONIFÁCIO</v>
      </c>
      <c r="L79" s="1" t="str">
        <f>VLOOKUP(J79,'[1]Base SCA 02 2026'!V:Y,4,0)</f>
        <v xml:space="preserve">JOÃO KOMURA </v>
      </c>
      <c r="M79" s="1" t="str">
        <f>VLOOKUP(J79,'[1]Base SCA 02 2026'!V:Z,5,0)</f>
        <v>LUAN ABADIA</v>
      </c>
      <c r="N79" s="1" t="str">
        <f t="shared" si="1"/>
        <v>LUAN ABADIA</v>
      </c>
    </row>
    <row r="80" spans="1:14" x14ac:dyDescent="0.3">
      <c r="A80" s="1">
        <v>705482</v>
      </c>
      <c r="B80" s="1" t="s">
        <v>1273</v>
      </c>
      <c r="C80" s="5" t="s">
        <v>92</v>
      </c>
      <c r="D80" s="2">
        <v>45824</v>
      </c>
      <c r="E80" s="1" t="s">
        <v>22</v>
      </c>
      <c r="F80" s="1">
        <v>34101</v>
      </c>
      <c r="G80" s="1" t="s">
        <v>43</v>
      </c>
      <c r="H80" s="1" t="s">
        <v>18</v>
      </c>
      <c r="I80" s="2">
        <v>46057</v>
      </c>
      <c r="J80" s="1" t="s">
        <v>237</v>
      </c>
      <c r="K80" s="1" t="str">
        <f>VLOOKUP(J80,'[1]Base SCA 02 2026'!V:X,3,0)</f>
        <v>RAFAEL XAVIER</v>
      </c>
      <c r="L80" s="1" t="str">
        <f>VLOOKUP(J80,'[1]Base SCA 02 2026'!V:Y,4,0)</f>
        <v>IVONEI CAMPOS</v>
      </c>
      <c r="M80" s="1" t="str">
        <f>VLOOKUP(J80,'[1]Base SCA 02 2026'!V:Z,5,0)</f>
        <v xml:space="preserve">MARCOS VINICIUS </v>
      </c>
      <c r="N80" s="1" t="str">
        <f t="shared" si="1"/>
        <v xml:space="preserve">MARCOS VINICIUS </v>
      </c>
    </row>
    <row r="81" spans="1:14" x14ac:dyDescent="0.3">
      <c r="A81" s="1">
        <v>705125</v>
      </c>
      <c r="B81" s="1" t="s">
        <v>1140</v>
      </c>
      <c r="C81" s="5" t="s">
        <v>15</v>
      </c>
      <c r="D81" s="2">
        <v>45698</v>
      </c>
      <c r="E81" s="1" t="s">
        <v>268</v>
      </c>
      <c r="F81" s="1">
        <v>33101</v>
      </c>
      <c r="G81" s="1" t="s">
        <v>186</v>
      </c>
      <c r="H81" s="1" t="s">
        <v>18</v>
      </c>
      <c r="J81" s="1" t="s">
        <v>44</v>
      </c>
      <c r="K81" s="1" t="str">
        <f>VLOOKUP(J81,'[1]Base SCA 02 2026'!V:X,3,0)</f>
        <v>RAFAEL XAVIER</v>
      </c>
      <c r="L81" s="1" t="str">
        <f>VLOOKUP(J81,'[1]Base SCA 02 2026'!V:Y,4,0)</f>
        <v>IVONEI CAMPOS</v>
      </c>
      <c r="M81" s="1" t="str">
        <f>VLOOKUP(J81,'[1]Base SCA 02 2026'!V:Z,5,0)</f>
        <v>TALLES RYAN</v>
      </c>
      <c r="N81" s="1" t="str">
        <f t="shared" si="1"/>
        <v>TALLES RYAN</v>
      </c>
    </row>
    <row r="82" spans="1:14" x14ac:dyDescent="0.3">
      <c r="A82" s="1">
        <v>701112</v>
      </c>
      <c r="B82" s="1" t="s">
        <v>170</v>
      </c>
      <c r="C82" s="5" t="s">
        <v>15</v>
      </c>
      <c r="D82" s="2">
        <v>43641</v>
      </c>
      <c r="E82" s="1" t="s">
        <v>80</v>
      </c>
      <c r="F82" s="1">
        <v>22102</v>
      </c>
      <c r="G82" s="1" t="s">
        <v>68</v>
      </c>
      <c r="H82" s="1" t="s">
        <v>18</v>
      </c>
      <c r="J82" s="1" t="s">
        <v>167</v>
      </c>
      <c r="K82" s="1" t="str">
        <f>VLOOKUP(J82,'[1]Base SCA 02 2026'!V:X,3,0)</f>
        <v>PAULO BONIFÁCIO</v>
      </c>
      <c r="L82" s="1" t="str">
        <f>VLOOKUP(J82,'[1]Base SCA 02 2026'!V:Y,4,0)</f>
        <v>MAURICIO SANTOS</v>
      </c>
      <c r="M82" s="1" t="str">
        <f>VLOOKUP(J82,'[1]Base SCA 02 2026'!V:Z,5,0)</f>
        <v>FABIANO</v>
      </c>
      <c r="N82" s="1" t="str">
        <f t="shared" si="1"/>
        <v>FABIANO</v>
      </c>
    </row>
    <row r="83" spans="1:14" x14ac:dyDescent="0.3">
      <c r="A83" s="1">
        <v>703544</v>
      </c>
      <c r="B83" s="1" t="s">
        <v>171</v>
      </c>
      <c r="C83" s="5" t="s">
        <v>15</v>
      </c>
      <c r="D83" s="2">
        <v>44935</v>
      </c>
      <c r="E83" s="1" t="s">
        <v>1312</v>
      </c>
      <c r="F83" s="1">
        <v>22101</v>
      </c>
      <c r="G83" s="1" t="s">
        <v>122</v>
      </c>
      <c r="H83" s="1" t="s">
        <v>18</v>
      </c>
      <c r="J83" s="1" t="s">
        <v>123</v>
      </c>
      <c r="K83" s="1" t="str">
        <f>VLOOKUP(J83,'[1]Base SCA 02 2026'!V:X,3,0)</f>
        <v>MATHEUS FERNANDES</v>
      </c>
      <c r="L83" s="1" t="str">
        <f>VLOOKUP(J83,'[1]Base SCA 02 2026'!V:Y,4,0)</f>
        <v>MATHEUS FERNANDES</v>
      </c>
      <c r="N83" s="1" t="str">
        <f t="shared" si="1"/>
        <v>MATHEUS FERNANDES</v>
      </c>
    </row>
    <row r="84" spans="1:14" x14ac:dyDescent="0.3">
      <c r="A84" s="1">
        <v>704415</v>
      </c>
      <c r="B84" s="1" t="s">
        <v>172</v>
      </c>
      <c r="C84" s="5" t="s">
        <v>15</v>
      </c>
      <c r="D84" s="2">
        <v>45391</v>
      </c>
      <c r="E84" s="1" t="s">
        <v>173</v>
      </c>
      <c r="F84" s="1">
        <v>32101</v>
      </c>
      <c r="G84" s="1" t="s">
        <v>23</v>
      </c>
      <c r="H84" s="1" t="s">
        <v>18</v>
      </c>
      <c r="J84" s="1" t="s">
        <v>24</v>
      </c>
      <c r="K84" s="1" t="str">
        <f>VLOOKUP(J84,'[1]Base SCA 02 2026'!V:X,3,0)</f>
        <v>RAFAEL XAVIER</v>
      </c>
      <c r="L84" s="1" t="str">
        <f>VLOOKUP(J84,'[1]Base SCA 02 2026'!V:Y,4,0)</f>
        <v>FERNANDO GUILHERME</v>
      </c>
      <c r="M84" s="1" t="str">
        <f>VLOOKUP(J84,'[1]Base SCA 02 2026'!V:Z,5,0)</f>
        <v>JUNIO COSTA</v>
      </c>
      <c r="N84" s="1" t="str">
        <f t="shared" si="1"/>
        <v>JUNIO COSTA</v>
      </c>
    </row>
    <row r="85" spans="1:14" x14ac:dyDescent="0.3">
      <c r="A85" s="1">
        <v>704774</v>
      </c>
      <c r="B85" s="1" t="s">
        <v>174</v>
      </c>
      <c r="C85" s="5" t="s">
        <v>15</v>
      </c>
      <c r="D85" s="2">
        <v>45552</v>
      </c>
      <c r="E85" s="1" t="s">
        <v>1346</v>
      </c>
      <c r="F85" s="1">
        <v>39201</v>
      </c>
      <c r="G85" s="1" t="s">
        <v>153</v>
      </c>
      <c r="H85" s="1" t="s">
        <v>18</v>
      </c>
      <c r="J85" s="1" t="s">
        <v>154</v>
      </c>
      <c r="K85" s="1" t="str">
        <f>VLOOKUP(J85,'[1]Base SCA 02 2026'!V:X,3,0)</f>
        <v>ANDREZA LARDO</v>
      </c>
      <c r="L85" s="1" t="str">
        <f>VLOOKUP(J85,'[1]Base SCA 02 2026'!V:Y,4,0)</f>
        <v>ANDREZA LARDO</v>
      </c>
      <c r="M85" s="1" t="str">
        <f>VLOOKUP(J85,'[1]Base SCA 02 2026'!V:Z,5,0)</f>
        <v>ADENILTON RODRIGUES</v>
      </c>
      <c r="N85" s="1" t="str">
        <f t="shared" si="1"/>
        <v>ADENILTON RODRIGUES</v>
      </c>
    </row>
    <row r="86" spans="1:14" x14ac:dyDescent="0.3">
      <c r="A86" s="1">
        <v>702543</v>
      </c>
      <c r="B86" s="1" t="s">
        <v>176</v>
      </c>
      <c r="C86" s="5" t="s">
        <v>15</v>
      </c>
      <c r="D86" s="2">
        <v>44452</v>
      </c>
      <c r="E86" s="1" t="s">
        <v>111</v>
      </c>
      <c r="F86" s="1">
        <v>31104</v>
      </c>
      <c r="G86" s="1" t="s">
        <v>130</v>
      </c>
      <c r="H86" s="1" t="s">
        <v>18</v>
      </c>
      <c r="J86" s="1" t="s">
        <v>131</v>
      </c>
      <c r="K86" s="1" t="str">
        <f>VLOOKUP(J86,'[1]Base SCA 02 2026'!V:X,3,0)</f>
        <v xml:space="preserve">GISELE NASCENTE </v>
      </c>
      <c r="L86" s="1" t="str">
        <f>VLOOKUP(J86,'[1]Base SCA 02 2026'!V:Y,4,0)</f>
        <v xml:space="preserve">GISELE NASCENTE </v>
      </c>
      <c r="M86" s="1" t="str">
        <f>VLOOKUP(J86,'[1]Base SCA 02 2026'!V:Z,5,0)</f>
        <v>MARCOS OLIVEIRA</v>
      </c>
      <c r="N86" s="1" t="str">
        <f t="shared" si="1"/>
        <v>MARCOS OLIVEIRA</v>
      </c>
    </row>
    <row r="87" spans="1:14" x14ac:dyDescent="0.3">
      <c r="A87" s="1">
        <v>705513</v>
      </c>
      <c r="B87" s="1" t="s">
        <v>1289</v>
      </c>
      <c r="C87" s="5" t="s">
        <v>15</v>
      </c>
      <c r="D87" s="2">
        <v>45847</v>
      </c>
      <c r="E87" s="1" t="s">
        <v>91</v>
      </c>
      <c r="F87" s="1">
        <v>34201</v>
      </c>
      <c r="G87" s="1" t="s">
        <v>84</v>
      </c>
      <c r="H87" s="1" t="s">
        <v>18</v>
      </c>
      <c r="J87" s="1" t="s">
        <v>85</v>
      </c>
      <c r="K87" s="1" t="str">
        <f>VLOOKUP(J87,'[1]Base SCA 02 2026'!V:X,3,0)</f>
        <v>PAULO BONIFÁCIO</v>
      </c>
      <c r="L87" s="1" t="str">
        <f>VLOOKUP(J87,'[1]Base SCA 02 2026'!V:Y,4,0)</f>
        <v>PAULO BONIFÁCIO</v>
      </c>
      <c r="M87" s="1" t="str">
        <f>VLOOKUP(J87,'[1]Base SCA 02 2026'!V:Z,5,0)</f>
        <v xml:space="preserve">LEONARDO SANTOS </v>
      </c>
      <c r="N87" s="1" t="str">
        <f t="shared" si="1"/>
        <v xml:space="preserve">LEONARDO SANTOS </v>
      </c>
    </row>
    <row r="88" spans="1:14" x14ac:dyDescent="0.3">
      <c r="A88" s="1">
        <v>705695</v>
      </c>
      <c r="B88" s="1" t="s">
        <v>1444</v>
      </c>
      <c r="C88" s="5" t="s">
        <v>15</v>
      </c>
      <c r="D88" s="2">
        <v>45971</v>
      </c>
      <c r="E88" s="1" t="s">
        <v>1345</v>
      </c>
      <c r="F88" s="1">
        <v>32101</v>
      </c>
      <c r="G88" s="1" t="s">
        <v>23</v>
      </c>
      <c r="H88" s="1" t="s">
        <v>18</v>
      </c>
      <c r="J88" s="1" t="s">
        <v>24</v>
      </c>
      <c r="K88" s="1" t="str">
        <f>VLOOKUP(J88,'[1]Base SCA 02 2026'!V:X,3,0)</f>
        <v>RAFAEL XAVIER</v>
      </c>
      <c r="L88" s="1" t="str">
        <f>VLOOKUP(J88,'[1]Base SCA 02 2026'!V:Y,4,0)</f>
        <v>FERNANDO GUILHERME</v>
      </c>
      <c r="M88" s="1" t="str">
        <f>VLOOKUP(J88,'[1]Base SCA 02 2026'!V:Z,5,0)</f>
        <v>JUNIO COSTA</v>
      </c>
      <c r="N88" s="1" t="str">
        <f t="shared" si="1"/>
        <v>JUNIO COSTA</v>
      </c>
    </row>
    <row r="89" spans="1:14" x14ac:dyDescent="0.3">
      <c r="A89" s="1">
        <v>705044</v>
      </c>
      <c r="B89" s="1" t="s">
        <v>177</v>
      </c>
      <c r="C89" s="5" t="s">
        <v>15</v>
      </c>
      <c r="D89" s="2">
        <v>45636</v>
      </c>
      <c r="E89" s="1" t="s">
        <v>1347</v>
      </c>
      <c r="F89" s="1">
        <v>32101</v>
      </c>
      <c r="G89" s="1" t="s">
        <v>23</v>
      </c>
      <c r="H89" s="1" t="s">
        <v>18</v>
      </c>
      <c r="J89" s="1" t="s">
        <v>24</v>
      </c>
      <c r="K89" s="1" t="str">
        <f>VLOOKUP(J89,'[1]Base SCA 02 2026'!V:X,3,0)</f>
        <v>RAFAEL XAVIER</v>
      </c>
      <c r="L89" s="1" t="str">
        <f>VLOOKUP(J89,'[1]Base SCA 02 2026'!V:Y,4,0)</f>
        <v>FERNANDO GUILHERME</v>
      </c>
      <c r="M89" s="1" t="str">
        <f>VLOOKUP(J89,'[1]Base SCA 02 2026'!V:Z,5,0)</f>
        <v>JUNIO COSTA</v>
      </c>
      <c r="N89" s="1" t="str">
        <f t="shared" si="1"/>
        <v>JUNIO COSTA</v>
      </c>
    </row>
    <row r="90" spans="1:14" x14ac:dyDescent="0.3">
      <c r="A90" s="1">
        <v>703054</v>
      </c>
      <c r="B90" s="1" t="s">
        <v>178</v>
      </c>
      <c r="C90" s="5" t="s">
        <v>15</v>
      </c>
      <c r="D90" s="2">
        <v>44699</v>
      </c>
      <c r="E90" s="1" t="s">
        <v>179</v>
      </c>
      <c r="F90" s="1">
        <v>32101</v>
      </c>
      <c r="G90" s="1" t="s">
        <v>23</v>
      </c>
      <c r="H90" s="1" t="s">
        <v>18</v>
      </c>
      <c r="J90" s="1" t="s">
        <v>24</v>
      </c>
      <c r="K90" s="1" t="str">
        <f>VLOOKUP(J90,'[1]Base SCA 02 2026'!V:X,3,0)</f>
        <v>RAFAEL XAVIER</v>
      </c>
      <c r="L90" s="1" t="str">
        <f>VLOOKUP(J90,'[1]Base SCA 02 2026'!V:Y,4,0)</f>
        <v>FERNANDO GUILHERME</v>
      </c>
      <c r="M90" s="1" t="str">
        <f>VLOOKUP(J90,'[1]Base SCA 02 2026'!V:Z,5,0)</f>
        <v>JUNIO COSTA</v>
      </c>
      <c r="N90" s="1" t="str">
        <f t="shared" si="1"/>
        <v>JUNIO COSTA</v>
      </c>
    </row>
    <row r="91" spans="1:14" x14ac:dyDescent="0.3">
      <c r="A91" s="1">
        <v>702900</v>
      </c>
      <c r="B91" s="1" t="s">
        <v>180</v>
      </c>
      <c r="C91" s="5" t="s">
        <v>15</v>
      </c>
      <c r="D91" s="2">
        <v>44642</v>
      </c>
      <c r="E91" s="1" t="s">
        <v>83</v>
      </c>
      <c r="F91" s="1">
        <v>34201</v>
      </c>
      <c r="G91" s="1" t="s">
        <v>84</v>
      </c>
      <c r="H91" s="1" t="s">
        <v>18</v>
      </c>
      <c r="J91" s="1" t="s">
        <v>85</v>
      </c>
      <c r="K91" s="1" t="str">
        <f>VLOOKUP(J91,'[1]Base SCA 02 2026'!V:X,3,0)</f>
        <v>PAULO BONIFÁCIO</v>
      </c>
      <c r="L91" s="1" t="str">
        <f>VLOOKUP(J91,'[1]Base SCA 02 2026'!V:Y,4,0)</f>
        <v>PAULO BONIFÁCIO</v>
      </c>
      <c r="M91" s="1" t="str">
        <f>VLOOKUP(J91,'[1]Base SCA 02 2026'!V:Z,5,0)</f>
        <v xml:space="preserve">LEONARDO SANTOS </v>
      </c>
      <c r="N91" s="1" t="str">
        <f t="shared" si="1"/>
        <v xml:space="preserve">LEONARDO SANTOS </v>
      </c>
    </row>
    <row r="92" spans="1:14" x14ac:dyDescent="0.3">
      <c r="A92" s="1">
        <v>703926</v>
      </c>
      <c r="B92" s="1" t="s">
        <v>181</v>
      </c>
      <c r="C92" s="5" t="s">
        <v>15</v>
      </c>
      <c r="D92" s="2">
        <v>45083</v>
      </c>
      <c r="E92" s="1" t="s">
        <v>16</v>
      </c>
      <c r="F92" s="1">
        <v>22102</v>
      </c>
      <c r="G92" s="1" t="s">
        <v>68</v>
      </c>
      <c r="H92" s="1" t="s">
        <v>18</v>
      </c>
      <c r="J92" s="1" t="s">
        <v>94</v>
      </c>
      <c r="K92" s="1" t="str">
        <f>VLOOKUP(J92,'[1]Base SCA 02 2026'!V:X,3,0)</f>
        <v>PAULO BONIFÁCIO</v>
      </c>
      <c r="L92" s="1" t="str">
        <f>VLOOKUP(J92,'[1]Base SCA 02 2026'!V:Y,4,0)</f>
        <v xml:space="preserve">JOÃO KOMURA </v>
      </c>
      <c r="M92" s="1" t="str">
        <f>VLOOKUP(J92,'[1]Base SCA 02 2026'!V:Z,5,0)</f>
        <v>LUAN ABADIA</v>
      </c>
      <c r="N92" s="1" t="str">
        <f t="shared" si="1"/>
        <v>LUAN ABADIA</v>
      </c>
    </row>
    <row r="93" spans="1:14" x14ac:dyDescent="0.3">
      <c r="A93" s="1">
        <v>705484</v>
      </c>
      <c r="B93" s="1" t="s">
        <v>1304</v>
      </c>
      <c r="C93" s="5" t="s">
        <v>15</v>
      </c>
      <c r="D93" s="2">
        <v>45839</v>
      </c>
      <c r="E93" s="1" t="s">
        <v>31</v>
      </c>
      <c r="F93" s="1">
        <v>22102</v>
      </c>
      <c r="G93" s="1" t="s">
        <v>68</v>
      </c>
      <c r="H93" s="1" t="s">
        <v>18</v>
      </c>
      <c r="J93" s="1" t="s">
        <v>81</v>
      </c>
      <c r="K93" s="1" t="str">
        <f>VLOOKUP(J93,'[1]Base SCA 02 2026'!V:X,3,0)</f>
        <v>PAULO BONIFÁCIO</v>
      </c>
      <c r="L93" s="1" t="str">
        <f>VLOOKUP(J93,'[1]Base SCA 02 2026'!V:Y,4,0)</f>
        <v>MAURICIO SANTOS</v>
      </c>
      <c r="M93" s="1" t="str">
        <f>VLOOKUP(J93,'[1]Base SCA 02 2026'!V:Z,5,0)</f>
        <v xml:space="preserve">EDSON/MARCELO LIMA </v>
      </c>
      <c r="N93" s="1" t="str">
        <f t="shared" si="1"/>
        <v xml:space="preserve">EDSON/MARCELO LIMA </v>
      </c>
    </row>
    <row r="94" spans="1:14" x14ac:dyDescent="0.3">
      <c r="A94" s="1">
        <v>705121</v>
      </c>
      <c r="B94" s="1" t="s">
        <v>747</v>
      </c>
      <c r="C94" s="5" t="s">
        <v>15</v>
      </c>
      <c r="D94" s="2">
        <v>45678</v>
      </c>
      <c r="E94" s="1" t="s">
        <v>1086</v>
      </c>
      <c r="F94" s="1">
        <v>31104</v>
      </c>
      <c r="G94" s="1" t="s">
        <v>130</v>
      </c>
      <c r="H94" s="1" t="s">
        <v>18</v>
      </c>
      <c r="J94" s="1" t="s">
        <v>131</v>
      </c>
      <c r="K94" s="1" t="str">
        <f>VLOOKUP(J94,'[1]Base SCA 02 2026'!V:X,3,0)</f>
        <v xml:space="preserve">GISELE NASCENTE </v>
      </c>
      <c r="L94" s="1" t="str">
        <f>VLOOKUP(J94,'[1]Base SCA 02 2026'!V:Y,4,0)</f>
        <v xml:space="preserve">GISELE NASCENTE </v>
      </c>
      <c r="M94" s="1" t="str">
        <f>VLOOKUP(J94,'[1]Base SCA 02 2026'!V:Z,5,0)</f>
        <v>MARCOS OLIVEIRA</v>
      </c>
      <c r="N94" s="1" t="str">
        <f t="shared" si="1"/>
        <v>MARCOS OLIVEIRA</v>
      </c>
    </row>
    <row r="95" spans="1:14" x14ac:dyDescent="0.3">
      <c r="A95" s="1">
        <v>704701</v>
      </c>
      <c r="B95" s="1" t="s">
        <v>182</v>
      </c>
      <c r="C95" s="5" t="s">
        <v>15</v>
      </c>
      <c r="D95" s="2">
        <v>45509</v>
      </c>
      <c r="E95" s="1" t="s">
        <v>22</v>
      </c>
      <c r="F95" s="1">
        <v>34101</v>
      </c>
      <c r="G95" s="1" t="s">
        <v>43</v>
      </c>
      <c r="H95" s="1" t="s">
        <v>18</v>
      </c>
      <c r="J95" s="1" t="s">
        <v>65</v>
      </c>
      <c r="K95" s="1" t="str">
        <f>VLOOKUP(J95,'[1]Base SCA 02 2026'!V:X,3,0)</f>
        <v>RAFAEL XAVIER</v>
      </c>
      <c r="L95" s="1" t="str">
        <f>VLOOKUP(J95,'[1]Base SCA 02 2026'!V:Y,4,0)</f>
        <v>IVONEI CAMPOS</v>
      </c>
      <c r="M95" s="1" t="str">
        <f>VLOOKUP(J95,'[1]Base SCA 02 2026'!V:Z,5,0)</f>
        <v>ANDRÉ CUBA</v>
      </c>
      <c r="N95" s="1" t="str">
        <f t="shared" si="1"/>
        <v>ANDRÉ CUBA</v>
      </c>
    </row>
    <row r="96" spans="1:14" x14ac:dyDescent="0.3">
      <c r="A96" s="1">
        <v>701723</v>
      </c>
      <c r="B96" s="1" t="s">
        <v>183</v>
      </c>
      <c r="C96" s="5" t="s">
        <v>15</v>
      </c>
      <c r="D96" s="2">
        <v>44025</v>
      </c>
      <c r="E96" s="1" t="s">
        <v>127</v>
      </c>
      <c r="F96" s="1">
        <v>22102</v>
      </c>
      <c r="G96" s="1" t="s">
        <v>68</v>
      </c>
      <c r="H96" s="1" t="s">
        <v>18</v>
      </c>
      <c r="J96" s="1" t="s">
        <v>94</v>
      </c>
      <c r="K96" s="1" t="str">
        <f>VLOOKUP(J96,'[1]Base SCA 02 2026'!V:X,3,0)</f>
        <v>PAULO BONIFÁCIO</v>
      </c>
      <c r="L96" s="1" t="str">
        <f>VLOOKUP(J96,'[1]Base SCA 02 2026'!V:Y,4,0)</f>
        <v xml:space="preserve">JOÃO KOMURA </v>
      </c>
      <c r="M96" s="1" t="str">
        <f>VLOOKUP(J96,'[1]Base SCA 02 2026'!V:Z,5,0)</f>
        <v>LUAN ABADIA</v>
      </c>
      <c r="N96" s="1" t="str">
        <f t="shared" si="1"/>
        <v>LUAN ABADIA</v>
      </c>
    </row>
    <row r="97" spans="1:14" x14ac:dyDescent="0.3">
      <c r="A97" s="1">
        <v>704917</v>
      </c>
      <c r="B97" s="1" t="s">
        <v>750</v>
      </c>
      <c r="C97" s="5" t="s">
        <v>15</v>
      </c>
      <c r="D97" s="2">
        <v>45601</v>
      </c>
      <c r="E97" s="1" t="s">
        <v>93</v>
      </c>
      <c r="F97" s="1">
        <v>22102</v>
      </c>
      <c r="G97" s="1" t="s">
        <v>68</v>
      </c>
      <c r="H97" s="1" t="s">
        <v>18</v>
      </c>
      <c r="J97" s="1" t="s">
        <v>94</v>
      </c>
      <c r="K97" s="1" t="str">
        <f>VLOOKUP(J97,'[1]Base SCA 02 2026'!V:X,3,0)</f>
        <v>PAULO BONIFÁCIO</v>
      </c>
      <c r="L97" s="1" t="str">
        <f>VLOOKUP(J97,'[1]Base SCA 02 2026'!V:Y,4,0)</f>
        <v xml:space="preserve">JOÃO KOMURA </v>
      </c>
      <c r="M97" s="1" t="str">
        <f>VLOOKUP(J97,'[1]Base SCA 02 2026'!V:Z,5,0)</f>
        <v>LUAN ABADIA</v>
      </c>
      <c r="N97" s="1" t="str">
        <f t="shared" si="1"/>
        <v>LUAN ABADIA</v>
      </c>
    </row>
    <row r="98" spans="1:14" x14ac:dyDescent="0.3">
      <c r="A98" s="1">
        <v>705756</v>
      </c>
      <c r="B98" s="1" t="s">
        <v>1478</v>
      </c>
      <c r="C98" s="5" t="s">
        <v>15</v>
      </c>
      <c r="D98" s="2">
        <v>45993</v>
      </c>
      <c r="E98" s="1" t="s">
        <v>31</v>
      </c>
      <c r="F98" s="1">
        <v>51219</v>
      </c>
      <c r="G98" s="1" t="s">
        <v>61</v>
      </c>
      <c r="H98" s="1" t="s">
        <v>18</v>
      </c>
      <c r="J98" s="1" t="s">
        <v>19</v>
      </c>
      <c r="K98" s="1" t="str">
        <f>VLOOKUP(J98,'[1]Base SCA 02 2026'!V:X,3,0)</f>
        <v>JOSÉ GOUVEA</v>
      </c>
      <c r="L98" s="1" t="str">
        <f>VLOOKUP(J98,'[1]Base SCA 02 2026'!V:Y,4,0)</f>
        <v>ALEX DIAS</v>
      </c>
      <c r="N98" s="1" t="str">
        <f t="shared" si="1"/>
        <v>ALEX DIAS</v>
      </c>
    </row>
    <row r="99" spans="1:14" x14ac:dyDescent="0.3">
      <c r="A99" s="1">
        <v>700218</v>
      </c>
      <c r="B99" s="1" t="s">
        <v>184</v>
      </c>
      <c r="C99" s="5" t="s">
        <v>15</v>
      </c>
      <c r="D99" s="2">
        <v>43255</v>
      </c>
      <c r="E99" s="1" t="s">
        <v>185</v>
      </c>
      <c r="F99" s="1">
        <v>33101</v>
      </c>
      <c r="G99" s="1" t="s">
        <v>186</v>
      </c>
      <c r="H99" s="1" t="s">
        <v>18</v>
      </c>
      <c r="J99" s="1" t="s">
        <v>44</v>
      </c>
      <c r="K99" s="1" t="str">
        <f>VLOOKUP(J99,'[1]Base SCA 02 2026'!V:X,3,0)</f>
        <v>RAFAEL XAVIER</v>
      </c>
      <c r="L99" s="1" t="str">
        <f>VLOOKUP(J99,'[1]Base SCA 02 2026'!V:Y,4,0)</f>
        <v>IVONEI CAMPOS</v>
      </c>
      <c r="M99" s="1" t="str">
        <f>VLOOKUP(J99,'[1]Base SCA 02 2026'!V:Z,5,0)</f>
        <v>TALLES RYAN</v>
      </c>
      <c r="N99" s="1" t="str">
        <f t="shared" si="1"/>
        <v>TALLES RYAN</v>
      </c>
    </row>
    <row r="100" spans="1:14" x14ac:dyDescent="0.3">
      <c r="A100" s="1">
        <v>705330</v>
      </c>
      <c r="B100" s="1" t="s">
        <v>1242</v>
      </c>
      <c r="C100" s="5" t="s">
        <v>15</v>
      </c>
      <c r="D100" s="2">
        <v>45784</v>
      </c>
      <c r="E100" s="1" t="s">
        <v>93</v>
      </c>
      <c r="F100" s="1">
        <v>34201</v>
      </c>
      <c r="G100" s="1" t="s">
        <v>84</v>
      </c>
      <c r="H100" s="1" t="s">
        <v>18</v>
      </c>
      <c r="J100" s="1" t="s">
        <v>94</v>
      </c>
      <c r="K100" s="1" t="str">
        <f>VLOOKUP(J100,'[1]Base SCA 02 2026'!V:X,3,0)</f>
        <v>PAULO BONIFÁCIO</v>
      </c>
      <c r="L100" s="1" t="str">
        <f>VLOOKUP(J100,'[1]Base SCA 02 2026'!V:Y,4,0)</f>
        <v xml:space="preserve">JOÃO KOMURA </v>
      </c>
      <c r="M100" s="1" t="str">
        <f>VLOOKUP(J100,'[1]Base SCA 02 2026'!V:Z,5,0)</f>
        <v>LUAN ABADIA</v>
      </c>
      <c r="N100" s="1" t="str">
        <f t="shared" si="1"/>
        <v>LUAN ABADIA</v>
      </c>
    </row>
    <row r="101" spans="1:14" x14ac:dyDescent="0.3">
      <c r="A101" s="1">
        <v>703535</v>
      </c>
      <c r="B101" s="1" t="s">
        <v>187</v>
      </c>
      <c r="C101" s="5" t="s">
        <v>15</v>
      </c>
      <c r="D101" s="2">
        <v>44907</v>
      </c>
      <c r="E101" s="1" t="s">
        <v>188</v>
      </c>
      <c r="F101" s="1">
        <v>22102</v>
      </c>
      <c r="G101" s="1" t="s">
        <v>68</v>
      </c>
      <c r="H101" s="1" t="s">
        <v>18</v>
      </c>
      <c r="J101" s="1" t="s">
        <v>94</v>
      </c>
      <c r="K101" s="1" t="str">
        <f>VLOOKUP(J101,'[1]Base SCA 02 2026'!V:X,3,0)</f>
        <v>PAULO BONIFÁCIO</v>
      </c>
      <c r="L101" s="1" t="str">
        <f>VLOOKUP(J101,'[1]Base SCA 02 2026'!V:Y,4,0)</f>
        <v xml:space="preserve">JOÃO KOMURA </v>
      </c>
      <c r="M101" s="1" t="str">
        <f>VLOOKUP(J101,'[1]Base SCA 02 2026'!V:Z,5,0)</f>
        <v>LUAN ABADIA</v>
      </c>
      <c r="N101" s="1" t="str">
        <f t="shared" si="1"/>
        <v>LUAN ABADIA</v>
      </c>
    </row>
    <row r="102" spans="1:14" x14ac:dyDescent="0.3">
      <c r="A102" s="1">
        <v>703492</v>
      </c>
      <c r="B102" s="1" t="s">
        <v>189</v>
      </c>
      <c r="C102" s="5" t="s">
        <v>15</v>
      </c>
      <c r="D102" s="2">
        <v>44887</v>
      </c>
      <c r="E102" s="1" t="s">
        <v>138</v>
      </c>
      <c r="F102" s="1">
        <v>22102</v>
      </c>
      <c r="G102" s="1" t="s">
        <v>68</v>
      </c>
      <c r="H102" s="1" t="s">
        <v>18</v>
      </c>
      <c r="J102" s="1" t="s">
        <v>69</v>
      </c>
      <c r="K102" s="1" t="str">
        <f>VLOOKUP(J102,'[1]Base SCA 02 2026'!V:X,3,0)</f>
        <v>PAULO BONIFÁCIO</v>
      </c>
      <c r="L102" s="1" t="str">
        <f>VLOOKUP(J102,'[1]Base SCA 02 2026'!V:Y,4,0)</f>
        <v xml:space="preserve">JOÃO KOMURA </v>
      </c>
      <c r="N102" s="1" t="str">
        <f t="shared" si="1"/>
        <v xml:space="preserve">JOÃO KOMURA </v>
      </c>
    </row>
    <row r="103" spans="1:14" x14ac:dyDescent="0.3">
      <c r="A103" s="1">
        <v>701012</v>
      </c>
      <c r="B103" s="1" t="s">
        <v>190</v>
      </c>
      <c r="C103" s="5" t="s">
        <v>15</v>
      </c>
      <c r="D103" s="2">
        <v>43598</v>
      </c>
      <c r="E103" s="1" t="s">
        <v>83</v>
      </c>
      <c r="F103" s="1">
        <v>34201</v>
      </c>
      <c r="G103" s="1" t="s">
        <v>84</v>
      </c>
      <c r="H103" s="1" t="s">
        <v>18</v>
      </c>
      <c r="J103" s="1" t="s">
        <v>85</v>
      </c>
      <c r="K103" s="1" t="str">
        <f>VLOOKUP(J103,'[1]Base SCA 02 2026'!V:X,3,0)</f>
        <v>PAULO BONIFÁCIO</v>
      </c>
      <c r="L103" s="1" t="str">
        <f>VLOOKUP(J103,'[1]Base SCA 02 2026'!V:Y,4,0)</f>
        <v>PAULO BONIFÁCIO</v>
      </c>
      <c r="M103" s="1" t="str">
        <f>VLOOKUP(J103,'[1]Base SCA 02 2026'!V:Z,5,0)</f>
        <v xml:space="preserve">LEONARDO SANTOS </v>
      </c>
      <c r="N103" s="1" t="str">
        <f t="shared" si="1"/>
        <v xml:space="preserve">LEONARDO SANTOS </v>
      </c>
    </row>
    <row r="104" spans="1:14" x14ac:dyDescent="0.3">
      <c r="A104" s="1">
        <v>703294</v>
      </c>
      <c r="B104" s="1" t="s">
        <v>191</v>
      </c>
      <c r="C104" s="5" t="s">
        <v>15</v>
      </c>
      <c r="D104" s="2">
        <v>44810</v>
      </c>
      <c r="E104" s="1" t="s">
        <v>80</v>
      </c>
      <c r="F104" s="1">
        <v>22102</v>
      </c>
      <c r="G104" s="1" t="s">
        <v>68</v>
      </c>
      <c r="H104" s="1" t="s">
        <v>18</v>
      </c>
      <c r="J104" s="1" t="s">
        <v>81</v>
      </c>
      <c r="K104" s="1" t="str">
        <f>VLOOKUP(J104,'[1]Base SCA 02 2026'!V:X,3,0)</f>
        <v>PAULO BONIFÁCIO</v>
      </c>
      <c r="L104" s="1" t="str">
        <f>VLOOKUP(J104,'[1]Base SCA 02 2026'!V:Y,4,0)</f>
        <v>MAURICIO SANTOS</v>
      </c>
      <c r="M104" s="1" t="str">
        <f>VLOOKUP(J104,'[1]Base SCA 02 2026'!V:Z,5,0)</f>
        <v xml:space="preserve">EDSON/MARCELO LIMA </v>
      </c>
      <c r="N104" s="1" t="str">
        <f t="shared" si="1"/>
        <v xml:space="preserve">EDSON/MARCELO LIMA </v>
      </c>
    </row>
    <row r="105" spans="1:14" x14ac:dyDescent="0.3">
      <c r="A105" s="1">
        <v>705042</v>
      </c>
      <c r="B105" s="1" t="s">
        <v>192</v>
      </c>
      <c r="C105" s="5" t="s">
        <v>15</v>
      </c>
      <c r="D105" s="2">
        <v>45635</v>
      </c>
      <c r="E105" s="1" t="s">
        <v>31</v>
      </c>
      <c r="F105" s="1">
        <v>52104</v>
      </c>
      <c r="G105" s="1" t="s">
        <v>17</v>
      </c>
      <c r="H105" s="1" t="s">
        <v>18</v>
      </c>
      <c r="J105" s="1" t="s">
        <v>19</v>
      </c>
      <c r="K105" s="1" t="str">
        <f>VLOOKUP(J105,'[1]Base SCA 02 2026'!V:X,3,0)</f>
        <v>JOSÉ GOUVEA</v>
      </c>
      <c r="L105" s="1" t="str">
        <f>VLOOKUP(J105,'[1]Base SCA 02 2026'!V:Y,4,0)</f>
        <v>ALEX DIAS</v>
      </c>
      <c r="N105" s="1" t="str">
        <f t="shared" si="1"/>
        <v>ALEX DIAS</v>
      </c>
    </row>
    <row r="106" spans="1:14" x14ac:dyDescent="0.3">
      <c r="A106" s="1">
        <v>702160</v>
      </c>
      <c r="B106" s="1" t="s">
        <v>193</v>
      </c>
      <c r="C106" s="5" t="s">
        <v>15</v>
      </c>
      <c r="D106" s="2">
        <v>44299</v>
      </c>
      <c r="E106" s="1" t="s">
        <v>83</v>
      </c>
      <c r="F106" s="1">
        <v>34201</v>
      </c>
      <c r="G106" s="1" t="s">
        <v>84</v>
      </c>
      <c r="H106" s="1" t="s">
        <v>18</v>
      </c>
      <c r="J106" s="1" t="s">
        <v>85</v>
      </c>
      <c r="K106" s="1" t="str">
        <f>VLOOKUP(J106,'[1]Base SCA 02 2026'!V:X,3,0)</f>
        <v>PAULO BONIFÁCIO</v>
      </c>
      <c r="L106" s="1" t="str">
        <f>VLOOKUP(J106,'[1]Base SCA 02 2026'!V:Y,4,0)</f>
        <v>PAULO BONIFÁCIO</v>
      </c>
      <c r="M106" s="1" t="str">
        <f>VLOOKUP(J106,'[1]Base SCA 02 2026'!V:Z,5,0)</f>
        <v xml:space="preserve">LEONARDO SANTOS </v>
      </c>
      <c r="N106" s="1" t="str">
        <f t="shared" si="1"/>
        <v xml:space="preserve">LEONARDO SANTOS </v>
      </c>
    </row>
    <row r="107" spans="1:14" x14ac:dyDescent="0.3">
      <c r="A107" s="1">
        <v>704200</v>
      </c>
      <c r="B107" s="1" t="s">
        <v>194</v>
      </c>
      <c r="C107" s="5" t="s">
        <v>15</v>
      </c>
      <c r="D107" s="2">
        <v>45300</v>
      </c>
      <c r="E107" s="1" t="s">
        <v>138</v>
      </c>
      <c r="F107" s="1">
        <v>22102</v>
      </c>
      <c r="G107" s="1" t="s">
        <v>68</v>
      </c>
      <c r="H107" s="1" t="s">
        <v>18</v>
      </c>
      <c r="J107" s="1" t="s">
        <v>81</v>
      </c>
      <c r="K107" s="1" t="str">
        <f>VLOOKUP(J107,'[1]Base SCA 02 2026'!V:X,3,0)</f>
        <v>PAULO BONIFÁCIO</v>
      </c>
      <c r="L107" s="1" t="str">
        <f>VLOOKUP(J107,'[1]Base SCA 02 2026'!V:Y,4,0)</f>
        <v>MAURICIO SANTOS</v>
      </c>
      <c r="M107" s="1" t="str">
        <f>VLOOKUP(J107,'[1]Base SCA 02 2026'!V:Z,5,0)</f>
        <v xml:space="preserve">EDSON/MARCELO LIMA </v>
      </c>
      <c r="N107" s="1" t="str">
        <f t="shared" si="1"/>
        <v xml:space="preserve">EDSON/MARCELO LIMA </v>
      </c>
    </row>
    <row r="108" spans="1:14" x14ac:dyDescent="0.3">
      <c r="A108" s="1">
        <v>703636</v>
      </c>
      <c r="B108" s="1" t="s">
        <v>757</v>
      </c>
      <c r="C108" s="5" t="s">
        <v>15</v>
      </c>
      <c r="D108" s="2">
        <v>44998</v>
      </c>
      <c r="E108" s="1" t="s">
        <v>152</v>
      </c>
      <c r="F108" s="1">
        <v>39201</v>
      </c>
      <c r="G108" s="1" t="s">
        <v>153</v>
      </c>
      <c r="H108" s="1" t="s">
        <v>18</v>
      </c>
      <c r="J108" s="1" t="s">
        <v>154</v>
      </c>
      <c r="K108" s="1" t="str">
        <f>VLOOKUP(J108,'[1]Base SCA 02 2026'!V:X,3,0)</f>
        <v>ANDREZA LARDO</v>
      </c>
      <c r="L108" s="1" t="str">
        <f>VLOOKUP(J108,'[1]Base SCA 02 2026'!V:Y,4,0)</f>
        <v>ANDREZA LARDO</v>
      </c>
      <c r="M108" s="1" t="str">
        <f>VLOOKUP(J108,'[1]Base SCA 02 2026'!V:Z,5,0)</f>
        <v>ADENILTON RODRIGUES</v>
      </c>
      <c r="N108" s="1" t="str">
        <f t="shared" si="1"/>
        <v>ADENILTON RODRIGUES</v>
      </c>
    </row>
    <row r="109" spans="1:14" x14ac:dyDescent="0.3">
      <c r="A109" s="1">
        <v>705463</v>
      </c>
      <c r="B109" s="1" t="s">
        <v>1274</v>
      </c>
      <c r="C109" s="5" t="s">
        <v>15</v>
      </c>
      <c r="D109" s="2">
        <v>45812</v>
      </c>
      <c r="E109" s="1" t="s">
        <v>31</v>
      </c>
      <c r="F109" s="1">
        <v>51219</v>
      </c>
      <c r="G109" s="1" t="s">
        <v>61</v>
      </c>
      <c r="H109" s="1" t="s">
        <v>18</v>
      </c>
      <c r="J109" s="1" t="s">
        <v>19</v>
      </c>
      <c r="K109" s="1" t="str">
        <f>VLOOKUP(J109,'[1]Base SCA 02 2026'!V:X,3,0)</f>
        <v>JOSÉ GOUVEA</v>
      </c>
      <c r="L109" s="1" t="str">
        <f>VLOOKUP(J109,'[1]Base SCA 02 2026'!V:Y,4,0)</f>
        <v>ALEX DIAS</v>
      </c>
      <c r="N109" s="1" t="str">
        <f t="shared" si="1"/>
        <v>ALEX DIAS</v>
      </c>
    </row>
    <row r="110" spans="1:14" x14ac:dyDescent="0.3">
      <c r="A110" s="1">
        <v>701946</v>
      </c>
      <c r="B110" s="1" t="s">
        <v>198</v>
      </c>
      <c r="C110" s="5" t="s">
        <v>15</v>
      </c>
      <c r="D110" s="2">
        <v>44151</v>
      </c>
      <c r="E110" s="1" t="s">
        <v>457</v>
      </c>
      <c r="F110" s="1">
        <v>22102</v>
      </c>
      <c r="G110" s="1" t="s">
        <v>68</v>
      </c>
      <c r="H110" s="1" t="s">
        <v>18</v>
      </c>
      <c r="J110" s="1" t="s">
        <v>142</v>
      </c>
      <c r="K110" s="1" t="str">
        <f>VLOOKUP(J110,'[1]Base SCA 02 2026'!V:X,3,0)</f>
        <v>PAULO BONIFÁCIO</v>
      </c>
      <c r="L110" s="1" t="str">
        <f>VLOOKUP(J110,'[1]Base SCA 02 2026'!V:Y,4,0)</f>
        <v>MAURICIO SANTOS</v>
      </c>
      <c r="M110" s="1" t="str">
        <f>VLOOKUP(J110,'[1]Base SCA 02 2026'!V:Z,5,0)</f>
        <v>EDIS MOREIRA</v>
      </c>
      <c r="N110" s="1" t="str">
        <f t="shared" si="1"/>
        <v>EDIS MOREIRA</v>
      </c>
    </row>
    <row r="111" spans="1:14" x14ac:dyDescent="0.3">
      <c r="A111" s="1">
        <v>704794</v>
      </c>
      <c r="B111" s="1" t="s">
        <v>200</v>
      </c>
      <c r="C111" s="5" t="s">
        <v>15</v>
      </c>
      <c r="D111" s="2">
        <v>45566</v>
      </c>
      <c r="E111" s="1" t="s">
        <v>336</v>
      </c>
      <c r="F111" s="1">
        <v>52104</v>
      </c>
      <c r="G111" s="1" t="s">
        <v>17</v>
      </c>
      <c r="H111" s="1" t="s">
        <v>18</v>
      </c>
      <c r="J111" s="1" t="s">
        <v>19</v>
      </c>
      <c r="K111" s="1" t="str">
        <f>VLOOKUP(J111,'[1]Base SCA 02 2026'!V:X,3,0)</f>
        <v>JOSÉ GOUVEA</v>
      </c>
      <c r="L111" s="1" t="str">
        <f>VLOOKUP(J111,'[1]Base SCA 02 2026'!V:Y,4,0)</f>
        <v>ALEX DIAS</v>
      </c>
      <c r="N111" s="1" t="str">
        <f t="shared" si="1"/>
        <v>ALEX DIAS</v>
      </c>
    </row>
    <row r="112" spans="1:14" x14ac:dyDescent="0.3">
      <c r="A112" s="1">
        <v>703935</v>
      </c>
      <c r="B112" s="1" t="s">
        <v>201</v>
      </c>
      <c r="C112" s="5" t="s">
        <v>15</v>
      </c>
      <c r="D112" s="2">
        <v>45089</v>
      </c>
      <c r="E112" s="1" t="s">
        <v>31</v>
      </c>
      <c r="F112" s="1">
        <v>51219</v>
      </c>
      <c r="G112" s="1" t="s">
        <v>61</v>
      </c>
      <c r="H112" s="1" t="s">
        <v>18</v>
      </c>
      <c r="J112" s="1" t="s">
        <v>19</v>
      </c>
      <c r="K112" s="1" t="str">
        <f>VLOOKUP(J112,'[1]Base SCA 02 2026'!V:X,3,0)</f>
        <v>JOSÉ GOUVEA</v>
      </c>
      <c r="L112" s="1" t="str">
        <f>VLOOKUP(J112,'[1]Base SCA 02 2026'!V:Y,4,0)</f>
        <v>ALEX DIAS</v>
      </c>
      <c r="N112" s="1" t="str">
        <f t="shared" si="1"/>
        <v>ALEX DIAS</v>
      </c>
    </row>
    <row r="113" spans="1:14" x14ac:dyDescent="0.3">
      <c r="A113" s="1">
        <v>705888</v>
      </c>
      <c r="B113" s="1" t="s">
        <v>1537</v>
      </c>
      <c r="C113" s="5" t="s">
        <v>15</v>
      </c>
      <c r="D113" s="2">
        <v>46063</v>
      </c>
      <c r="E113" s="1" t="s">
        <v>31</v>
      </c>
      <c r="F113" s="1">
        <v>51219</v>
      </c>
      <c r="G113" s="1" t="s">
        <v>61</v>
      </c>
      <c r="H113" s="1" t="s">
        <v>18</v>
      </c>
      <c r="J113" s="1" t="s">
        <v>19</v>
      </c>
      <c r="K113" s="1" t="str">
        <f>VLOOKUP(J113,'[1]Base SCA 02 2026'!V:X,3,0)</f>
        <v>JOSÉ GOUVEA</v>
      </c>
      <c r="L113" s="1" t="str">
        <f>VLOOKUP(J113,'[1]Base SCA 02 2026'!V:Y,4,0)</f>
        <v>ALEX DIAS</v>
      </c>
      <c r="N113" s="1" t="str">
        <f t="shared" si="1"/>
        <v>ALEX DIAS</v>
      </c>
    </row>
    <row r="114" spans="1:14" x14ac:dyDescent="0.3">
      <c r="A114" s="1">
        <v>705745</v>
      </c>
      <c r="B114" s="1" t="s">
        <v>202</v>
      </c>
      <c r="C114" s="5" t="s">
        <v>15</v>
      </c>
      <c r="D114" s="2">
        <v>45993</v>
      </c>
      <c r="E114" s="1" t="s">
        <v>31</v>
      </c>
      <c r="F114" s="1">
        <v>22102</v>
      </c>
      <c r="G114" s="1" t="s">
        <v>68</v>
      </c>
      <c r="H114" s="1" t="s">
        <v>18</v>
      </c>
      <c r="J114" s="1" t="s">
        <v>81</v>
      </c>
      <c r="K114" s="1" t="str">
        <f>VLOOKUP(J114,'[1]Base SCA 02 2026'!V:X,3,0)</f>
        <v>PAULO BONIFÁCIO</v>
      </c>
      <c r="L114" s="1" t="str">
        <f>VLOOKUP(J114,'[1]Base SCA 02 2026'!V:Y,4,0)</f>
        <v>MAURICIO SANTOS</v>
      </c>
      <c r="M114" s="1" t="str">
        <f>VLOOKUP(J114,'[1]Base SCA 02 2026'!V:Z,5,0)</f>
        <v xml:space="preserve">EDSON/MARCELO LIMA </v>
      </c>
      <c r="N114" s="1" t="str">
        <f t="shared" si="1"/>
        <v xml:space="preserve">EDSON/MARCELO LIMA </v>
      </c>
    </row>
    <row r="115" spans="1:14" x14ac:dyDescent="0.3">
      <c r="A115" s="1">
        <v>705332</v>
      </c>
      <c r="B115" s="1" t="s">
        <v>1243</v>
      </c>
      <c r="C115" s="5" t="s">
        <v>92</v>
      </c>
      <c r="D115" s="2">
        <v>45784</v>
      </c>
      <c r="E115" s="1" t="s">
        <v>31</v>
      </c>
      <c r="F115" s="1">
        <v>22102</v>
      </c>
      <c r="G115" s="1" t="s">
        <v>68</v>
      </c>
      <c r="H115" s="1" t="s">
        <v>18</v>
      </c>
      <c r="I115" s="2">
        <v>46058</v>
      </c>
      <c r="J115" s="1" t="s">
        <v>81</v>
      </c>
      <c r="K115" s="1" t="str">
        <f>VLOOKUP(J115,'[1]Base SCA 02 2026'!V:X,3,0)</f>
        <v>PAULO BONIFÁCIO</v>
      </c>
      <c r="L115" s="1" t="str">
        <f>VLOOKUP(J115,'[1]Base SCA 02 2026'!V:Y,4,0)</f>
        <v>MAURICIO SANTOS</v>
      </c>
      <c r="M115" s="1" t="str">
        <f>VLOOKUP(J115,'[1]Base SCA 02 2026'!V:Z,5,0)</f>
        <v xml:space="preserve">EDSON/MARCELO LIMA </v>
      </c>
      <c r="N115" s="1" t="str">
        <f t="shared" si="1"/>
        <v xml:space="preserve">EDSON/MARCELO LIMA </v>
      </c>
    </row>
    <row r="116" spans="1:14" x14ac:dyDescent="0.3">
      <c r="A116" s="1">
        <v>704263</v>
      </c>
      <c r="B116" s="1" t="s">
        <v>203</v>
      </c>
      <c r="C116" s="5" t="s">
        <v>15</v>
      </c>
      <c r="D116" s="2">
        <v>45342</v>
      </c>
      <c r="E116" s="1" t="s">
        <v>138</v>
      </c>
      <c r="F116" s="1">
        <v>22102</v>
      </c>
      <c r="G116" s="1" t="s">
        <v>68</v>
      </c>
      <c r="H116" s="1" t="s">
        <v>18</v>
      </c>
      <c r="J116" s="1" t="s">
        <v>81</v>
      </c>
      <c r="K116" s="1" t="str">
        <f>VLOOKUP(J116,'[1]Base SCA 02 2026'!V:X,3,0)</f>
        <v>PAULO BONIFÁCIO</v>
      </c>
      <c r="L116" s="1" t="str">
        <f>VLOOKUP(J116,'[1]Base SCA 02 2026'!V:Y,4,0)</f>
        <v>MAURICIO SANTOS</v>
      </c>
      <c r="M116" s="1" t="str">
        <f>VLOOKUP(J116,'[1]Base SCA 02 2026'!V:Z,5,0)</f>
        <v xml:space="preserve">EDSON/MARCELO LIMA </v>
      </c>
      <c r="N116" s="1" t="str">
        <f t="shared" si="1"/>
        <v xml:space="preserve">EDSON/MARCELO LIMA </v>
      </c>
    </row>
    <row r="117" spans="1:14" x14ac:dyDescent="0.3">
      <c r="A117" s="1">
        <v>705516</v>
      </c>
      <c r="B117" s="1" t="s">
        <v>1290</v>
      </c>
      <c r="C117" s="5" t="s">
        <v>15</v>
      </c>
      <c r="D117" s="2">
        <v>45847</v>
      </c>
      <c r="E117" s="1" t="s">
        <v>31</v>
      </c>
      <c r="F117" s="1">
        <v>22102</v>
      </c>
      <c r="G117" s="1" t="s">
        <v>68</v>
      </c>
      <c r="H117" s="1" t="s">
        <v>18</v>
      </c>
      <c r="J117" s="1" t="s">
        <v>142</v>
      </c>
      <c r="K117" s="1" t="str">
        <f>VLOOKUP(J117,'[1]Base SCA 02 2026'!V:X,3,0)</f>
        <v>PAULO BONIFÁCIO</v>
      </c>
      <c r="L117" s="1" t="str">
        <f>VLOOKUP(J117,'[1]Base SCA 02 2026'!V:Y,4,0)</f>
        <v>MAURICIO SANTOS</v>
      </c>
      <c r="M117" s="1" t="str">
        <f>VLOOKUP(J117,'[1]Base SCA 02 2026'!V:Z,5,0)</f>
        <v>EDIS MOREIRA</v>
      </c>
      <c r="N117" s="1" t="str">
        <f t="shared" si="1"/>
        <v>EDIS MOREIRA</v>
      </c>
    </row>
    <row r="118" spans="1:14" x14ac:dyDescent="0.3">
      <c r="A118" s="1">
        <v>705636</v>
      </c>
      <c r="B118" s="1" t="s">
        <v>1398</v>
      </c>
      <c r="C118" s="5" t="s">
        <v>15</v>
      </c>
      <c r="D118" s="2">
        <v>45937</v>
      </c>
      <c r="E118" s="1" t="s">
        <v>31</v>
      </c>
      <c r="F118" s="1">
        <v>51219</v>
      </c>
      <c r="G118" s="1" t="s">
        <v>61</v>
      </c>
      <c r="H118" s="1" t="s">
        <v>18</v>
      </c>
      <c r="J118" s="1" t="s">
        <v>19</v>
      </c>
      <c r="K118" s="1" t="str">
        <f>VLOOKUP(J118,'[1]Base SCA 02 2026'!V:X,3,0)</f>
        <v>JOSÉ GOUVEA</v>
      </c>
      <c r="L118" s="1" t="str">
        <f>VLOOKUP(J118,'[1]Base SCA 02 2026'!V:Y,4,0)</f>
        <v>ALEX DIAS</v>
      </c>
      <c r="N118" s="1" t="str">
        <f t="shared" si="1"/>
        <v>ALEX DIAS</v>
      </c>
    </row>
    <row r="119" spans="1:14" x14ac:dyDescent="0.3">
      <c r="A119" s="1">
        <v>702814</v>
      </c>
      <c r="B119" s="1" t="s">
        <v>204</v>
      </c>
      <c r="C119" s="5" t="s">
        <v>15</v>
      </c>
      <c r="D119" s="2">
        <v>44613</v>
      </c>
      <c r="E119" s="1" t="s">
        <v>138</v>
      </c>
      <c r="F119" s="1">
        <v>51219</v>
      </c>
      <c r="G119" s="1" t="s">
        <v>61</v>
      </c>
      <c r="H119" s="1" t="s">
        <v>18</v>
      </c>
      <c r="J119" s="1" t="s">
        <v>19</v>
      </c>
      <c r="K119" s="1" t="str">
        <f>VLOOKUP(J119,'[1]Base SCA 02 2026'!V:X,3,0)</f>
        <v>JOSÉ GOUVEA</v>
      </c>
      <c r="L119" s="1" t="str">
        <f>VLOOKUP(J119,'[1]Base SCA 02 2026'!V:Y,4,0)</f>
        <v>ALEX DIAS</v>
      </c>
      <c r="N119" s="1" t="str">
        <f t="shared" si="1"/>
        <v>ALEX DIAS</v>
      </c>
    </row>
    <row r="120" spans="1:14" x14ac:dyDescent="0.3">
      <c r="A120" s="1">
        <v>704371</v>
      </c>
      <c r="B120" s="1" t="s">
        <v>768</v>
      </c>
      <c r="C120" s="5" t="s">
        <v>15</v>
      </c>
      <c r="D120" s="2">
        <v>45384</v>
      </c>
      <c r="E120" s="1" t="s">
        <v>16</v>
      </c>
      <c r="F120" s="1">
        <v>38101</v>
      </c>
      <c r="G120" s="1" t="s">
        <v>35</v>
      </c>
      <c r="H120" s="1" t="s">
        <v>18</v>
      </c>
      <c r="J120" s="1" t="s">
        <v>36</v>
      </c>
      <c r="K120" s="1" t="str">
        <f>VLOOKUP(J120,'[1]Base SCA 02 2026'!V:X,3,0)</f>
        <v xml:space="preserve">LEIDJANE MARTINS </v>
      </c>
      <c r="L120" s="1" t="str">
        <f>VLOOKUP(J120,'[1]Base SCA 02 2026'!V:Y,4,0)</f>
        <v xml:space="preserve">LEIDJANE MARTINS </v>
      </c>
      <c r="M120" s="1" t="str">
        <f>VLOOKUP(J120,'[1]Base SCA 02 2026'!V:Z,5,0)</f>
        <v>DENIS ACASSIO</v>
      </c>
      <c r="N120" s="1" t="str">
        <f t="shared" si="1"/>
        <v>DENIS ACASSIO</v>
      </c>
    </row>
    <row r="121" spans="1:14" x14ac:dyDescent="0.3">
      <c r="A121" s="1">
        <v>705503</v>
      </c>
      <c r="B121" s="1" t="s">
        <v>1291</v>
      </c>
      <c r="C121" s="5" t="s">
        <v>92</v>
      </c>
      <c r="D121" s="2">
        <v>45847</v>
      </c>
      <c r="E121" s="1" t="s">
        <v>31</v>
      </c>
      <c r="F121" s="1">
        <v>38101</v>
      </c>
      <c r="G121" s="1" t="s">
        <v>35</v>
      </c>
      <c r="H121" s="1" t="s">
        <v>18</v>
      </c>
      <c r="I121" s="2">
        <v>46058</v>
      </c>
      <c r="J121" s="1" t="s">
        <v>36</v>
      </c>
      <c r="K121" s="1" t="str">
        <f>VLOOKUP(J121,'[1]Base SCA 02 2026'!V:X,3,0)</f>
        <v xml:space="preserve">LEIDJANE MARTINS </v>
      </c>
      <c r="L121" s="1" t="str">
        <f>VLOOKUP(J121,'[1]Base SCA 02 2026'!V:Y,4,0)</f>
        <v xml:space="preserve">LEIDJANE MARTINS </v>
      </c>
      <c r="M121" s="1" t="str">
        <f>VLOOKUP(J121,'[1]Base SCA 02 2026'!V:Z,5,0)</f>
        <v>DENIS ACASSIO</v>
      </c>
      <c r="N121" s="1" t="str">
        <f t="shared" si="1"/>
        <v>DENIS ACASSIO</v>
      </c>
    </row>
    <row r="122" spans="1:14" x14ac:dyDescent="0.3">
      <c r="A122" s="1">
        <v>705380</v>
      </c>
      <c r="B122" s="1" t="s">
        <v>1213</v>
      </c>
      <c r="C122" s="5" t="s">
        <v>15</v>
      </c>
      <c r="D122" s="2">
        <v>45784</v>
      </c>
      <c r="E122" s="1" t="s">
        <v>286</v>
      </c>
      <c r="F122" s="1">
        <v>32101</v>
      </c>
      <c r="G122" s="1" t="s">
        <v>23</v>
      </c>
      <c r="H122" s="1" t="s">
        <v>18</v>
      </c>
      <c r="J122" s="1" t="s">
        <v>24</v>
      </c>
      <c r="K122" s="1" t="str">
        <f>VLOOKUP(J122,'[1]Base SCA 02 2026'!V:X,3,0)</f>
        <v>RAFAEL XAVIER</v>
      </c>
      <c r="L122" s="1" t="str">
        <f>VLOOKUP(J122,'[1]Base SCA 02 2026'!V:Y,4,0)</f>
        <v>FERNANDO GUILHERME</v>
      </c>
      <c r="M122" s="1" t="str">
        <f>VLOOKUP(J122,'[1]Base SCA 02 2026'!V:Z,5,0)</f>
        <v>JUNIO COSTA</v>
      </c>
      <c r="N122" s="1" t="str">
        <f t="shared" si="1"/>
        <v>JUNIO COSTA</v>
      </c>
    </row>
    <row r="123" spans="1:14" x14ac:dyDescent="0.3">
      <c r="A123" s="1">
        <v>705816</v>
      </c>
      <c r="B123" s="1" t="s">
        <v>1514</v>
      </c>
      <c r="C123" s="5" t="s">
        <v>92</v>
      </c>
      <c r="D123" s="2">
        <v>46035</v>
      </c>
      <c r="E123" s="1" t="s">
        <v>138</v>
      </c>
      <c r="F123" s="1">
        <v>25102</v>
      </c>
      <c r="G123" s="1" t="s">
        <v>1153</v>
      </c>
      <c r="H123" s="1" t="s">
        <v>18</v>
      </c>
      <c r="I123" s="2">
        <v>46062</v>
      </c>
      <c r="J123" s="1" t="s">
        <v>19</v>
      </c>
      <c r="K123" s="1" t="str">
        <f>VLOOKUP(J123,'[1]Base SCA 02 2026'!V:X,3,0)</f>
        <v>JOSÉ GOUVEA</v>
      </c>
      <c r="L123" s="1" t="str">
        <f>VLOOKUP(J123,'[1]Base SCA 02 2026'!V:Y,4,0)</f>
        <v>ALEX DIAS</v>
      </c>
      <c r="N123" s="1" t="str">
        <f t="shared" si="1"/>
        <v>ALEX DIAS</v>
      </c>
    </row>
    <row r="124" spans="1:14" x14ac:dyDescent="0.3">
      <c r="A124" s="1">
        <v>705497</v>
      </c>
      <c r="B124" s="1" t="s">
        <v>1292</v>
      </c>
      <c r="C124" s="5" t="s">
        <v>15</v>
      </c>
      <c r="D124" s="2">
        <v>45839</v>
      </c>
      <c r="E124" s="1" t="s">
        <v>31</v>
      </c>
      <c r="F124" s="1">
        <v>25201</v>
      </c>
      <c r="G124" s="1" t="s">
        <v>89</v>
      </c>
      <c r="H124" s="1" t="s">
        <v>18</v>
      </c>
      <c r="J124" s="1" t="s">
        <v>19</v>
      </c>
      <c r="K124" s="1" t="str">
        <f>VLOOKUP(J124,'[1]Base SCA 02 2026'!V:X,3,0)</f>
        <v>JOSÉ GOUVEA</v>
      </c>
      <c r="L124" s="1" t="str">
        <f>VLOOKUP(J124,'[1]Base SCA 02 2026'!V:Y,4,0)</f>
        <v>ALEX DIAS</v>
      </c>
      <c r="N124" s="1" t="str">
        <f t="shared" si="1"/>
        <v>ALEX DIAS</v>
      </c>
    </row>
    <row r="125" spans="1:14" x14ac:dyDescent="0.3">
      <c r="A125" s="1">
        <v>100791</v>
      </c>
      <c r="B125" s="1" t="s">
        <v>205</v>
      </c>
      <c r="C125" s="5" t="s">
        <v>15</v>
      </c>
      <c r="D125" s="2">
        <v>42261</v>
      </c>
      <c r="E125" s="1" t="s">
        <v>206</v>
      </c>
      <c r="F125" s="1">
        <v>38101</v>
      </c>
      <c r="G125" s="1" t="s">
        <v>35</v>
      </c>
      <c r="H125" s="1" t="s">
        <v>18</v>
      </c>
      <c r="J125" s="1" t="s">
        <v>36</v>
      </c>
      <c r="K125" s="1" t="str">
        <f>VLOOKUP(J125,'[1]Base SCA 02 2026'!V:X,3,0)</f>
        <v xml:space="preserve">LEIDJANE MARTINS </v>
      </c>
      <c r="L125" s="1" t="str">
        <f>VLOOKUP(J125,'[1]Base SCA 02 2026'!V:Y,4,0)</f>
        <v xml:space="preserve">LEIDJANE MARTINS </v>
      </c>
      <c r="M125" s="1" t="str">
        <f>VLOOKUP(J125,'[1]Base SCA 02 2026'!V:Z,5,0)</f>
        <v>DENIS ACASSIO</v>
      </c>
      <c r="N125" s="1" t="str">
        <f t="shared" si="1"/>
        <v>DENIS ACASSIO</v>
      </c>
    </row>
    <row r="126" spans="1:14" x14ac:dyDescent="0.3">
      <c r="A126" s="1">
        <v>705799</v>
      </c>
      <c r="B126" s="1" t="s">
        <v>1515</v>
      </c>
      <c r="C126" s="5" t="s">
        <v>15</v>
      </c>
      <c r="D126" s="2">
        <v>46029</v>
      </c>
      <c r="E126" s="1" t="s">
        <v>31</v>
      </c>
      <c r="F126" s="1">
        <v>52202</v>
      </c>
      <c r="G126" s="1" t="s">
        <v>32</v>
      </c>
      <c r="H126" s="1" t="s">
        <v>18</v>
      </c>
      <c r="J126" s="1" t="s">
        <v>33</v>
      </c>
      <c r="K126" s="1" t="str">
        <f>VLOOKUP(J126,'[1]Base SCA 02 2026'!V:X,3,0)</f>
        <v>JOSÉ GOUVEA</v>
      </c>
      <c r="L126" s="1" t="str">
        <f>VLOOKUP(J126,'[1]Base SCA 02 2026'!V:Y,4,0)</f>
        <v>ALEX DIAS</v>
      </c>
      <c r="N126" s="1" t="str">
        <f t="shared" si="1"/>
        <v>ALEX DIAS</v>
      </c>
    </row>
    <row r="127" spans="1:14" x14ac:dyDescent="0.3">
      <c r="A127" s="1">
        <v>702668</v>
      </c>
      <c r="B127" s="1" t="s">
        <v>207</v>
      </c>
      <c r="C127" s="5" t="s">
        <v>15</v>
      </c>
      <c r="D127" s="2">
        <v>44510</v>
      </c>
      <c r="E127" s="1" t="s">
        <v>208</v>
      </c>
      <c r="F127" s="1">
        <v>38101</v>
      </c>
      <c r="G127" s="1" t="s">
        <v>35</v>
      </c>
      <c r="H127" s="1" t="s">
        <v>18</v>
      </c>
      <c r="J127" s="1" t="s">
        <v>36</v>
      </c>
      <c r="K127" s="1" t="str">
        <f>VLOOKUP(J127,'[1]Base SCA 02 2026'!V:X,3,0)</f>
        <v xml:space="preserve">LEIDJANE MARTINS </v>
      </c>
      <c r="L127" s="1" t="str">
        <f>VLOOKUP(J127,'[1]Base SCA 02 2026'!V:Y,4,0)</f>
        <v xml:space="preserve">LEIDJANE MARTINS </v>
      </c>
      <c r="M127" s="1" t="str">
        <f>VLOOKUP(J127,'[1]Base SCA 02 2026'!V:Z,5,0)</f>
        <v>DENIS ACASSIO</v>
      </c>
      <c r="N127" s="1" t="str">
        <f t="shared" si="1"/>
        <v>DENIS ACASSIO</v>
      </c>
    </row>
    <row r="128" spans="1:14" x14ac:dyDescent="0.3">
      <c r="A128" s="1">
        <v>705684</v>
      </c>
      <c r="B128" s="1" t="s">
        <v>1399</v>
      </c>
      <c r="C128" s="5" t="s">
        <v>15</v>
      </c>
      <c r="D128" s="2">
        <v>45944</v>
      </c>
      <c r="E128" s="1" t="s">
        <v>31</v>
      </c>
      <c r="F128" s="1">
        <v>51219</v>
      </c>
      <c r="G128" s="1" t="s">
        <v>61</v>
      </c>
      <c r="H128" s="1" t="s">
        <v>18</v>
      </c>
      <c r="J128" s="1" t="s">
        <v>29</v>
      </c>
      <c r="K128" s="1" t="str">
        <f>VLOOKUP(J128,'[1]Base SCA 02 2026'!V:X,3,0)</f>
        <v>JOSÉ GOUVEA</v>
      </c>
      <c r="L128" s="1" t="str">
        <f>VLOOKUP(J128,'[1]Base SCA 02 2026'!V:Y,4,0)</f>
        <v>JOSÉ GOUVEA</v>
      </c>
      <c r="N128" s="1" t="str">
        <f t="shared" si="1"/>
        <v>JOSÉ GOUVEA</v>
      </c>
    </row>
    <row r="129" spans="1:14" x14ac:dyDescent="0.3">
      <c r="A129" s="1">
        <v>702120</v>
      </c>
      <c r="B129" s="1" t="s">
        <v>209</v>
      </c>
      <c r="C129" s="5" t="s">
        <v>15</v>
      </c>
      <c r="D129" s="2">
        <v>44298</v>
      </c>
      <c r="E129" s="1" t="s">
        <v>138</v>
      </c>
      <c r="F129" s="1">
        <v>51219</v>
      </c>
      <c r="G129" s="1" t="s">
        <v>61</v>
      </c>
      <c r="H129" s="1" t="s">
        <v>18</v>
      </c>
      <c r="J129" s="1" t="s">
        <v>37</v>
      </c>
      <c r="K129" s="1" t="str">
        <f>VLOOKUP(J129,'[1]Base SCA 02 2026'!V:X,3,0)</f>
        <v>JOSÉ GOUVEA</v>
      </c>
      <c r="L129" s="1" t="str">
        <f>VLOOKUP(J129,'[1]Base SCA 02 2026'!V:Y,4,0)</f>
        <v>ALEX DIAS</v>
      </c>
      <c r="N129" s="1" t="str">
        <f t="shared" si="1"/>
        <v>ALEX DIAS</v>
      </c>
    </row>
    <row r="130" spans="1:14" x14ac:dyDescent="0.3">
      <c r="A130" s="1">
        <v>704665</v>
      </c>
      <c r="B130" s="1" t="s">
        <v>210</v>
      </c>
      <c r="C130" s="5" t="s">
        <v>233</v>
      </c>
      <c r="D130" s="2">
        <v>45482</v>
      </c>
      <c r="E130" s="1" t="s">
        <v>27</v>
      </c>
      <c r="F130" s="1">
        <v>39501</v>
      </c>
      <c r="G130" s="1" t="s">
        <v>28</v>
      </c>
      <c r="H130" s="1" t="s">
        <v>18</v>
      </c>
      <c r="J130" s="1" t="s">
        <v>29</v>
      </c>
      <c r="K130" s="1" t="str">
        <f>VLOOKUP(J130,'[1]Base SCA 02 2026'!V:X,3,0)</f>
        <v>JOSÉ GOUVEA</v>
      </c>
      <c r="L130" s="1" t="str">
        <f>VLOOKUP(J130,'[1]Base SCA 02 2026'!V:Y,4,0)</f>
        <v>JOSÉ GOUVEA</v>
      </c>
      <c r="N130" s="1" t="str">
        <f t="shared" si="1"/>
        <v>JOSÉ GOUVEA</v>
      </c>
    </row>
    <row r="131" spans="1:14" x14ac:dyDescent="0.3">
      <c r="A131" s="1">
        <v>702390</v>
      </c>
      <c r="B131" s="1" t="s">
        <v>211</v>
      </c>
      <c r="C131" s="5" t="s">
        <v>15</v>
      </c>
      <c r="D131" s="2">
        <v>44369</v>
      </c>
      <c r="E131" s="1" t="s">
        <v>166</v>
      </c>
      <c r="F131" s="1">
        <v>22102</v>
      </c>
      <c r="G131" s="1" t="s">
        <v>68</v>
      </c>
      <c r="H131" s="1" t="s">
        <v>18</v>
      </c>
      <c r="J131" s="1" t="s">
        <v>167</v>
      </c>
      <c r="K131" s="1" t="str">
        <f>VLOOKUP(J131,'[1]Base SCA 02 2026'!V:X,3,0)</f>
        <v>PAULO BONIFÁCIO</v>
      </c>
      <c r="L131" s="1" t="str">
        <f>VLOOKUP(J131,'[1]Base SCA 02 2026'!V:Y,4,0)</f>
        <v>MAURICIO SANTOS</v>
      </c>
      <c r="M131" s="1" t="str">
        <f>VLOOKUP(J131,'[1]Base SCA 02 2026'!V:Z,5,0)</f>
        <v>FABIANO</v>
      </c>
      <c r="N131" s="1" t="str">
        <f t="shared" ref="N131:N194" si="2">IF(M131&lt;&gt;"", M131, IF(L131&lt;&gt;"", L131, K131))</f>
        <v>FABIANO</v>
      </c>
    </row>
    <row r="132" spans="1:14" x14ac:dyDescent="0.3">
      <c r="A132" s="1">
        <v>705061</v>
      </c>
      <c r="B132" s="1" t="s">
        <v>212</v>
      </c>
      <c r="C132" s="5" t="s">
        <v>15</v>
      </c>
      <c r="D132" s="2">
        <v>45664</v>
      </c>
      <c r="E132" s="1" t="s">
        <v>213</v>
      </c>
      <c r="F132" s="1">
        <v>41504</v>
      </c>
      <c r="G132" s="1" t="s">
        <v>1275</v>
      </c>
      <c r="H132" s="1" t="s">
        <v>18</v>
      </c>
      <c r="J132" s="1" t="s">
        <v>112</v>
      </c>
      <c r="K132" s="1" t="str">
        <f>VLOOKUP(J132,'[1]Base SCA 02 2026'!V:X,3,0)</f>
        <v>JOSÉ GOUVEA</v>
      </c>
      <c r="L132" s="1" t="str">
        <f>VLOOKUP(J132,'[1]Base SCA 02 2026'!V:Y,4,0)</f>
        <v>JOSÉ GOUVEA</v>
      </c>
      <c r="N132" s="1" t="str">
        <f t="shared" si="2"/>
        <v>JOSÉ GOUVEA</v>
      </c>
    </row>
    <row r="133" spans="1:14" x14ac:dyDescent="0.3">
      <c r="A133" s="1">
        <v>705737</v>
      </c>
      <c r="B133" s="1" t="s">
        <v>1445</v>
      </c>
      <c r="C133" s="5" t="s">
        <v>92</v>
      </c>
      <c r="D133" s="2">
        <v>45972</v>
      </c>
      <c r="E133" s="1" t="s">
        <v>31</v>
      </c>
      <c r="F133" s="1">
        <v>25102</v>
      </c>
      <c r="G133" s="1" t="s">
        <v>1153</v>
      </c>
      <c r="H133" s="1" t="s">
        <v>18</v>
      </c>
      <c r="I133" s="2">
        <v>46061</v>
      </c>
      <c r="J133" s="1" t="s">
        <v>19</v>
      </c>
      <c r="K133" s="1" t="str">
        <f>VLOOKUP(J133,'[1]Base SCA 02 2026'!V:X,3,0)</f>
        <v>JOSÉ GOUVEA</v>
      </c>
      <c r="L133" s="1" t="str">
        <f>VLOOKUP(J133,'[1]Base SCA 02 2026'!V:Y,4,0)</f>
        <v>ALEX DIAS</v>
      </c>
      <c r="N133" s="1" t="str">
        <f t="shared" si="2"/>
        <v>ALEX DIAS</v>
      </c>
    </row>
    <row r="134" spans="1:14" x14ac:dyDescent="0.3">
      <c r="A134" s="1">
        <v>101249</v>
      </c>
      <c r="B134" s="1" t="s">
        <v>218</v>
      </c>
      <c r="C134" s="5" t="s">
        <v>15</v>
      </c>
      <c r="D134" s="2">
        <v>42786</v>
      </c>
      <c r="E134" s="1" t="s">
        <v>219</v>
      </c>
      <c r="F134" s="1">
        <v>32101</v>
      </c>
      <c r="G134" s="1" t="s">
        <v>23</v>
      </c>
      <c r="H134" s="1" t="s">
        <v>18</v>
      </c>
      <c r="J134" s="1" t="s">
        <v>24</v>
      </c>
      <c r="K134" s="1" t="str">
        <f>VLOOKUP(J134,'[1]Base SCA 02 2026'!V:X,3,0)</f>
        <v>RAFAEL XAVIER</v>
      </c>
      <c r="L134" s="1" t="str">
        <f>VLOOKUP(J134,'[1]Base SCA 02 2026'!V:Y,4,0)</f>
        <v>FERNANDO GUILHERME</v>
      </c>
      <c r="M134" s="1" t="str">
        <f>VLOOKUP(J134,'[1]Base SCA 02 2026'!V:Z,5,0)</f>
        <v>JUNIO COSTA</v>
      </c>
      <c r="N134" s="1" t="str">
        <f t="shared" si="2"/>
        <v>JUNIO COSTA</v>
      </c>
    </row>
    <row r="135" spans="1:14" x14ac:dyDescent="0.3">
      <c r="A135" s="1">
        <v>704754</v>
      </c>
      <c r="B135" s="1" t="s">
        <v>220</v>
      </c>
      <c r="C135" s="5" t="s">
        <v>15</v>
      </c>
      <c r="D135" s="2">
        <v>45545</v>
      </c>
      <c r="E135" s="1" t="s">
        <v>27</v>
      </c>
      <c r="F135" s="1">
        <v>39304</v>
      </c>
      <c r="G135" s="1" t="s">
        <v>56</v>
      </c>
      <c r="H135" s="1" t="s">
        <v>18</v>
      </c>
      <c r="J135" s="1" t="s">
        <v>57</v>
      </c>
      <c r="K135" s="1" t="str">
        <f>VLOOKUP(J135,'[1]Base SCA 02 2026'!V:X,3,0)</f>
        <v>PAULO BONIFÁCIO</v>
      </c>
      <c r="L135" s="1" t="str">
        <f>VLOOKUP(J135,'[1]Base SCA 02 2026'!V:Y,4,0)</f>
        <v>ALDAIR BORGES</v>
      </c>
      <c r="M135" s="1" t="str">
        <f>VLOOKUP(J135,'[1]Base SCA 02 2026'!V:Z,5,0)</f>
        <v>WARLEY RIBEIRO</v>
      </c>
      <c r="N135" s="1" t="str">
        <f t="shared" si="2"/>
        <v>WARLEY RIBEIRO</v>
      </c>
    </row>
    <row r="136" spans="1:14" x14ac:dyDescent="0.3">
      <c r="A136" s="1">
        <v>100883</v>
      </c>
      <c r="B136" s="1" t="s">
        <v>221</v>
      </c>
      <c r="C136" s="5" t="s">
        <v>15</v>
      </c>
      <c r="D136" s="2">
        <v>42445</v>
      </c>
      <c r="E136" s="1" t="s">
        <v>16</v>
      </c>
      <c r="F136" s="1">
        <v>11101</v>
      </c>
      <c r="G136" s="1" t="s">
        <v>595</v>
      </c>
      <c r="H136" s="1" t="s">
        <v>18</v>
      </c>
      <c r="J136" s="1" t="s">
        <v>36</v>
      </c>
      <c r="K136" s="1" t="str">
        <f>VLOOKUP(J136,'[1]Base SCA 02 2026'!V:X,3,0)</f>
        <v xml:space="preserve">LEIDJANE MARTINS </v>
      </c>
      <c r="L136" s="1" t="str">
        <f>VLOOKUP(J136,'[1]Base SCA 02 2026'!V:Y,4,0)</f>
        <v xml:space="preserve">LEIDJANE MARTINS </v>
      </c>
      <c r="M136" s="1" t="str">
        <f>VLOOKUP(J136,'[1]Base SCA 02 2026'!V:Z,5,0)</f>
        <v>DENIS ACASSIO</v>
      </c>
      <c r="N136" s="1" t="str">
        <f t="shared" si="2"/>
        <v>DENIS ACASSIO</v>
      </c>
    </row>
    <row r="137" spans="1:14" x14ac:dyDescent="0.3">
      <c r="A137" s="1">
        <v>702312</v>
      </c>
      <c r="B137" s="1" t="s">
        <v>223</v>
      </c>
      <c r="C137" s="5" t="s">
        <v>15</v>
      </c>
      <c r="D137" s="2">
        <v>44334</v>
      </c>
      <c r="E137" s="1" t="s">
        <v>185</v>
      </c>
      <c r="F137" s="1">
        <v>33101</v>
      </c>
      <c r="G137" s="1" t="s">
        <v>186</v>
      </c>
      <c r="H137" s="1" t="s">
        <v>18</v>
      </c>
      <c r="J137" s="1" t="s">
        <v>44</v>
      </c>
      <c r="K137" s="1" t="str">
        <f>VLOOKUP(J137,'[1]Base SCA 02 2026'!V:X,3,0)</f>
        <v>RAFAEL XAVIER</v>
      </c>
      <c r="L137" s="1" t="str">
        <f>VLOOKUP(J137,'[1]Base SCA 02 2026'!V:Y,4,0)</f>
        <v>IVONEI CAMPOS</v>
      </c>
      <c r="M137" s="1" t="str">
        <f>VLOOKUP(J137,'[1]Base SCA 02 2026'!V:Z,5,0)</f>
        <v>TALLES RYAN</v>
      </c>
      <c r="N137" s="1" t="str">
        <f t="shared" si="2"/>
        <v>TALLES RYAN</v>
      </c>
    </row>
    <row r="138" spans="1:14" x14ac:dyDescent="0.3">
      <c r="A138" s="1">
        <v>705535</v>
      </c>
      <c r="B138" s="1" t="s">
        <v>1293</v>
      </c>
      <c r="C138" s="5" t="s">
        <v>15</v>
      </c>
      <c r="D138" s="2">
        <v>45847</v>
      </c>
      <c r="E138" s="1" t="s">
        <v>91</v>
      </c>
      <c r="F138" s="1">
        <v>34201</v>
      </c>
      <c r="G138" s="1" t="s">
        <v>84</v>
      </c>
      <c r="H138" s="1" t="s">
        <v>18</v>
      </c>
      <c r="J138" s="1" t="s">
        <v>85</v>
      </c>
      <c r="K138" s="1" t="str">
        <f>VLOOKUP(J138,'[1]Base SCA 02 2026'!V:X,3,0)</f>
        <v>PAULO BONIFÁCIO</v>
      </c>
      <c r="L138" s="1" t="str">
        <f>VLOOKUP(J138,'[1]Base SCA 02 2026'!V:Y,4,0)</f>
        <v>PAULO BONIFÁCIO</v>
      </c>
      <c r="M138" s="1" t="str">
        <f>VLOOKUP(J138,'[1]Base SCA 02 2026'!V:Z,5,0)</f>
        <v xml:space="preserve">LEONARDO SANTOS </v>
      </c>
      <c r="N138" s="1" t="str">
        <f t="shared" si="2"/>
        <v xml:space="preserve">LEONARDO SANTOS </v>
      </c>
    </row>
    <row r="139" spans="1:14" x14ac:dyDescent="0.3">
      <c r="A139" s="1">
        <v>705827</v>
      </c>
      <c r="B139" s="1" t="s">
        <v>1538</v>
      </c>
      <c r="C139" s="5" t="s">
        <v>15</v>
      </c>
      <c r="D139" s="2">
        <v>46063</v>
      </c>
      <c r="E139" s="1" t="s">
        <v>109</v>
      </c>
      <c r="F139" s="1">
        <v>32101</v>
      </c>
      <c r="G139" s="1" t="s">
        <v>23</v>
      </c>
      <c r="H139" s="1" t="s">
        <v>18</v>
      </c>
      <c r="J139" s="1" t="s">
        <v>24</v>
      </c>
      <c r="K139" s="1" t="str">
        <f>VLOOKUP(J139,'[1]Base SCA 02 2026'!V:X,3,0)</f>
        <v>RAFAEL XAVIER</v>
      </c>
      <c r="L139" s="1" t="str">
        <f>VLOOKUP(J139,'[1]Base SCA 02 2026'!V:Y,4,0)</f>
        <v>FERNANDO GUILHERME</v>
      </c>
      <c r="M139" s="1" t="str">
        <f>VLOOKUP(J139,'[1]Base SCA 02 2026'!V:Z,5,0)</f>
        <v>JUNIO COSTA</v>
      </c>
      <c r="N139" s="1" t="str">
        <f t="shared" si="2"/>
        <v>JUNIO COSTA</v>
      </c>
    </row>
    <row r="140" spans="1:14" x14ac:dyDescent="0.3">
      <c r="A140" s="1">
        <v>101208</v>
      </c>
      <c r="B140" s="1" t="s">
        <v>224</v>
      </c>
      <c r="C140" s="5" t="s">
        <v>15</v>
      </c>
      <c r="D140" s="2">
        <v>42772</v>
      </c>
      <c r="E140" s="1" t="s">
        <v>105</v>
      </c>
      <c r="F140" s="1">
        <v>22102</v>
      </c>
      <c r="G140" s="1" t="s">
        <v>68</v>
      </c>
      <c r="H140" s="1" t="s">
        <v>18</v>
      </c>
      <c r="J140" s="1" t="s">
        <v>142</v>
      </c>
      <c r="K140" s="1" t="str">
        <f>VLOOKUP(J140,'[1]Base SCA 02 2026'!V:X,3,0)</f>
        <v>PAULO BONIFÁCIO</v>
      </c>
      <c r="L140" s="1" t="str">
        <f>VLOOKUP(J140,'[1]Base SCA 02 2026'!V:Y,4,0)</f>
        <v>MAURICIO SANTOS</v>
      </c>
      <c r="M140" s="1" t="str">
        <f>VLOOKUP(J140,'[1]Base SCA 02 2026'!V:Z,5,0)</f>
        <v>EDIS MOREIRA</v>
      </c>
      <c r="N140" s="1" t="str">
        <f t="shared" si="2"/>
        <v>EDIS MOREIRA</v>
      </c>
    </row>
    <row r="141" spans="1:14" x14ac:dyDescent="0.3">
      <c r="A141" s="1">
        <v>705623</v>
      </c>
      <c r="B141" s="1" t="s">
        <v>1400</v>
      </c>
      <c r="C141" s="5" t="s">
        <v>15</v>
      </c>
      <c r="D141" s="2">
        <v>45937</v>
      </c>
      <c r="E141" s="1" t="s">
        <v>152</v>
      </c>
      <c r="F141" s="1">
        <v>39201</v>
      </c>
      <c r="G141" s="1" t="s">
        <v>153</v>
      </c>
      <c r="H141" s="1" t="s">
        <v>18</v>
      </c>
      <c r="J141" s="1" t="s">
        <v>154</v>
      </c>
      <c r="K141" s="1" t="str">
        <f>VLOOKUP(J141,'[1]Base SCA 02 2026'!V:X,3,0)</f>
        <v>ANDREZA LARDO</v>
      </c>
      <c r="L141" s="1" t="str">
        <f>VLOOKUP(J141,'[1]Base SCA 02 2026'!V:Y,4,0)</f>
        <v>ANDREZA LARDO</v>
      </c>
      <c r="M141" s="1" t="str">
        <f>VLOOKUP(J141,'[1]Base SCA 02 2026'!V:Z,5,0)</f>
        <v>ADENILTON RODRIGUES</v>
      </c>
      <c r="N141" s="1" t="str">
        <f t="shared" si="2"/>
        <v>ADENILTON RODRIGUES</v>
      </c>
    </row>
    <row r="142" spans="1:14" x14ac:dyDescent="0.3">
      <c r="A142" s="1">
        <v>705091</v>
      </c>
      <c r="B142" s="1" t="s">
        <v>225</v>
      </c>
      <c r="C142" s="5" t="s">
        <v>15</v>
      </c>
      <c r="D142" s="2">
        <v>45670</v>
      </c>
      <c r="E142" s="1" t="s">
        <v>175</v>
      </c>
      <c r="F142" s="1">
        <v>31102</v>
      </c>
      <c r="G142" s="1" t="s">
        <v>135</v>
      </c>
      <c r="H142" s="1" t="s">
        <v>18</v>
      </c>
      <c r="J142" s="1" t="s">
        <v>136</v>
      </c>
      <c r="K142" s="1" t="str">
        <f>VLOOKUP(J142,'[1]Base SCA 02 2026'!V:X,3,0)</f>
        <v>ANDREZA LARDO</v>
      </c>
      <c r="L142" s="1" t="str">
        <f>VLOOKUP(J142,'[1]Base SCA 02 2026'!V:Y,4,0)</f>
        <v>ANDREZA LARDO</v>
      </c>
      <c r="M142" s="1" t="str">
        <f>VLOOKUP(J142,'[1]Base SCA 02 2026'!V:Z,5,0)</f>
        <v>ADENILTON RODRIGUES</v>
      </c>
      <c r="N142" s="1" t="str">
        <f t="shared" si="2"/>
        <v>ADENILTON RODRIGUES</v>
      </c>
    </row>
    <row r="143" spans="1:14" x14ac:dyDescent="0.3">
      <c r="A143" s="1">
        <v>702358</v>
      </c>
      <c r="B143" s="1" t="s">
        <v>226</v>
      </c>
      <c r="C143" s="5" t="s">
        <v>15</v>
      </c>
      <c r="D143" s="2">
        <v>44362</v>
      </c>
      <c r="E143" s="1" t="s">
        <v>105</v>
      </c>
      <c r="F143" s="1">
        <v>22102</v>
      </c>
      <c r="G143" s="1" t="s">
        <v>68</v>
      </c>
      <c r="H143" s="1" t="s">
        <v>18</v>
      </c>
      <c r="J143" s="1" t="s">
        <v>142</v>
      </c>
      <c r="K143" s="1" t="str">
        <f>VLOOKUP(J143,'[1]Base SCA 02 2026'!V:X,3,0)</f>
        <v>PAULO BONIFÁCIO</v>
      </c>
      <c r="L143" s="1" t="str">
        <f>VLOOKUP(J143,'[1]Base SCA 02 2026'!V:Y,4,0)</f>
        <v>MAURICIO SANTOS</v>
      </c>
      <c r="M143" s="1" t="str">
        <f>VLOOKUP(J143,'[1]Base SCA 02 2026'!V:Z,5,0)</f>
        <v>EDIS MOREIRA</v>
      </c>
      <c r="N143" s="1" t="str">
        <f t="shared" si="2"/>
        <v>EDIS MOREIRA</v>
      </c>
    </row>
    <row r="144" spans="1:14" x14ac:dyDescent="0.3">
      <c r="A144" s="1">
        <v>702689</v>
      </c>
      <c r="B144" s="1" t="s">
        <v>227</v>
      </c>
      <c r="C144" s="5" t="s">
        <v>15</v>
      </c>
      <c r="D144" s="2">
        <v>44522</v>
      </c>
      <c r="E144" s="1" t="s">
        <v>31</v>
      </c>
      <c r="F144" s="1">
        <v>39304</v>
      </c>
      <c r="G144" s="1" t="s">
        <v>56</v>
      </c>
      <c r="H144" s="1" t="s">
        <v>18</v>
      </c>
      <c r="J144" s="1" t="s">
        <v>57</v>
      </c>
      <c r="K144" s="1" t="str">
        <f>VLOOKUP(J144,'[1]Base SCA 02 2026'!V:X,3,0)</f>
        <v>PAULO BONIFÁCIO</v>
      </c>
      <c r="L144" s="1" t="str">
        <f>VLOOKUP(J144,'[1]Base SCA 02 2026'!V:Y,4,0)</f>
        <v>ALDAIR BORGES</v>
      </c>
      <c r="M144" s="1" t="str">
        <f>VLOOKUP(J144,'[1]Base SCA 02 2026'!V:Z,5,0)</f>
        <v>WARLEY RIBEIRO</v>
      </c>
      <c r="N144" s="1" t="str">
        <f t="shared" si="2"/>
        <v>WARLEY RIBEIRO</v>
      </c>
    </row>
    <row r="145" spans="1:14" x14ac:dyDescent="0.3">
      <c r="A145" s="1">
        <v>703312</v>
      </c>
      <c r="B145" s="1" t="s">
        <v>228</v>
      </c>
      <c r="C145" s="5" t="s">
        <v>15</v>
      </c>
      <c r="D145" s="2">
        <v>44823</v>
      </c>
      <c r="E145" s="1" t="s">
        <v>83</v>
      </c>
      <c r="F145" s="1">
        <v>34201</v>
      </c>
      <c r="G145" s="1" t="s">
        <v>84</v>
      </c>
      <c r="H145" s="1" t="s">
        <v>18</v>
      </c>
      <c r="J145" s="1" t="s">
        <v>85</v>
      </c>
      <c r="K145" s="1" t="str">
        <f>VLOOKUP(J145,'[1]Base SCA 02 2026'!V:X,3,0)</f>
        <v>PAULO BONIFÁCIO</v>
      </c>
      <c r="L145" s="1" t="str">
        <f>VLOOKUP(J145,'[1]Base SCA 02 2026'!V:Y,4,0)</f>
        <v>PAULO BONIFÁCIO</v>
      </c>
      <c r="M145" s="1" t="str">
        <f>VLOOKUP(J145,'[1]Base SCA 02 2026'!V:Z,5,0)</f>
        <v xml:space="preserve">LEONARDO SANTOS </v>
      </c>
      <c r="N145" s="1" t="str">
        <f t="shared" si="2"/>
        <v xml:space="preserve">LEONARDO SANTOS </v>
      </c>
    </row>
    <row r="146" spans="1:14" x14ac:dyDescent="0.3">
      <c r="A146" s="1">
        <v>705759</v>
      </c>
      <c r="B146" s="1" t="s">
        <v>1479</v>
      </c>
      <c r="C146" s="5" t="s">
        <v>15</v>
      </c>
      <c r="D146" s="2">
        <v>45993</v>
      </c>
      <c r="E146" s="1" t="s">
        <v>31</v>
      </c>
      <c r="F146" s="1">
        <v>51219</v>
      </c>
      <c r="G146" s="1" t="s">
        <v>61</v>
      </c>
      <c r="H146" s="1" t="s">
        <v>18</v>
      </c>
      <c r="J146" s="1" t="s">
        <v>19</v>
      </c>
      <c r="K146" s="1" t="str">
        <f>VLOOKUP(J146,'[1]Base SCA 02 2026'!V:X,3,0)</f>
        <v>JOSÉ GOUVEA</v>
      </c>
      <c r="L146" s="1" t="str">
        <f>VLOOKUP(J146,'[1]Base SCA 02 2026'!V:Y,4,0)</f>
        <v>ALEX DIAS</v>
      </c>
      <c r="N146" s="1" t="str">
        <f t="shared" si="2"/>
        <v>ALEX DIAS</v>
      </c>
    </row>
    <row r="147" spans="1:14" x14ac:dyDescent="0.3">
      <c r="A147" s="1">
        <v>704445</v>
      </c>
      <c r="B147" s="1" t="s">
        <v>229</v>
      </c>
      <c r="C147" s="5" t="s">
        <v>15</v>
      </c>
      <c r="D147" s="2">
        <v>45419</v>
      </c>
      <c r="E147" s="1" t="s">
        <v>230</v>
      </c>
      <c r="F147" s="1">
        <v>38101</v>
      </c>
      <c r="G147" s="1" t="s">
        <v>35</v>
      </c>
      <c r="H147" s="1" t="s">
        <v>18</v>
      </c>
      <c r="J147" s="1" t="s">
        <v>36</v>
      </c>
      <c r="K147" s="1" t="str">
        <f>VLOOKUP(J147,'[1]Base SCA 02 2026'!V:X,3,0)</f>
        <v xml:space="preserve">LEIDJANE MARTINS </v>
      </c>
      <c r="L147" s="1" t="str">
        <f>VLOOKUP(J147,'[1]Base SCA 02 2026'!V:Y,4,0)</f>
        <v xml:space="preserve">LEIDJANE MARTINS </v>
      </c>
      <c r="M147" s="1" t="str">
        <f>VLOOKUP(J147,'[1]Base SCA 02 2026'!V:Z,5,0)</f>
        <v>DENIS ACASSIO</v>
      </c>
      <c r="N147" s="1" t="str">
        <f t="shared" si="2"/>
        <v>DENIS ACASSIO</v>
      </c>
    </row>
    <row r="148" spans="1:14" x14ac:dyDescent="0.3">
      <c r="A148" s="1">
        <v>701776</v>
      </c>
      <c r="B148" s="1" t="s">
        <v>231</v>
      </c>
      <c r="C148" s="5" t="s">
        <v>15</v>
      </c>
      <c r="D148" s="2">
        <v>44060</v>
      </c>
      <c r="E148" s="1" t="s">
        <v>457</v>
      </c>
      <c r="F148" s="1">
        <v>22102</v>
      </c>
      <c r="G148" s="1" t="s">
        <v>68</v>
      </c>
      <c r="H148" s="1" t="s">
        <v>18</v>
      </c>
      <c r="J148" s="1" t="s">
        <v>142</v>
      </c>
      <c r="K148" s="1" t="str">
        <f>VLOOKUP(J148,'[1]Base SCA 02 2026'!V:X,3,0)</f>
        <v>PAULO BONIFÁCIO</v>
      </c>
      <c r="L148" s="1" t="str">
        <f>VLOOKUP(J148,'[1]Base SCA 02 2026'!V:Y,4,0)</f>
        <v>MAURICIO SANTOS</v>
      </c>
      <c r="M148" s="1" t="str">
        <f>VLOOKUP(J148,'[1]Base SCA 02 2026'!V:Z,5,0)</f>
        <v>EDIS MOREIRA</v>
      </c>
      <c r="N148" s="1" t="str">
        <f t="shared" si="2"/>
        <v>EDIS MOREIRA</v>
      </c>
    </row>
    <row r="149" spans="1:14" x14ac:dyDescent="0.3">
      <c r="A149" s="1">
        <v>701492</v>
      </c>
      <c r="B149" s="1" t="s">
        <v>232</v>
      </c>
      <c r="C149" s="5" t="s">
        <v>15</v>
      </c>
      <c r="D149" s="2">
        <v>43878</v>
      </c>
      <c r="E149" s="1" t="s">
        <v>138</v>
      </c>
      <c r="F149" s="1">
        <v>51219</v>
      </c>
      <c r="G149" s="1" t="s">
        <v>61</v>
      </c>
      <c r="H149" s="1" t="s">
        <v>18</v>
      </c>
      <c r="J149" s="1" t="s">
        <v>37</v>
      </c>
      <c r="K149" s="1" t="str">
        <f>VLOOKUP(J149,'[1]Base SCA 02 2026'!V:X,3,0)</f>
        <v>JOSÉ GOUVEA</v>
      </c>
      <c r="L149" s="1" t="str">
        <f>VLOOKUP(J149,'[1]Base SCA 02 2026'!V:Y,4,0)</f>
        <v>ALEX DIAS</v>
      </c>
      <c r="N149" s="1" t="str">
        <f t="shared" si="2"/>
        <v>ALEX DIAS</v>
      </c>
    </row>
    <row r="150" spans="1:14" x14ac:dyDescent="0.3">
      <c r="A150" s="1">
        <v>704693</v>
      </c>
      <c r="B150" s="1" t="s">
        <v>234</v>
      </c>
      <c r="C150" s="5" t="s">
        <v>15</v>
      </c>
      <c r="D150" s="2">
        <v>45510</v>
      </c>
      <c r="E150" s="1" t="s">
        <v>27</v>
      </c>
      <c r="F150" s="1">
        <v>39302</v>
      </c>
      <c r="G150" s="1" t="s">
        <v>102</v>
      </c>
      <c r="H150" s="1" t="s">
        <v>18</v>
      </c>
      <c r="J150" s="1" t="s">
        <v>57</v>
      </c>
      <c r="K150" s="1" t="str">
        <f>VLOOKUP(J150,'[1]Base SCA 02 2026'!V:X,3,0)</f>
        <v>PAULO BONIFÁCIO</v>
      </c>
      <c r="L150" s="1" t="str">
        <f>VLOOKUP(J150,'[1]Base SCA 02 2026'!V:Y,4,0)</f>
        <v>ALDAIR BORGES</v>
      </c>
      <c r="M150" s="1" t="str">
        <f>VLOOKUP(J150,'[1]Base SCA 02 2026'!V:Z,5,0)</f>
        <v>WARLEY RIBEIRO</v>
      </c>
      <c r="N150" s="1" t="str">
        <f t="shared" si="2"/>
        <v>WARLEY RIBEIRO</v>
      </c>
    </row>
    <row r="151" spans="1:14" x14ac:dyDescent="0.3">
      <c r="A151" s="1">
        <v>101454</v>
      </c>
      <c r="B151" s="1" t="s">
        <v>235</v>
      </c>
      <c r="C151" s="5" t="s">
        <v>15</v>
      </c>
      <c r="D151" s="2">
        <v>42962</v>
      </c>
      <c r="E151" s="1" t="s">
        <v>199</v>
      </c>
      <c r="F151" s="1">
        <v>22102</v>
      </c>
      <c r="G151" s="1" t="s">
        <v>68</v>
      </c>
      <c r="H151" s="1" t="s">
        <v>18</v>
      </c>
      <c r="J151" s="1" t="s">
        <v>81</v>
      </c>
      <c r="K151" s="1" t="str">
        <f>VLOOKUP(J151,'[1]Base SCA 02 2026'!V:X,3,0)</f>
        <v>PAULO BONIFÁCIO</v>
      </c>
      <c r="L151" s="1" t="str">
        <f>VLOOKUP(J151,'[1]Base SCA 02 2026'!V:Y,4,0)</f>
        <v>MAURICIO SANTOS</v>
      </c>
      <c r="M151" s="1" t="str">
        <f>VLOOKUP(J151,'[1]Base SCA 02 2026'!V:Z,5,0)</f>
        <v xml:space="preserve">EDSON/MARCELO LIMA </v>
      </c>
      <c r="N151" s="1" t="str">
        <f t="shared" si="2"/>
        <v xml:space="preserve">EDSON/MARCELO LIMA </v>
      </c>
    </row>
    <row r="152" spans="1:14" x14ac:dyDescent="0.3">
      <c r="A152" s="1">
        <v>1773</v>
      </c>
      <c r="B152" s="1" t="s">
        <v>236</v>
      </c>
      <c r="C152" s="5" t="s">
        <v>15</v>
      </c>
      <c r="D152" s="2">
        <v>40589</v>
      </c>
      <c r="E152" s="1" t="s">
        <v>1214</v>
      </c>
      <c r="F152" s="1">
        <v>34101</v>
      </c>
      <c r="G152" s="1" t="s">
        <v>43</v>
      </c>
      <c r="H152" s="1" t="s">
        <v>18</v>
      </c>
      <c r="J152" s="1" t="s">
        <v>237</v>
      </c>
      <c r="K152" s="1" t="str">
        <f>VLOOKUP(J152,'[1]Base SCA 02 2026'!V:X,3,0)</f>
        <v>RAFAEL XAVIER</v>
      </c>
      <c r="L152" s="1" t="str">
        <f>VLOOKUP(J152,'[1]Base SCA 02 2026'!V:Y,4,0)</f>
        <v>IVONEI CAMPOS</v>
      </c>
      <c r="M152" s="1" t="str">
        <f>VLOOKUP(J152,'[1]Base SCA 02 2026'!V:Z,5,0)</f>
        <v xml:space="preserve">MARCOS VINICIUS </v>
      </c>
      <c r="N152" s="1" t="str">
        <f t="shared" si="2"/>
        <v xml:space="preserve">MARCOS VINICIUS </v>
      </c>
    </row>
    <row r="153" spans="1:14" x14ac:dyDescent="0.3">
      <c r="A153" s="1">
        <v>705186</v>
      </c>
      <c r="B153" s="1" t="s">
        <v>1155</v>
      </c>
      <c r="C153" s="5" t="s">
        <v>15</v>
      </c>
      <c r="D153" s="2">
        <v>45726</v>
      </c>
      <c r="E153" s="1" t="s">
        <v>138</v>
      </c>
      <c r="F153" s="1">
        <v>52104</v>
      </c>
      <c r="G153" s="1" t="s">
        <v>17</v>
      </c>
      <c r="H153" s="1" t="s">
        <v>18</v>
      </c>
      <c r="J153" s="1" t="s">
        <v>19</v>
      </c>
      <c r="K153" s="1" t="str">
        <f>VLOOKUP(J153,'[1]Base SCA 02 2026'!V:X,3,0)</f>
        <v>JOSÉ GOUVEA</v>
      </c>
      <c r="L153" s="1" t="str">
        <f>VLOOKUP(J153,'[1]Base SCA 02 2026'!V:Y,4,0)</f>
        <v>ALEX DIAS</v>
      </c>
      <c r="N153" s="1" t="str">
        <f t="shared" si="2"/>
        <v>ALEX DIAS</v>
      </c>
    </row>
    <row r="154" spans="1:14" x14ac:dyDescent="0.3">
      <c r="A154" s="1">
        <v>701469</v>
      </c>
      <c r="B154" s="1" t="s">
        <v>797</v>
      </c>
      <c r="C154" s="5" t="s">
        <v>15</v>
      </c>
      <c r="D154" s="2">
        <v>43795</v>
      </c>
      <c r="E154" s="1" t="s">
        <v>179</v>
      </c>
      <c r="F154" s="1">
        <v>32101</v>
      </c>
      <c r="G154" s="1" t="s">
        <v>23</v>
      </c>
      <c r="H154" s="1" t="s">
        <v>18</v>
      </c>
      <c r="J154" s="1" t="s">
        <v>24</v>
      </c>
      <c r="K154" s="1" t="str">
        <f>VLOOKUP(J154,'[1]Base SCA 02 2026'!V:X,3,0)</f>
        <v>RAFAEL XAVIER</v>
      </c>
      <c r="L154" s="1" t="str">
        <f>VLOOKUP(J154,'[1]Base SCA 02 2026'!V:Y,4,0)</f>
        <v>FERNANDO GUILHERME</v>
      </c>
      <c r="M154" s="1" t="str">
        <f>VLOOKUP(J154,'[1]Base SCA 02 2026'!V:Z,5,0)</f>
        <v>JUNIO COSTA</v>
      </c>
      <c r="N154" s="1" t="str">
        <f t="shared" si="2"/>
        <v>JUNIO COSTA</v>
      </c>
    </row>
    <row r="155" spans="1:14" x14ac:dyDescent="0.3">
      <c r="A155" s="1">
        <v>704386</v>
      </c>
      <c r="B155" s="1" t="s">
        <v>242</v>
      </c>
      <c r="C155" s="5" t="s">
        <v>15</v>
      </c>
      <c r="D155" s="2">
        <v>45390</v>
      </c>
      <c r="E155" s="1" t="s">
        <v>77</v>
      </c>
      <c r="F155" s="1">
        <v>38107</v>
      </c>
      <c r="G155" s="1" t="s">
        <v>1503</v>
      </c>
      <c r="H155" s="1" t="s">
        <v>18</v>
      </c>
      <c r="J155" s="1" t="s">
        <v>78</v>
      </c>
      <c r="K155" s="1" t="str">
        <f>VLOOKUP(J155,'[1]Base SCA 02 2026'!V:X,3,0)</f>
        <v xml:space="preserve">LEIDJANE MARTINS </v>
      </c>
      <c r="L155" s="1" t="str">
        <f>VLOOKUP(J155,'[1]Base SCA 02 2026'!V:Y,4,0)</f>
        <v xml:space="preserve">LEIDJANE MARTINS </v>
      </c>
      <c r="N155" s="1" t="str">
        <f t="shared" si="2"/>
        <v xml:space="preserve">LEIDJANE MARTINS </v>
      </c>
    </row>
    <row r="156" spans="1:14" x14ac:dyDescent="0.3">
      <c r="A156" s="1">
        <v>705814</v>
      </c>
      <c r="B156" s="1" t="s">
        <v>1516</v>
      </c>
      <c r="C156" s="5" t="s">
        <v>15</v>
      </c>
      <c r="D156" s="2">
        <v>46035</v>
      </c>
      <c r="E156" s="1" t="s">
        <v>31</v>
      </c>
      <c r="F156" s="1">
        <v>51219</v>
      </c>
      <c r="G156" s="1" t="s">
        <v>61</v>
      </c>
      <c r="H156" s="1" t="s">
        <v>18</v>
      </c>
      <c r="J156" s="1" t="s">
        <v>19</v>
      </c>
      <c r="K156" s="1" t="str">
        <f>VLOOKUP(J156,'[1]Base SCA 02 2026'!V:X,3,0)</f>
        <v>JOSÉ GOUVEA</v>
      </c>
      <c r="L156" s="1" t="str">
        <f>VLOOKUP(J156,'[1]Base SCA 02 2026'!V:Y,4,0)</f>
        <v>ALEX DIAS</v>
      </c>
      <c r="N156" s="1" t="str">
        <f t="shared" si="2"/>
        <v>ALEX DIAS</v>
      </c>
    </row>
    <row r="157" spans="1:14" x14ac:dyDescent="0.3">
      <c r="A157" s="1">
        <v>704728</v>
      </c>
      <c r="B157" s="1" t="s">
        <v>803</v>
      </c>
      <c r="C157" s="5" t="s">
        <v>15</v>
      </c>
      <c r="D157" s="2">
        <v>45518</v>
      </c>
      <c r="E157" s="1" t="s">
        <v>93</v>
      </c>
      <c r="F157" s="1">
        <v>22102</v>
      </c>
      <c r="G157" s="1" t="s">
        <v>68</v>
      </c>
      <c r="H157" s="1" t="s">
        <v>18</v>
      </c>
      <c r="J157" s="1" t="s">
        <v>69</v>
      </c>
      <c r="K157" s="1" t="str">
        <f>VLOOKUP(J157,'[1]Base SCA 02 2026'!V:X,3,0)</f>
        <v>PAULO BONIFÁCIO</v>
      </c>
      <c r="L157" s="1" t="str">
        <f>VLOOKUP(J157,'[1]Base SCA 02 2026'!V:Y,4,0)</f>
        <v xml:space="preserve">JOÃO KOMURA </v>
      </c>
      <c r="N157" s="1" t="str">
        <f t="shared" si="2"/>
        <v xml:space="preserve">JOÃO KOMURA </v>
      </c>
    </row>
    <row r="158" spans="1:14" x14ac:dyDescent="0.3">
      <c r="A158" s="1">
        <v>702996</v>
      </c>
      <c r="B158" s="1" t="s">
        <v>243</v>
      </c>
      <c r="C158" s="5" t="s">
        <v>15</v>
      </c>
      <c r="D158" s="2">
        <v>44691</v>
      </c>
      <c r="E158" s="1" t="s">
        <v>230</v>
      </c>
      <c r="F158" s="1">
        <v>38101</v>
      </c>
      <c r="G158" s="1" t="s">
        <v>35</v>
      </c>
      <c r="H158" s="1" t="s">
        <v>18</v>
      </c>
      <c r="J158" s="1" t="s">
        <v>36</v>
      </c>
      <c r="K158" s="1" t="str">
        <f>VLOOKUP(J158,'[1]Base SCA 02 2026'!V:X,3,0)</f>
        <v xml:space="preserve">LEIDJANE MARTINS </v>
      </c>
      <c r="L158" s="1" t="str">
        <f>VLOOKUP(J158,'[1]Base SCA 02 2026'!V:Y,4,0)</f>
        <v xml:space="preserve">LEIDJANE MARTINS </v>
      </c>
      <c r="M158" s="1" t="str">
        <f>VLOOKUP(J158,'[1]Base SCA 02 2026'!V:Z,5,0)</f>
        <v>DENIS ACASSIO</v>
      </c>
      <c r="N158" s="1" t="str">
        <f t="shared" si="2"/>
        <v>DENIS ACASSIO</v>
      </c>
    </row>
    <row r="159" spans="1:14" x14ac:dyDescent="0.3">
      <c r="A159" s="1">
        <v>705215</v>
      </c>
      <c r="B159" s="1" t="s">
        <v>1156</v>
      </c>
      <c r="C159" s="5" t="s">
        <v>15</v>
      </c>
      <c r="D159" s="2">
        <v>45734</v>
      </c>
      <c r="E159" s="1" t="s">
        <v>31</v>
      </c>
      <c r="F159" s="1">
        <v>51219</v>
      </c>
      <c r="G159" s="1" t="s">
        <v>61</v>
      </c>
      <c r="H159" s="1" t="s">
        <v>18</v>
      </c>
      <c r="J159" s="1" t="s">
        <v>19</v>
      </c>
      <c r="K159" s="1" t="str">
        <f>VLOOKUP(J159,'[1]Base SCA 02 2026'!V:X,3,0)</f>
        <v>JOSÉ GOUVEA</v>
      </c>
      <c r="L159" s="1" t="str">
        <f>VLOOKUP(J159,'[1]Base SCA 02 2026'!V:Y,4,0)</f>
        <v>ALEX DIAS</v>
      </c>
      <c r="N159" s="1" t="str">
        <f t="shared" si="2"/>
        <v>ALEX DIAS</v>
      </c>
    </row>
    <row r="160" spans="1:14" x14ac:dyDescent="0.3">
      <c r="A160" s="1">
        <v>702285</v>
      </c>
      <c r="B160" s="1" t="s">
        <v>244</v>
      </c>
      <c r="C160" s="5" t="s">
        <v>15</v>
      </c>
      <c r="D160" s="2">
        <v>44334</v>
      </c>
      <c r="E160" s="1" t="s">
        <v>245</v>
      </c>
      <c r="F160" s="1">
        <v>37101</v>
      </c>
      <c r="G160" s="1" t="s">
        <v>214</v>
      </c>
      <c r="H160" s="1" t="s">
        <v>18</v>
      </c>
      <c r="J160" s="1" t="s">
        <v>215</v>
      </c>
      <c r="K160" s="1" t="str">
        <f>VLOOKUP(J160,'[1]Base SCA 02 2026'!V:X,3,0)</f>
        <v>CARSON NEVES</v>
      </c>
      <c r="L160" s="1" t="str">
        <f>VLOOKUP(J160,'[1]Base SCA 02 2026'!V:Y,4,0)</f>
        <v>CARSON NEVES</v>
      </c>
      <c r="N160" s="1" t="str">
        <f t="shared" si="2"/>
        <v>CARSON NEVES</v>
      </c>
    </row>
    <row r="161" spans="1:14" x14ac:dyDescent="0.3">
      <c r="A161" s="1">
        <v>703619</v>
      </c>
      <c r="B161" s="1" t="s">
        <v>246</v>
      </c>
      <c r="C161" s="5" t="s">
        <v>15</v>
      </c>
      <c r="D161" s="2">
        <v>44991</v>
      </c>
      <c r="E161" s="1" t="s">
        <v>217</v>
      </c>
      <c r="F161" s="1">
        <v>39302</v>
      </c>
      <c r="G161" s="1" t="s">
        <v>102</v>
      </c>
      <c r="H161" s="1" t="s">
        <v>18</v>
      </c>
      <c r="J161" s="1" t="s">
        <v>57</v>
      </c>
      <c r="K161" s="1" t="str">
        <f>VLOOKUP(J161,'[1]Base SCA 02 2026'!V:X,3,0)</f>
        <v>PAULO BONIFÁCIO</v>
      </c>
      <c r="L161" s="1" t="str">
        <f>VLOOKUP(J161,'[1]Base SCA 02 2026'!V:Y,4,0)</f>
        <v>ALDAIR BORGES</v>
      </c>
      <c r="M161" s="1" t="str">
        <f>VLOOKUP(J161,'[1]Base SCA 02 2026'!V:Z,5,0)</f>
        <v>WARLEY RIBEIRO</v>
      </c>
      <c r="N161" s="1" t="str">
        <f t="shared" si="2"/>
        <v>WARLEY RIBEIRO</v>
      </c>
    </row>
    <row r="162" spans="1:14" x14ac:dyDescent="0.3">
      <c r="A162" s="1">
        <v>705784</v>
      </c>
      <c r="B162" s="1" t="s">
        <v>1517</v>
      </c>
      <c r="C162" s="5" t="s">
        <v>15</v>
      </c>
      <c r="D162" s="2">
        <v>46035</v>
      </c>
      <c r="E162" s="1" t="s">
        <v>31</v>
      </c>
      <c r="F162" s="1">
        <v>25201</v>
      </c>
      <c r="G162" s="1" t="s">
        <v>89</v>
      </c>
      <c r="H162" s="1" t="s">
        <v>18</v>
      </c>
      <c r="J162" s="1" t="s">
        <v>19</v>
      </c>
      <c r="K162" s="1" t="str">
        <f>VLOOKUP(J162,'[1]Base SCA 02 2026'!V:X,3,0)</f>
        <v>JOSÉ GOUVEA</v>
      </c>
      <c r="L162" s="1" t="str">
        <f>VLOOKUP(J162,'[1]Base SCA 02 2026'!V:Y,4,0)</f>
        <v>ALEX DIAS</v>
      </c>
      <c r="N162" s="1" t="str">
        <f t="shared" si="2"/>
        <v>ALEX DIAS</v>
      </c>
    </row>
    <row r="163" spans="1:14" x14ac:dyDescent="0.3">
      <c r="A163" s="1">
        <v>705750</v>
      </c>
      <c r="B163" s="1" t="s">
        <v>806</v>
      </c>
      <c r="C163" s="5" t="s">
        <v>15</v>
      </c>
      <c r="D163" s="2">
        <v>45993</v>
      </c>
      <c r="E163" s="1" t="s">
        <v>31</v>
      </c>
      <c r="F163" s="1">
        <v>25201</v>
      </c>
      <c r="G163" s="1" t="s">
        <v>89</v>
      </c>
      <c r="H163" s="1" t="s">
        <v>18</v>
      </c>
      <c r="J163" s="1" t="s">
        <v>19</v>
      </c>
      <c r="K163" s="1" t="str">
        <f>VLOOKUP(J163,'[1]Base SCA 02 2026'!V:X,3,0)</f>
        <v>JOSÉ GOUVEA</v>
      </c>
      <c r="L163" s="1" t="str">
        <f>VLOOKUP(J163,'[1]Base SCA 02 2026'!V:Y,4,0)</f>
        <v>ALEX DIAS</v>
      </c>
      <c r="N163" s="1" t="str">
        <f t="shared" si="2"/>
        <v>ALEX DIAS</v>
      </c>
    </row>
    <row r="164" spans="1:14" x14ac:dyDescent="0.3">
      <c r="A164" s="1">
        <v>705708</v>
      </c>
      <c r="B164" s="1" t="s">
        <v>807</v>
      </c>
      <c r="C164" s="5" t="s">
        <v>92</v>
      </c>
      <c r="D164" s="2">
        <v>45972</v>
      </c>
      <c r="E164" s="1" t="s">
        <v>31</v>
      </c>
      <c r="F164" s="1">
        <v>25201</v>
      </c>
      <c r="G164" s="1" t="s">
        <v>89</v>
      </c>
      <c r="H164" s="1" t="s">
        <v>18</v>
      </c>
      <c r="I164" s="2">
        <v>46061</v>
      </c>
      <c r="J164" s="1" t="s">
        <v>19</v>
      </c>
      <c r="K164" s="1" t="str">
        <f>VLOOKUP(J164,'[1]Base SCA 02 2026'!V:X,3,0)</f>
        <v>JOSÉ GOUVEA</v>
      </c>
      <c r="L164" s="1" t="str">
        <f>VLOOKUP(J164,'[1]Base SCA 02 2026'!V:Y,4,0)</f>
        <v>ALEX DIAS</v>
      </c>
      <c r="N164" s="1" t="str">
        <f t="shared" si="2"/>
        <v>ALEX DIAS</v>
      </c>
    </row>
    <row r="165" spans="1:14" x14ac:dyDescent="0.3">
      <c r="A165" s="1">
        <v>105406</v>
      </c>
      <c r="B165" s="1" t="s">
        <v>247</v>
      </c>
      <c r="C165" s="5" t="s">
        <v>15</v>
      </c>
      <c r="D165" s="2">
        <v>42842</v>
      </c>
      <c r="E165" s="1" t="s">
        <v>141</v>
      </c>
      <c r="F165" s="1">
        <v>34101</v>
      </c>
      <c r="G165" s="1" t="s">
        <v>43</v>
      </c>
      <c r="H165" s="1" t="s">
        <v>18</v>
      </c>
      <c r="J165" s="1" t="s">
        <v>65</v>
      </c>
      <c r="K165" s="1" t="str">
        <f>VLOOKUP(J165,'[1]Base SCA 02 2026'!V:X,3,0)</f>
        <v>RAFAEL XAVIER</v>
      </c>
      <c r="L165" s="1" t="str">
        <f>VLOOKUP(J165,'[1]Base SCA 02 2026'!V:Y,4,0)</f>
        <v>IVONEI CAMPOS</v>
      </c>
      <c r="M165" s="1" t="str">
        <f>VLOOKUP(J165,'[1]Base SCA 02 2026'!V:Z,5,0)</f>
        <v>ANDRÉ CUBA</v>
      </c>
      <c r="N165" s="1" t="str">
        <f t="shared" si="2"/>
        <v>ANDRÉ CUBA</v>
      </c>
    </row>
    <row r="166" spans="1:14" x14ac:dyDescent="0.3">
      <c r="A166" s="1">
        <v>705838</v>
      </c>
      <c r="B166" s="1" t="s">
        <v>1539</v>
      </c>
      <c r="C166" s="5" t="s">
        <v>15</v>
      </c>
      <c r="D166" s="2">
        <v>46063</v>
      </c>
      <c r="E166" s="1" t="s">
        <v>31</v>
      </c>
      <c r="F166" s="1">
        <v>51219</v>
      </c>
      <c r="G166" s="1" t="s">
        <v>61</v>
      </c>
      <c r="H166" s="1" t="s">
        <v>18</v>
      </c>
      <c r="J166" s="1" t="s">
        <v>19</v>
      </c>
      <c r="K166" s="1" t="str">
        <f>VLOOKUP(J166,'[1]Base SCA 02 2026'!V:X,3,0)</f>
        <v>JOSÉ GOUVEA</v>
      </c>
      <c r="L166" s="1" t="str">
        <f>VLOOKUP(J166,'[1]Base SCA 02 2026'!V:Y,4,0)</f>
        <v>ALEX DIAS</v>
      </c>
      <c r="N166" s="1" t="str">
        <f t="shared" si="2"/>
        <v>ALEX DIAS</v>
      </c>
    </row>
    <row r="167" spans="1:14" x14ac:dyDescent="0.3">
      <c r="A167" s="1">
        <v>705728</v>
      </c>
      <c r="B167" s="1" t="s">
        <v>1446</v>
      </c>
      <c r="C167" s="5" t="s">
        <v>15</v>
      </c>
      <c r="D167" s="2">
        <v>45972</v>
      </c>
      <c r="E167" s="1" t="s">
        <v>31</v>
      </c>
      <c r="F167" s="1">
        <v>51219</v>
      </c>
      <c r="G167" s="1" t="s">
        <v>61</v>
      </c>
      <c r="H167" s="1" t="s">
        <v>18</v>
      </c>
      <c r="J167" s="1" t="s">
        <v>19</v>
      </c>
      <c r="K167" s="1" t="str">
        <f>VLOOKUP(J167,'[1]Base SCA 02 2026'!V:X,3,0)</f>
        <v>JOSÉ GOUVEA</v>
      </c>
      <c r="L167" s="1" t="str">
        <f>VLOOKUP(J167,'[1]Base SCA 02 2026'!V:Y,4,0)</f>
        <v>ALEX DIAS</v>
      </c>
      <c r="N167" s="1" t="str">
        <f t="shared" si="2"/>
        <v>ALEX DIAS</v>
      </c>
    </row>
    <row r="168" spans="1:14" x14ac:dyDescent="0.3">
      <c r="A168" s="1">
        <v>100221</v>
      </c>
      <c r="B168" s="1" t="s">
        <v>248</v>
      </c>
      <c r="C168" s="5" t="s">
        <v>15</v>
      </c>
      <c r="D168" s="2">
        <v>41557</v>
      </c>
      <c r="E168" s="1" t="s">
        <v>245</v>
      </c>
      <c r="F168" s="1">
        <v>37101</v>
      </c>
      <c r="G168" s="1" t="s">
        <v>214</v>
      </c>
      <c r="H168" s="1" t="s">
        <v>18</v>
      </c>
      <c r="J168" s="1" t="s">
        <v>215</v>
      </c>
      <c r="K168" s="1" t="str">
        <f>VLOOKUP(J168,'[1]Base SCA 02 2026'!V:X,3,0)</f>
        <v>CARSON NEVES</v>
      </c>
      <c r="L168" s="1" t="str">
        <f>VLOOKUP(J168,'[1]Base SCA 02 2026'!V:Y,4,0)</f>
        <v>CARSON NEVES</v>
      </c>
      <c r="N168" s="1" t="str">
        <f t="shared" si="2"/>
        <v>CARSON NEVES</v>
      </c>
    </row>
    <row r="169" spans="1:14" x14ac:dyDescent="0.3">
      <c r="A169" s="1">
        <v>705218</v>
      </c>
      <c r="B169" s="1" t="s">
        <v>1157</v>
      </c>
      <c r="C169" s="5" t="s">
        <v>92</v>
      </c>
      <c r="D169" s="2">
        <v>45734</v>
      </c>
      <c r="E169" s="1" t="s">
        <v>31</v>
      </c>
      <c r="F169" s="1">
        <v>34201</v>
      </c>
      <c r="G169" s="1" t="s">
        <v>84</v>
      </c>
      <c r="H169" s="1" t="s">
        <v>18</v>
      </c>
      <c r="I169" s="2">
        <v>46058</v>
      </c>
      <c r="J169" s="1" t="s">
        <v>85</v>
      </c>
      <c r="K169" s="1" t="str">
        <f>VLOOKUP(J169,'[1]Base SCA 02 2026'!V:X,3,0)</f>
        <v>PAULO BONIFÁCIO</v>
      </c>
      <c r="L169" s="1" t="str">
        <f>VLOOKUP(J169,'[1]Base SCA 02 2026'!V:Y,4,0)</f>
        <v>PAULO BONIFÁCIO</v>
      </c>
      <c r="M169" s="1" t="str">
        <f>VLOOKUP(J169,'[1]Base SCA 02 2026'!V:Z,5,0)</f>
        <v xml:space="preserve">LEONARDO SANTOS </v>
      </c>
      <c r="N169" s="1" t="str">
        <f t="shared" si="2"/>
        <v xml:space="preserve">LEONARDO SANTOS </v>
      </c>
    </row>
    <row r="170" spans="1:14" x14ac:dyDescent="0.3">
      <c r="A170" s="1">
        <v>705703</v>
      </c>
      <c r="B170" s="1" t="s">
        <v>1447</v>
      </c>
      <c r="C170" s="5" t="s">
        <v>92</v>
      </c>
      <c r="D170" s="2">
        <v>45972</v>
      </c>
      <c r="E170" s="1" t="s">
        <v>31</v>
      </c>
      <c r="F170" s="1">
        <v>25102</v>
      </c>
      <c r="G170" s="1" t="s">
        <v>1153</v>
      </c>
      <c r="H170" s="1" t="s">
        <v>18</v>
      </c>
      <c r="I170" s="2">
        <v>46061</v>
      </c>
      <c r="J170" s="1" t="s">
        <v>19</v>
      </c>
      <c r="K170" s="1" t="str">
        <f>VLOOKUP(J170,'[1]Base SCA 02 2026'!V:X,3,0)</f>
        <v>JOSÉ GOUVEA</v>
      </c>
      <c r="L170" s="1" t="str">
        <f>VLOOKUP(J170,'[1]Base SCA 02 2026'!V:Y,4,0)</f>
        <v>ALEX DIAS</v>
      </c>
      <c r="N170" s="1" t="str">
        <f t="shared" si="2"/>
        <v>ALEX DIAS</v>
      </c>
    </row>
    <row r="171" spans="1:14" x14ac:dyDescent="0.3">
      <c r="A171" s="1">
        <v>705227</v>
      </c>
      <c r="B171" s="1" t="s">
        <v>1158</v>
      </c>
      <c r="C171" s="5" t="s">
        <v>15</v>
      </c>
      <c r="D171" s="2">
        <v>45734</v>
      </c>
      <c r="E171" s="1" t="s">
        <v>31</v>
      </c>
      <c r="F171" s="1">
        <v>22102</v>
      </c>
      <c r="G171" s="1" t="s">
        <v>68</v>
      </c>
      <c r="H171" s="1" t="s">
        <v>18</v>
      </c>
      <c r="J171" s="1" t="s">
        <v>167</v>
      </c>
      <c r="K171" s="1" t="str">
        <f>VLOOKUP(J171,'[1]Base SCA 02 2026'!V:X,3,0)</f>
        <v>PAULO BONIFÁCIO</v>
      </c>
      <c r="L171" s="1" t="str">
        <f>VLOOKUP(J171,'[1]Base SCA 02 2026'!V:Y,4,0)</f>
        <v>MAURICIO SANTOS</v>
      </c>
      <c r="M171" s="1" t="str">
        <f>VLOOKUP(J171,'[1]Base SCA 02 2026'!V:Z,5,0)</f>
        <v>FABIANO</v>
      </c>
      <c r="N171" s="1" t="str">
        <f t="shared" si="2"/>
        <v>FABIANO</v>
      </c>
    </row>
    <row r="172" spans="1:14" x14ac:dyDescent="0.3">
      <c r="A172" s="1">
        <v>705729</v>
      </c>
      <c r="B172" s="1" t="s">
        <v>1448</v>
      </c>
      <c r="C172" s="5" t="s">
        <v>15</v>
      </c>
      <c r="D172" s="2">
        <v>45972</v>
      </c>
      <c r="E172" s="1" t="s">
        <v>31</v>
      </c>
      <c r="F172" s="1">
        <v>51219</v>
      </c>
      <c r="G172" s="1" t="s">
        <v>61</v>
      </c>
      <c r="H172" s="1" t="s">
        <v>18</v>
      </c>
      <c r="J172" s="1" t="s">
        <v>19</v>
      </c>
      <c r="K172" s="1" t="str">
        <f>VLOOKUP(J172,'[1]Base SCA 02 2026'!V:X,3,0)</f>
        <v>JOSÉ GOUVEA</v>
      </c>
      <c r="L172" s="1" t="str">
        <f>VLOOKUP(J172,'[1]Base SCA 02 2026'!V:Y,4,0)</f>
        <v>ALEX DIAS</v>
      </c>
      <c r="N172" s="1" t="str">
        <f t="shared" si="2"/>
        <v>ALEX DIAS</v>
      </c>
    </row>
    <row r="173" spans="1:14" x14ac:dyDescent="0.3">
      <c r="A173" s="1">
        <v>701487</v>
      </c>
      <c r="B173" s="1" t="s">
        <v>250</v>
      </c>
      <c r="C173" s="5" t="s">
        <v>15</v>
      </c>
      <c r="D173" s="2">
        <v>43873</v>
      </c>
      <c r="E173" s="1" t="s">
        <v>251</v>
      </c>
      <c r="F173" s="1">
        <v>39302</v>
      </c>
      <c r="G173" s="1" t="s">
        <v>102</v>
      </c>
      <c r="H173" s="1" t="s">
        <v>18</v>
      </c>
      <c r="J173" s="1" t="s">
        <v>57</v>
      </c>
      <c r="K173" s="1" t="str">
        <f>VLOOKUP(J173,'[1]Base SCA 02 2026'!V:X,3,0)</f>
        <v>PAULO BONIFÁCIO</v>
      </c>
      <c r="L173" s="1" t="str">
        <f>VLOOKUP(J173,'[1]Base SCA 02 2026'!V:Y,4,0)</f>
        <v>ALDAIR BORGES</v>
      </c>
      <c r="M173" s="1" t="str">
        <f>VLOOKUP(J173,'[1]Base SCA 02 2026'!V:Z,5,0)</f>
        <v>WARLEY RIBEIRO</v>
      </c>
      <c r="N173" s="1" t="str">
        <f t="shared" si="2"/>
        <v>WARLEY RIBEIRO</v>
      </c>
    </row>
    <row r="174" spans="1:14" x14ac:dyDescent="0.3">
      <c r="A174" s="1">
        <v>705765</v>
      </c>
      <c r="B174" s="1" t="s">
        <v>1480</v>
      </c>
      <c r="C174" s="5" t="s">
        <v>15</v>
      </c>
      <c r="D174" s="2">
        <v>45993</v>
      </c>
      <c r="E174" s="1" t="s">
        <v>31</v>
      </c>
      <c r="F174" s="1">
        <v>51219</v>
      </c>
      <c r="G174" s="1" t="s">
        <v>61</v>
      </c>
      <c r="H174" s="1" t="s">
        <v>18</v>
      </c>
      <c r="J174" s="1" t="s">
        <v>19</v>
      </c>
      <c r="K174" s="1" t="str">
        <f>VLOOKUP(J174,'[1]Base SCA 02 2026'!V:X,3,0)</f>
        <v>JOSÉ GOUVEA</v>
      </c>
      <c r="L174" s="1" t="str">
        <f>VLOOKUP(J174,'[1]Base SCA 02 2026'!V:Y,4,0)</f>
        <v>ALEX DIAS</v>
      </c>
      <c r="N174" s="1" t="str">
        <f t="shared" si="2"/>
        <v>ALEX DIAS</v>
      </c>
    </row>
    <row r="175" spans="1:14" x14ac:dyDescent="0.3">
      <c r="A175" s="1">
        <v>705393</v>
      </c>
      <c r="B175" s="1" t="s">
        <v>1247</v>
      </c>
      <c r="C175" s="5" t="s">
        <v>92</v>
      </c>
      <c r="D175" s="2">
        <v>45791</v>
      </c>
      <c r="E175" s="1" t="s">
        <v>31</v>
      </c>
      <c r="F175" s="1">
        <v>22102</v>
      </c>
      <c r="G175" s="1" t="s">
        <v>68</v>
      </c>
      <c r="H175" s="1" t="s">
        <v>18</v>
      </c>
      <c r="I175" s="2">
        <v>46058</v>
      </c>
      <c r="J175" s="1" t="s">
        <v>81</v>
      </c>
      <c r="K175" s="1" t="str">
        <f>VLOOKUP(J175,'[1]Base SCA 02 2026'!V:X,3,0)</f>
        <v>PAULO BONIFÁCIO</v>
      </c>
      <c r="L175" s="1" t="str">
        <f>VLOOKUP(J175,'[1]Base SCA 02 2026'!V:Y,4,0)</f>
        <v>MAURICIO SANTOS</v>
      </c>
      <c r="M175" s="1" t="str">
        <f>VLOOKUP(J175,'[1]Base SCA 02 2026'!V:Z,5,0)</f>
        <v xml:space="preserve">EDSON/MARCELO LIMA </v>
      </c>
      <c r="N175" s="1" t="str">
        <f t="shared" si="2"/>
        <v xml:space="preserve">EDSON/MARCELO LIMA </v>
      </c>
    </row>
    <row r="176" spans="1:14" x14ac:dyDescent="0.3">
      <c r="A176" s="1">
        <v>701204</v>
      </c>
      <c r="B176" s="1" t="s">
        <v>817</v>
      </c>
      <c r="C176" s="5" t="s">
        <v>15</v>
      </c>
      <c r="D176" s="2">
        <v>43682</v>
      </c>
      <c r="E176" s="1" t="s">
        <v>80</v>
      </c>
      <c r="F176" s="1">
        <v>22102</v>
      </c>
      <c r="G176" s="1" t="s">
        <v>68</v>
      </c>
      <c r="H176" s="1" t="s">
        <v>18</v>
      </c>
      <c r="J176" s="1" t="s">
        <v>81</v>
      </c>
      <c r="K176" s="1" t="str">
        <f>VLOOKUP(J176,'[1]Base SCA 02 2026'!V:X,3,0)</f>
        <v>PAULO BONIFÁCIO</v>
      </c>
      <c r="L176" s="1" t="str">
        <f>VLOOKUP(J176,'[1]Base SCA 02 2026'!V:Y,4,0)</f>
        <v>MAURICIO SANTOS</v>
      </c>
      <c r="M176" s="1" t="str">
        <f>VLOOKUP(J176,'[1]Base SCA 02 2026'!V:Z,5,0)</f>
        <v xml:space="preserve">EDSON/MARCELO LIMA </v>
      </c>
      <c r="N176" s="1" t="str">
        <f t="shared" si="2"/>
        <v xml:space="preserve">EDSON/MARCELO LIMA </v>
      </c>
    </row>
    <row r="177" spans="1:14" x14ac:dyDescent="0.3">
      <c r="A177" s="1">
        <v>704117</v>
      </c>
      <c r="B177" s="1" t="s">
        <v>252</v>
      </c>
      <c r="C177" s="5" t="s">
        <v>15</v>
      </c>
      <c r="D177" s="2">
        <v>45238</v>
      </c>
      <c r="E177" s="1" t="s">
        <v>31</v>
      </c>
      <c r="F177" s="1">
        <v>51219</v>
      </c>
      <c r="G177" s="1" t="s">
        <v>61</v>
      </c>
      <c r="H177" s="1" t="s">
        <v>18</v>
      </c>
      <c r="J177" s="1" t="s">
        <v>19</v>
      </c>
      <c r="K177" s="1" t="str">
        <f>VLOOKUP(J177,'[1]Base SCA 02 2026'!V:X,3,0)</f>
        <v>JOSÉ GOUVEA</v>
      </c>
      <c r="L177" s="1" t="str">
        <f>VLOOKUP(J177,'[1]Base SCA 02 2026'!V:Y,4,0)</f>
        <v>ALEX DIAS</v>
      </c>
      <c r="N177" s="1" t="str">
        <f t="shared" si="2"/>
        <v>ALEX DIAS</v>
      </c>
    </row>
    <row r="178" spans="1:14" x14ac:dyDescent="0.3">
      <c r="A178" s="1">
        <v>105584</v>
      </c>
      <c r="B178" s="1" t="s">
        <v>253</v>
      </c>
      <c r="C178" s="5" t="s">
        <v>15</v>
      </c>
      <c r="D178" s="2">
        <v>42926</v>
      </c>
      <c r="E178" s="1" t="s">
        <v>97</v>
      </c>
      <c r="F178" s="1">
        <v>32101</v>
      </c>
      <c r="G178" s="1" t="s">
        <v>23</v>
      </c>
      <c r="H178" s="1" t="s">
        <v>18</v>
      </c>
      <c r="J178" s="1" t="s">
        <v>24</v>
      </c>
      <c r="K178" s="1" t="str">
        <f>VLOOKUP(J178,'[1]Base SCA 02 2026'!V:X,3,0)</f>
        <v>RAFAEL XAVIER</v>
      </c>
      <c r="L178" s="1" t="str">
        <f>VLOOKUP(J178,'[1]Base SCA 02 2026'!V:Y,4,0)</f>
        <v>FERNANDO GUILHERME</v>
      </c>
      <c r="M178" s="1" t="str">
        <f>VLOOKUP(J178,'[1]Base SCA 02 2026'!V:Z,5,0)</f>
        <v>JUNIO COSTA</v>
      </c>
      <c r="N178" s="1" t="str">
        <f t="shared" si="2"/>
        <v>JUNIO COSTA</v>
      </c>
    </row>
    <row r="179" spans="1:14" x14ac:dyDescent="0.3">
      <c r="A179" s="1">
        <v>704119</v>
      </c>
      <c r="B179" s="1" t="s">
        <v>254</v>
      </c>
      <c r="C179" s="5" t="s">
        <v>15</v>
      </c>
      <c r="D179" s="2">
        <v>45238</v>
      </c>
      <c r="E179" s="1" t="s">
        <v>1346</v>
      </c>
      <c r="F179" s="1">
        <v>39201</v>
      </c>
      <c r="G179" s="1" t="s">
        <v>153</v>
      </c>
      <c r="H179" s="1" t="s">
        <v>18</v>
      </c>
      <c r="J179" s="1" t="s">
        <v>154</v>
      </c>
      <c r="K179" s="1" t="str">
        <f>VLOOKUP(J179,'[1]Base SCA 02 2026'!V:X,3,0)</f>
        <v>ANDREZA LARDO</v>
      </c>
      <c r="L179" s="1" t="str">
        <f>VLOOKUP(J179,'[1]Base SCA 02 2026'!V:Y,4,0)</f>
        <v>ANDREZA LARDO</v>
      </c>
      <c r="M179" s="1" t="str">
        <f>VLOOKUP(J179,'[1]Base SCA 02 2026'!V:Z,5,0)</f>
        <v>ADENILTON RODRIGUES</v>
      </c>
      <c r="N179" s="1" t="str">
        <f t="shared" si="2"/>
        <v>ADENILTON RODRIGUES</v>
      </c>
    </row>
    <row r="180" spans="1:14" x14ac:dyDescent="0.3">
      <c r="A180" s="1">
        <v>705047</v>
      </c>
      <c r="B180" s="1" t="s">
        <v>819</v>
      </c>
      <c r="C180" s="5" t="s">
        <v>15</v>
      </c>
      <c r="D180" s="2">
        <v>45644</v>
      </c>
      <c r="E180" s="1" t="s">
        <v>31</v>
      </c>
      <c r="F180" s="1">
        <v>22102</v>
      </c>
      <c r="G180" s="1" t="s">
        <v>68</v>
      </c>
      <c r="H180" s="1" t="s">
        <v>18</v>
      </c>
      <c r="J180" s="1" t="s">
        <v>81</v>
      </c>
      <c r="K180" s="1" t="str">
        <f>VLOOKUP(J180,'[1]Base SCA 02 2026'!V:X,3,0)</f>
        <v>PAULO BONIFÁCIO</v>
      </c>
      <c r="L180" s="1" t="str">
        <f>VLOOKUP(J180,'[1]Base SCA 02 2026'!V:Y,4,0)</f>
        <v>MAURICIO SANTOS</v>
      </c>
      <c r="M180" s="1" t="str">
        <f>VLOOKUP(J180,'[1]Base SCA 02 2026'!V:Z,5,0)</f>
        <v xml:space="preserve">EDSON/MARCELO LIMA </v>
      </c>
      <c r="N180" s="1" t="str">
        <f t="shared" si="2"/>
        <v xml:space="preserve">EDSON/MARCELO LIMA </v>
      </c>
    </row>
    <row r="181" spans="1:14" x14ac:dyDescent="0.3">
      <c r="A181" s="1">
        <v>702601</v>
      </c>
      <c r="B181" s="1" t="s">
        <v>259</v>
      </c>
      <c r="C181" s="5" t="s">
        <v>15</v>
      </c>
      <c r="D181" s="2">
        <v>44482</v>
      </c>
      <c r="E181" s="1" t="s">
        <v>260</v>
      </c>
      <c r="F181" s="1">
        <v>22102</v>
      </c>
      <c r="G181" s="1" t="s">
        <v>68</v>
      </c>
      <c r="H181" s="1" t="s">
        <v>18</v>
      </c>
      <c r="J181" s="1" t="s">
        <v>167</v>
      </c>
      <c r="K181" s="1" t="str">
        <f>VLOOKUP(J181,'[1]Base SCA 02 2026'!V:X,3,0)</f>
        <v>PAULO BONIFÁCIO</v>
      </c>
      <c r="L181" s="1" t="str">
        <f>VLOOKUP(J181,'[1]Base SCA 02 2026'!V:Y,4,0)</f>
        <v>MAURICIO SANTOS</v>
      </c>
      <c r="M181" s="1" t="str">
        <f>VLOOKUP(J181,'[1]Base SCA 02 2026'!V:Z,5,0)</f>
        <v>FABIANO</v>
      </c>
      <c r="N181" s="1" t="str">
        <f t="shared" si="2"/>
        <v>FABIANO</v>
      </c>
    </row>
    <row r="182" spans="1:14" x14ac:dyDescent="0.3">
      <c r="A182" s="1">
        <v>705832</v>
      </c>
      <c r="B182" s="1" t="s">
        <v>1540</v>
      </c>
      <c r="C182" s="5" t="s">
        <v>92</v>
      </c>
      <c r="D182" s="2">
        <v>46063</v>
      </c>
      <c r="E182" s="1" t="s">
        <v>31</v>
      </c>
      <c r="F182" s="1">
        <v>25102</v>
      </c>
      <c r="G182" s="1" t="s">
        <v>1153</v>
      </c>
      <c r="H182" s="1" t="s">
        <v>18</v>
      </c>
      <c r="I182" s="2">
        <v>46066</v>
      </c>
      <c r="J182" s="1" t="s">
        <v>19</v>
      </c>
      <c r="K182" s="1" t="str">
        <f>VLOOKUP(J182,'[1]Base SCA 02 2026'!V:X,3,0)</f>
        <v>JOSÉ GOUVEA</v>
      </c>
      <c r="L182" s="1" t="str">
        <f>VLOOKUP(J182,'[1]Base SCA 02 2026'!V:Y,4,0)</f>
        <v>ALEX DIAS</v>
      </c>
      <c r="N182" s="1" t="str">
        <f t="shared" si="2"/>
        <v>ALEX DIAS</v>
      </c>
    </row>
    <row r="183" spans="1:14" x14ac:dyDescent="0.3">
      <c r="A183" s="1">
        <v>705635</v>
      </c>
      <c r="B183" s="1" t="s">
        <v>1401</v>
      </c>
      <c r="C183" s="5" t="s">
        <v>15</v>
      </c>
      <c r="D183" s="2">
        <v>45937</v>
      </c>
      <c r="E183" s="1" t="s">
        <v>31</v>
      </c>
      <c r="F183" s="1">
        <v>38101</v>
      </c>
      <c r="G183" s="1" t="s">
        <v>35</v>
      </c>
      <c r="H183" s="1" t="s">
        <v>18</v>
      </c>
      <c r="J183" s="1" t="s">
        <v>36</v>
      </c>
      <c r="K183" s="1" t="str">
        <f>VLOOKUP(J183,'[1]Base SCA 02 2026'!V:X,3,0)</f>
        <v xml:space="preserve">LEIDJANE MARTINS </v>
      </c>
      <c r="L183" s="1" t="str">
        <f>VLOOKUP(J183,'[1]Base SCA 02 2026'!V:Y,4,0)</f>
        <v xml:space="preserve">LEIDJANE MARTINS </v>
      </c>
      <c r="M183" s="1" t="str">
        <f>VLOOKUP(J183,'[1]Base SCA 02 2026'!V:Z,5,0)</f>
        <v>DENIS ACASSIO</v>
      </c>
      <c r="N183" s="1" t="str">
        <f t="shared" si="2"/>
        <v>DENIS ACASSIO</v>
      </c>
    </row>
    <row r="184" spans="1:14" x14ac:dyDescent="0.3">
      <c r="A184" s="1">
        <v>702661</v>
      </c>
      <c r="B184" s="1" t="s">
        <v>261</v>
      </c>
      <c r="C184" s="5" t="s">
        <v>15</v>
      </c>
      <c r="D184" s="2">
        <v>44509</v>
      </c>
      <c r="E184" s="1" t="s">
        <v>105</v>
      </c>
      <c r="F184" s="1">
        <v>22102</v>
      </c>
      <c r="G184" s="1" t="s">
        <v>68</v>
      </c>
      <c r="H184" s="1" t="s">
        <v>18</v>
      </c>
      <c r="J184" s="1" t="s">
        <v>167</v>
      </c>
      <c r="K184" s="1" t="str">
        <f>VLOOKUP(J184,'[1]Base SCA 02 2026'!V:X,3,0)</f>
        <v>PAULO BONIFÁCIO</v>
      </c>
      <c r="L184" s="1" t="str">
        <f>VLOOKUP(J184,'[1]Base SCA 02 2026'!V:Y,4,0)</f>
        <v>MAURICIO SANTOS</v>
      </c>
      <c r="M184" s="1" t="str">
        <f>VLOOKUP(J184,'[1]Base SCA 02 2026'!V:Z,5,0)</f>
        <v>FABIANO</v>
      </c>
      <c r="N184" s="1" t="str">
        <f t="shared" si="2"/>
        <v>FABIANO</v>
      </c>
    </row>
    <row r="185" spans="1:14" x14ac:dyDescent="0.3">
      <c r="A185" s="1">
        <v>700671</v>
      </c>
      <c r="B185" s="1" t="s">
        <v>262</v>
      </c>
      <c r="C185" s="5" t="s">
        <v>15</v>
      </c>
      <c r="D185" s="2">
        <v>43381</v>
      </c>
      <c r="E185" s="1" t="s">
        <v>80</v>
      </c>
      <c r="F185" s="1">
        <v>22102</v>
      </c>
      <c r="G185" s="1" t="s">
        <v>68</v>
      </c>
      <c r="H185" s="1" t="s">
        <v>18</v>
      </c>
      <c r="J185" s="1" t="s">
        <v>81</v>
      </c>
      <c r="K185" s="1" t="str">
        <f>VLOOKUP(J185,'[1]Base SCA 02 2026'!V:X,3,0)</f>
        <v>PAULO BONIFÁCIO</v>
      </c>
      <c r="L185" s="1" t="str">
        <f>VLOOKUP(J185,'[1]Base SCA 02 2026'!V:Y,4,0)</f>
        <v>MAURICIO SANTOS</v>
      </c>
      <c r="M185" s="1" t="str">
        <f>VLOOKUP(J185,'[1]Base SCA 02 2026'!V:Z,5,0)</f>
        <v xml:space="preserve">EDSON/MARCELO LIMA </v>
      </c>
      <c r="N185" s="1" t="str">
        <f t="shared" si="2"/>
        <v xml:space="preserve">EDSON/MARCELO LIMA </v>
      </c>
    </row>
    <row r="186" spans="1:14" x14ac:dyDescent="0.3">
      <c r="A186" s="1">
        <v>705140</v>
      </c>
      <c r="B186" s="1" t="s">
        <v>1141</v>
      </c>
      <c r="C186" s="5" t="s">
        <v>15</v>
      </c>
      <c r="D186" s="2">
        <v>45698</v>
      </c>
      <c r="E186" s="1" t="s">
        <v>31</v>
      </c>
      <c r="F186" s="1">
        <v>52104</v>
      </c>
      <c r="G186" s="1" t="s">
        <v>17</v>
      </c>
      <c r="H186" s="1" t="s">
        <v>18</v>
      </c>
      <c r="J186" s="1" t="s">
        <v>19</v>
      </c>
      <c r="K186" s="1" t="str">
        <f>VLOOKUP(J186,'[1]Base SCA 02 2026'!V:X,3,0)</f>
        <v>JOSÉ GOUVEA</v>
      </c>
      <c r="L186" s="1" t="str">
        <f>VLOOKUP(J186,'[1]Base SCA 02 2026'!V:Y,4,0)</f>
        <v>ALEX DIAS</v>
      </c>
      <c r="N186" s="1" t="str">
        <f t="shared" si="2"/>
        <v>ALEX DIAS</v>
      </c>
    </row>
    <row r="187" spans="1:14" x14ac:dyDescent="0.3">
      <c r="A187" s="1">
        <v>705835</v>
      </c>
      <c r="B187" s="1" t="s">
        <v>1541</v>
      </c>
      <c r="C187" s="5" t="s">
        <v>15</v>
      </c>
      <c r="D187" s="2">
        <v>46063</v>
      </c>
      <c r="E187" s="1" t="s">
        <v>31</v>
      </c>
      <c r="F187" s="1">
        <v>52104</v>
      </c>
      <c r="G187" s="1" t="s">
        <v>17</v>
      </c>
      <c r="H187" s="1" t="s">
        <v>18</v>
      </c>
      <c r="J187" s="1" t="s">
        <v>19</v>
      </c>
      <c r="K187" s="1" t="str">
        <f>VLOOKUP(J187,'[1]Base SCA 02 2026'!V:X,3,0)</f>
        <v>JOSÉ GOUVEA</v>
      </c>
      <c r="L187" s="1" t="str">
        <f>VLOOKUP(J187,'[1]Base SCA 02 2026'!V:Y,4,0)</f>
        <v>ALEX DIAS</v>
      </c>
      <c r="N187" s="1" t="str">
        <f t="shared" si="2"/>
        <v>ALEX DIAS</v>
      </c>
    </row>
    <row r="188" spans="1:14" x14ac:dyDescent="0.3">
      <c r="A188" s="1">
        <v>705823</v>
      </c>
      <c r="B188" s="1" t="s">
        <v>1518</v>
      </c>
      <c r="C188" s="5" t="s">
        <v>15</v>
      </c>
      <c r="D188" s="2">
        <v>46034</v>
      </c>
      <c r="E188" s="1" t="s">
        <v>433</v>
      </c>
      <c r="F188" s="1">
        <v>38107</v>
      </c>
      <c r="G188" s="1" t="s">
        <v>1503</v>
      </c>
      <c r="H188" s="1" t="s">
        <v>18</v>
      </c>
      <c r="J188" s="1" t="s">
        <v>78</v>
      </c>
      <c r="K188" s="1" t="str">
        <f>VLOOKUP(J188,'[1]Base SCA 02 2026'!V:X,3,0)</f>
        <v xml:space="preserve">LEIDJANE MARTINS </v>
      </c>
      <c r="L188" s="1" t="str">
        <f>VLOOKUP(J188,'[1]Base SCA 02 2026'!V:Y,4,0)</f>
        <v xml:space="preserve">LEIDJANE MARTINS </v>
      </c>
      <c r="N188" s="1" t="str">
        <f t="shared" si="2"/>
        <v xml:space="preserve">LEIDJANE MARTINS </v>
      </c>
    </row>
    <row r="189" spans="1:14" x14ac:dyDescent="0.3">
      <c r="A189" s="1">
        <v>702331</v>
      </c>
      <c r="B189" s="1" t="s">
        <v>263</v>
      </c>
      <c r="C189" s="5" t="s">
        <v>15</v>
      </c>
      <c r="D189" s="2">
        <v>44355</v>
      </c>
      <c r="E189" s="1" t="s">
        <v>105</v>
      </c>
      <c r="F189" s="1">
        <v>22102</v>
      </c>
      <c r="G189" s="1" t="s">
        <v>68</v>
      </c>
      <c r="H189" s="1" t="s">
        <v>18</v>
      </c>
      <c r="J189" s="1" t="s">
        <v>142</v>
      </c>
      <c r="K189" s="1" t="str">
        <f>VLOOKUP(J189,'[1]Base SCA 02 2026'!V:X,3,0)</f>
        <v>PAULO BONIFÁCIO</v>
      </c>
      <c r="L189" s="1" t="str">
        <f>VLOOKUP(J189,'[1]Base SCA 02 2026'!V:Y,4,0)</f>
        <v>MAURICIO SANTOS</v>
      </c>
      <c r="M189" s="1" t="str">
        <f>VLOOKUP(J189,'[1]Base SCA 02 2026'!V:Z,5,0)</f>
        <v>EDIS MOREIRA</v>
      </c>
      <c r="N189" s="1" t="str">
        <f t="shared" si="2"/>
        <v>EDIS MOREIRA</v>
      </c>
    </row>
    <row r="190" spans="1:14" x14ac:dyDescent="0.3">
      <c r="A190" s="1">
        <v>705894</v>
      </c>
      <c r="B190" s="1" t="s">
        <v>1542</v>
      </c>
      <c r="C190" s="5" t="s">
        <v>15</v>
      </c>
      <c r="D190" s="2">
        <v>46063</v>
      </c>
      <c r="E190" s="1" t="s">
        <v>31</v>
      </c>
      <c r="F190" s="1">
        <v>52104</v>
      </c>
      <c r="G190" s="1" t="s">
        <v>17</v>
      </c>
      <c r="H190" s="1" t="s">
        <v>18</v>
      </c>
      <c r="J190" s="1" t="s">
        <v>19</v>
      </c>
      <c r="K190" s="1" t="str">
        <f>VLOOKUP(J190,'[1]Base SCA 02 2026'!V:X,3,0)</f>
        <v>JOSÉ GOUVEA</v>
      </c>
      <c r="L190" s="1" t="str">
        <f>VLOOKUP(J190,'[1]Base SCA 02 2026'!V:Y,4,0)</f>
        <v>ALEX DIAS</v>
      </c>
      <c r="N190" s="1" t="str">
        <f t="shared" si="2"/>
        <v>ALEX DIAS</v>
      </c>
    </row>
    <row r="191" spans="1:14" x14ac:dyDescent="0.3">
      <c r="A191" s="1">
        <v>704146</v>
      </c>
      <c r="B191" s="1" t="s">
        <v>264</v>
      </c>
      <c r="C191" s="5" t="s">
        <v>15</v>
      </c>
      <c r="D191" s="2">
        <v>45264</v>
      </c>
      <c r="E191" s="1" t="s">
        <v>138</v>
      </c>
      <c r="F191" s="1">
        <v>22102</v>
      </c>
      <c r="G191" s="1" t="s">
        <v>68</v>
      </c>
      <c r="H191" s="1" t="s">
        <v>18</v>
      </c>
      <c r="J191" s="1" t="s">
        <v>81</v>
      </c>
      <c r="K191" s="1" t="str">
        <f>VLOOKUP(J191,'[1]Base SCA 02 2026'!V:X,3,0)</f>
        <v>PAULO BONIFÁCIO</v>
      </c>
      <c r="L191" s="1" t="str">
        <f>VLOOKUP(J191,'[1]Base SCA 02 2026'!V:Y,4,0)</f>
        <v>MAURICIO SANTOS</v>
      </c>
      <c r="M191" s="1" t="str">
        <f>VLOOKUP(J191,'[1]Base SCA 02 2026'!V:Z,5,0)</f>
        <v xml:space="preserve">EDSON/MARCELO LIMA </v>
      </c>
      <c r="N191" s="1" t="str">
        <f t="shared" si="2"/>
        <v xml:space="preserve">EDSON/MARCELO LIMA </v>
      </c>
    </row>
    <row r="192" spans="1:14" x14ac:dyDescent="0.3">
      <c r="A192" s="1">
        <v>705881</v>
      </c>
      <c r="B192" s="1" t="s">
        <v>1543</v>
      </c>
      <c r="C192" s="5" t="s">
        <v>15</v>
      </c>
      <c r="D192" s="2">
        <v>46063</v>
      </c>
      <c r="E192" s="1" t="s">
        <v>138</v>
      </c>
      <c r="F192" s="1">
        <v>52104</v>
      </c>
      <c r="G192" s="1" t="s">
        <v>17</v>
      </c>
      <c r="H192" s="1" t="s">
        <v>18</v>
      </c>
      <c r="J192" s="1" t="s">
        <v>19</v>
      </c>
      <c r="K192" s="1" t="str">
        <f>VLOOKUP(J192,'[1]Base SCA 02 2026'!V:X,3,0)</f>
        <v>JOSÉ GOUVEA</v>
      </c>
      <c r="L192" s="1" t="str">
        <f>VLOOKUP(J192,'[1]Base SCA 02 2026'!V:Y,4,0)</f>
        <v>ALEX DIAS</v>
      </c>
      <c r="N192" s="1" t="str">
        <f t="shared" si="2"/>
        <v>ALEX DIAS</v>
      </c>
    </row>
    <row r="193" spans="1:14" x14ac:dyDescent="0.3">
      <c r="A193" s="1">
        <v>704143</v>
      </c>
      <c r="B193" s="1" t="s">
        <v>265</v>
      </c>
      <c r="C193" s="5" t="s">
        <v>15</v>
      </c>
      <c r="D193" s="2">
        <v>45264</v>
      </c>
      <c r="E193" s="1" t="s">
        <v>31</v>
      </c>
      <c r="F193" s="1">
        <v>22102</v>
      </c>
      <c r="G193" s="1" t="s">
        <v>68</v>
      </c>
      <c r="H193" s="1" t="s">
        <v>18</v>
      </c>
      <c r="J193" s="1" t="s">
        <v>81</v>
      </c>
      <c r="K193" s="1" t="str">
        <f>VLOOKUP(J193,'[1]Base SCA 02 2026'!V:X,3,0)</f>
        <v>PAULO BONIFÁCIO</v>
      </c>
      <c r="L193" s="1" t="str">
        <f>VLOOKUP(J193,'[1]Base SCA 02 2026'!V:Y,4,0)</f>
        <v>MAURICIO SANTOS</v>
      </c>
      <c r="M193" s="1" t="str">
        <f>VLOOKUP(J193,'[1]Base SCA 02 2026'!V:Z,5,0)</f>
        <v xml:space="preserve">EDSON/MARCELO LIMA </v>
      </c>
      <c r="N193" s="1" t="str">
        <f t="shared" si="2"/>
        <v xml:space="preserve">EDSON/MARCELO LIMA </v>
      </c>
    </row>
    <row r="194" spans="1:14" x14ac:dyDescent="0.3">
      <c r="A194" s="1">
        <v>702700</v>
      </c>
      <c r="B194" s="1" t="s">
        <v>266</v>
      </c>
      <c r="C194" s="5" t="s">
        <v>15</v>
      </c>
      <c r="D194" s="2">
        <v>44572</v>
      </c>
      <c r="E194" s="1" t="s">
        <v>60</v>
      </c>
      <c r="F194" s="1">
        <v>22102</v>
      </c>
      <c r="G194" s="1" t="s">
        <v>68</v>
      </c>
      <c r="H194" s="1" t="s">
        <v>18</v>
      </c>
      <c r="J194" s="1" t="s">
        <v>69</v>
      </c>
      <c r="K194" s="1" t="str">
        <f>VLOOKUP(J194,'[1]Base SCA 02 2026'!V:X,3,0)</f>
        <v>PAULO BONIFÁCIO</v>
      </c>
      <c r="L194" s="1" t="str">
        <f>VLOOKUP(J194,'[1]Base SCA 02 2026'!V:Y,4,0)</f>
        <v xml:space="preserve">JOÃO KOMURA </v>
      </c>
      <c r="N194" s="1" t="str">
        <f t="shared" si="2"/>
        <v xml:space="preserve">JOÃO KOMURA </v>
      </c>
    </row>
    <row r="195" spans="1:14" x14ac:dyDescent="0.3">
      <c r="A195" s="1">
        <v>705156</v>
      </c>
      <c r="B195" s="1" t="s">
        <v>1159</v>
      </c>
      <c r="C195" s="5" t="s">
        <v>15</v>
      </c>
      <c r="D195" s="2">
        <v>45720</v>
      </c>
      <c r="E195" s="1" t="s">
        <v>91</v>
      </c>
      <c r="F195" s="1">
        <v>34201</v>
      </c>
      <c r="G195" s="1" t="s">
        <v>84</v>
      </c>
      <c r="H195" s="1" t="s">
        <v>18</v>
      </c>
      <c r="J195" s="1" t="s">
        <v>85</v>
      </c>
      <c r="K195" s="1" t="str">
        <f>VLOOKUP(J195,'[1]Base SCA 02 2026'!V:X,3,0)</f>
        <v>PAULO BONIFÁCIO</v>
      </c>
      <c r="L195" s="1" t="str">
        <f>VLOOKUP(J195,'[1]Base SCA 02 2026'!V:Y,4,0)</f>
        <v>PAULO BONIFÁCIO</v>
      </c>
      <c r="M195" s="1" t="str">
        <f>VLOOKUP(J195,'[1]Base SCA 02 2026'!V:Z,5,0)</f>
        <v xml:space="preserve">LEONARDO SANTOS </v>
      </c>
      <c r="N195" s="1" t="str">
        <f t="shared" ref="N195:N258" si="3">IF(M195&lt;&gt;"", M195, IF(L195&lt;&gt;"", L195, K195))</f>
        <v xml:space="preserve">LEONARDO SANTOS </v>
      </c>
    </row>
    <row r="196" spans="1:14" x14ac:dyDescent="0.3">
      <c r="A196" s="1">
        <v>703110</v>
      </c>
      <c r="B196" s="1" t="s">
        <v>267</v>
      </c>
      <c r="C196" s="5" t="s">
        <v>15</v>
      </c>
      <c r="D196" s="2">
        <v>44713</v>
      </c>
      <c r="E196" s="1" t="s">
        <v>1215</v>
      </c>
      <c r="F196" s="1">
        <v>33101</v>
      </c>
      <c r="G196" s="1" t="s">
        <v>186</v>
      </c>
      <c r="H196" s="1" t="s">
        <v>18</v>
      </c>
      <c r="J196" s="1" t="s">
        <v>44</v>
      </c>
      <c r="K196" s="1" t="str">
        <f>VLOOKUP(J196,'[1]Base SCA 02 2026'!V:X,3,0)</f>
        <v>RAFAEL XAVIER</v>
      </c>
      <c r="L196" s="1" t="str">
        <f>VLOOKUP(J196,'[1]Base SCA 02 2026'!V:Y,4,0)</f>
        <v>IVONEI CAMPOS</v>
      </c>
      <c r="M196" s="1" t="str">
        <f>VLOOKUP(J196,'[1]Base SCA 02 2026'!V:Z,5,0)</f>
        <v>TALLES RYAN</v>
      </c>
      <c r="N196" s="1" t="str">
        <f t="shared" si="3"/>
        <v>TALLES RYAN</v>
      </c>
    </row>
    <row r="197" spans="1:14" x14ac:dyDescent="0.3">
      <c r="A197" s="1">
        <v>705540</v>
      </c>
      <c r="B197" s="1" t="s">
        <v>1294</v>
      </c>
      <c r="C197" s="5" t="s">
        <v>15</v>
      </c>
      <c r="D197" s="2">
        <v>45847</v>
      </c>
      <c r="E197" s="1" t="s">
        <v>1295</v>
      </c>
      <c r="F197" s="1">
        <v>32101</v>
      </c>
      <c r="G197" s="1" t="s">
        <v>23</v>
      </c>
      <c r="H197" s="1" t="s">
        <v>18</v>
      </c>
      <c r="J197" s="1" t="s">
        <v>1278</v>
      </c>
      <c r="K197" s="1" t="str">
        <f>VLOOKUP(J197,'[1]Base SCA 02 2026'!V:X,3,0)</f>
        <v>RAFAEL XAVIER</v>
      </c>
      <c r="N197" s="1" t="str">
        <f t="shared" si="3"/>
        <v>RAFAEL XAVIER</v>
      </c>
    </row>
    <row r="198" spans="1:14" x14ac:dyDescent="0.3">
      <c r="A198" s="1">
        <v>705032</v>
      </c>
      <c r="B198" s="1" t="s">
        <v>826</v>
      </c>
      <c r="C198" s="5" t="s">
        <v>15</v>
      </c>
      <c r="D198" s="2">
        <v>45636</v>
      </c>
      <c r="E198" s="1" t="s">
        <v>22</v>
      </c>
      <c r="F198" s="1">
        <v>32101</v>
      </c>
      <c r="G198" s="1" t="s">
        <v>23</v>
      </c>
      <c r="H198" s="1" t="s">
        <v>18</v>
      </c>
      <c r="J198" s="1" t="s">
        <v>24</v>
      </c>
      <c r="K198" s="1" t="str">
        <f>VLOOKUP(J198,'[1]Base SCA 02 2026'!V:X,3,0)</f>
        <v>RAFAEL XAVIER</v>
      </c>
      <c r="L198" s="1" t="str">
        <f>VLOOKUP(J198,'[1]Base SCA 02 2026'!V:Y,4,0)</f>
        <v>FERNANDO GUILHERME</v>
      </c>
      <c r="M198" s="1" t="str">
        <f>VLOOKUP(J198,'[1]Base SCA 02 2026'!V:Z,5,0)</f>
        <v>JUNIO COSTA</v>
      </c>
      <c r="N198" s="1" t="str">
        <f t="shared" si="3"/>
        <v>JUNIO COSTA</v>
      </c>
    </row>
    <row r="199" spans="1:14" x14ac:dyDescent="0.3">
      <c r="A199" s="1">
        <v>704532</v>
      </c>
      <c r="B199" s="1" t="s">
        <v>269</v>
      </c>
      <c r="C199" s="5" t="s">
        <v>15</v>
      </c>
      <c r="D199" s="2">
        <v>45426</v>
      </c>
      <c r="E199" s="1" t="s">
        <v>270</v>
      </c>
      <c r="F199" s="1">
        <v>39302</v>
      </c>
      <c r="G199" s="1" t="s">
        <v>102</v>
      </c>
      <c r="H199" s="1" t="s">
        <v>18</v>
      </c>
      <c r="J199" s="1" t="s">
        <v>57</v>
      </c>
      <c r="K199" s="1" t="str">
        <f>VLOOKUP(J199,'[1]Base SCA 02 2026'!V:X,3,0)</f>
        <v>PAULO BONIFÁCIO</v>
      </c>
      <c r="L199" s="1" t="str">
        <f>VLOOKUP(J199,'[1]Base SCA 02 2026'!V:Y,4,0)</f>
        <v>ALDAIR BORGES</v>
      </c>
      <c r="M199" s="1" t="str">
        <f>VLOOKUP(J199,'[1]Base SCA 02 2026'!V:Z,5,0)</f>
        <v>WARLEY RIBEIRO</v>
      </c>
      <c r="N199" s="1" t="str">
        <f t="shared" si="3"/>
        <v>WARLEY RIBEIRO</v>
      </c>
    </row>
    <row r="200" spans="1:14" x14ac:dyDescent="0.3">
      <c r="A200" s="1">
        <v>705739</v>
      </c>
      <c r="B200" s="1" t="s">
        <v>1481</v>
      </c>
      <c r="C200" s="5" t="s">
        <v>15</v>
      </c>
      <c r="D200" s="2">
        <v>45993</v>
      </c>
      <c r="E200" s="1" t="s">
        <v>166</v>
      </c>
      <c r="F200" s="1">
        <v>22102</v>
      </c>
      <c r="G200" s="1" t="s">
        <v>68</v>
      </c>
      <c r="H200" s="1" t="s">
        <v>18</v>
      </c>
      <c r="J200" s="1" t="s">
        <v>94</v>
      </c>
      <c r="K200" s="1" t="str">
        <f>VLOOKUP(J200,'[1]Base SCA 02 2026'!V:X,3,0)</f>
        <v>PAULO BONIFÁCIO</v>
      </c>
      <c r="L200" s="1" t="str">
        <f>VLOOKUP(J200,'[1]Base SCA 02 2026'!V:Y,4,0)</f>
        <v xml:space="preserve">JOÃO KOMURA </v>
      </c>
      <c r="M200" s="1" t="str">
        <f>VLOOKUP(J200,'[1]Base SCA 02 2026'!V:Z,5,0)</f>
        <v>LUAN ABADIA</v>
      </c>
      <c r="N200" s="1" t="str">
        <f t="shared" si="3"/>
        <v>LUAN ABADIA</v>
      </c>
    </row>
    <row r="201" spans="1:14" x14ac:dyDescent="0.3">
      <c r="A201" s="1">
        <v>704881</v>
      </c>
      <c r="B201" s="1" t="s">
        <v>271</v>
      </c>
      <c r="C201" s="5" t="s">
        <v>15</v>
      </c>
      <c r="D201" s="2">
        <v>45586</v>
      </c>
      <c r="E201" s="1" t="s">
        <v>77</v>
      </c>
      <c r="F201" s="1">
        <v>38107</v>
      </c>
      <c r="G201" s="1" t="s">
        <v>1503</v>
      </c>
      <c r="H201" s="1" t="s">
        <v>18</v>
      </c>
      <c r="J201" s="1" t="s">
        <v>78</v>
      </c>
      <c r="K201" s="1" t="str">
        <f>VLOOKUP(J201,'[1]Base SCA 02 2026'!V:X,3,0)</f>
        <v xml:space="preserve">LEIDJANE MARTINS </v>
      </c>
      <c r="L201" s="1" t="str">
        <f>VLOOKUP(J201,'[1]Base SCA 02 2026'!V:Y,4,0)</f>
        <v xml:space="preserve">LEIDJANE MARTINS </v>
      </c>
      <c r="N201" s="1" t="str">
        <f t="shared" si="3"/>
        <v xml:space="preserve">LEIDJANE MARTINS </v>
      </c>
    </row>
    <row r="202" spans="1:14" x14ac:dyDescent="0.3">
      <c r="A202" s="1">
        <v>100885</v>
      </c>
      <c r="B202" s="1" t="s">
        <v>272</v>
      </c>
      <c r="C202" s="5" t="s">
        <v>15</v>
      </c>
      <c r="D202" s="2">
        <v>42450</v>
      </c>
      <c r="E202" s="1" t="s">
        <v>16</v>
      </c>
      <c r="F202" s="1">
        <v>38101</v>
      </c>
      <c r="G202" s="1" t="s">
        <v>35</v>
      </c>
      <c r="H202" s="1" t="s">
        <v>18</v>
      </c>
      <c r="J202" s="1" t="s">
        <v>36</v>
      </c>
      <c r="K202" s="1" t="str">
        <f>VLOOKUP(J202,'[1]Base SCA 02 2026'!V:X,3,0)</f>
        <v xml:space="preserve">LEIDJANE MARTINS </v>
      </c>
      <c r="L202" s="1" t="str">
        <f>VLOOKUP(J202,'[1]Base SCA 02 2026'!V:Y,4,0)</f>
        <v xml:space="preserve">LEIDJANE MARTINS </v>
      </c>
      <c r="M202" s="1" t="str">
        <f>VLOOKUP(J202,'[1]Base SCA 02 2026'!V:Z,5,0)</f>
        <v>DENIS ACASSIO</v>
      </c>
      <c r="N202" s="1" t="str">
        <f t="shared" si="3"/>
        <v>DENIS ACASSIO</v>
      </c>
    </row>
    <row r="203" spans="1:14" x14ac:dyDescent="0.3">
      <c r="A203" s="1">
        <v>702751</v>
      </c>
      <c r="B203" s="1" t="s">
        <v>125</v>
      </c>
      <c r="C203" s="5" t="s">
        <v>15</v>
      </c>
      <c r="D203" s="2">
        <v>44601</v>
      </c>
      <c r="E203" s="1" t="s">
        <v>422</v>
      </c>
      <c r="F203" s="1">
        <v>22101</v>
      </c>
      <c r="G203" s="1" t="s">
        <v>122</v>
      </c>
      <c r="H203" s="1" t="s">
        <v>18</v>
      </c>
      <c r="J203" s="1" t="s">
        <v>273</v>
      </c>
      <c r="K203" s="1" t="str">
        <f>VLOOKUP(J203,'[1]Base SCA 02 2026'!V:X,3,0)</f>
        <v>MATHEUS FERNANDES</v>
      </c>
      <c r="L203" s="1" t="str">
        <f>VLOOKUP(J203,'[1]Base SCA 02 2026'!V:Y,4,0)</f>
        <v>MATHEUS FERNANDES</v>
      </c>
      <c r="N203" s="1" t="str">
        <f t="shared" si="3"/>
        <v>MATHEUS FERNANDES</v>
      </c>
    </row>
    <row r="204" spans="1:14" x14ac:dyDescent="0.3">
      <c r="A204" s="1">
        <v>700334</v>
      </c>
      <c r="B204" s="1" t="s">
        <v>274</v>
      </c>
      <c r="C204" s="5" t="s">
        <v>15</v>
      </c>
      <c r="D204" s="2">
        <v>43292</v>
      </c>
      <c r="E204" s="1" t="s">
        <v>109</v>
      </c>
      <c r="F204" s="1">
        <v>32101</v>
      </c>
      <c r="G204" s="1" t="s">
        <v>23</v>
      </c>
      <c r="H204" s="1" t="s">
        <v>18</v>
      </c>
      <c r="J204" s="1" t="s">
        <v>24</v>
      </c>
      <c r="K204" s="1" t="str">
        <f>VLOOKUP(J204,'[1]Base SCA 02 2026'!V:X,3,0)</f>
        <v>RAFAEL XAVIER</v>
      </c>
      <c r="L204" s="1" t="str">
        <f>VLOOKUP(J204,'[1]Base SCA 02 2026'!V:Y,4,0)</f>
        <v>FERNANDO GUILHERME</v>
      </c>
      <c r="M204" s="1" t="str">
        <f>VLOOKUP(J204,'[1]Base SCA 02 2026'!V:Z,5,0)</f>
        <v>JUNIO COSTA</v>
      </c>
      <c r="N204" s="1" t="str">
        <f t="shared" si="3"/>
        <v>JUNIO COSTA</v>
      </c>
    </row>
    <row r="205" spans="1:14" x14ac:dyDescent="0.3">
      <c r="A205" s="1">
        <v>702334</v>
      </c>
      <c r="B205" s="1" t="s">
        <v>275</v>
      </c>
      <c r="C205" s="5" t="s">
        <v>15</v>
      </c>
      <c r="D205" s="2">
        <v>44354</v>
      </c>
      <c r="E205" s="1" t="s">
        <v>60</v>
      </c>
      <c r="F205" s="1">
        <v>22102</v>
      </c>
      <c r="G205" s="1" t="s">
        <v>68</v>
      </c>
      <c r="H205" s="1" t="s">
        <v>18</v>
      </c>
      <c r="J205" s="1" t="s">
        <v>167</v>
      </c>
      <c r="K205" s="1" t="str">
        <f>VLOOKUP(J205,'[1]Base SCA 02 2026'!V:X,3,0)</f>
        <v>PAULO BONIFÁCIO</v>
      </c>
      <c r="L205" s="1" t="str">
        <f>VLOOKUP(J205,'[1]Base SCA 02 2026'!V:Y,4,0)</f>
        <v>MAURICIO SANTOS</v>
      </c>
      <c r="M205" s="1" t="str">
        <f>VLOOKUP(J205,'[1]Base SCA 02 2026'!V:Z,5,0)</f>
        <v>FABIANO</v>
      </c>
      <c r="N205" s="1" t="str">
        <f t="shared" si="3"/>
        <v>FABIANO</v>
      </c>
    </row>
    <row r="206" spans="1:14" x14ac:dyDescent="0.3">
      <c r="A206" s="1">
        <v>703257</v>
      </c>
      <c r="B206" s="1" t="s">
        <v>279</v>
      </c>
      <c r="C206" s="5" t="s">
        <v>15</v>
      </c>
      <c r="D206" s="2">
        <v>44781</v>
      </c>
      <c r="E206" s="1" t="s">
        <v>164</v>
      </c>
      <c r="F206" s="1">
        <v>39301</v>
      </c>
      <c r="G206" s="1" t="s">
        <v>73</v>
      </c>
      <c r="H206" s="1" t="s">
        <v>18</v>
      </c>
      <c r="J206" s="1" t="s">
        <v>74</v>
      </c>
      <c r="K206" s="1" t="str">
        <f>VLOOKUP(J206,'[1]Base SCA 02 2026'!V:X,3,0)</f>
        <v>PAULO BONIFÁCIO</v>
      </c>
      <c r="L206" s="1" t="str">
        <f>VLOOKUP(J206,'[1]Base SCA 02 2026'!V:Y,4,0)</f>
        <v>ALDAIR BORGES</v>
      </c>
      <c r="M206" s="1" t="str">
        <f>VLOOKUP(J206,'[1]Base SCA 02 2026'!V:Z,5,0)</f>
        <v>ISAC NONATO</v>
      </c>
      <c r="N206" s="1" t="str">
        <f t="shared" si="3"/>
        <v>ISAC NONATO</v>
      </c>
    </row>
    <row r="207" spans="1:14" x14ac:dyDescent="0.3">
      <c r="A207" s="1">
        <v>705317</v>
      </c>
      <c r="B207" s="1" t="s">
        <v>1216</v>
      </c>
      <c r="C207" s="5" t="s">
        <v>15</v>
      </c>
      <c r="D207" s="2">
        <v>45784</v>
      </c>
      <c r="E207" s="1" t="s">
        <v>31</v>
      </c>
      <c r="F207" s="1">
        <v>52104</v>
      </c>
      <c r="G207" s="1" t="s">
        <v>17</v>
      </c>
      <c r="H207" s="1" t="s">
        <v>18</v>
      </c>
      <c r="J207" s="1" t="s">
        <v>19</v>
      </c>
      <c r="K207" s="1" t="str">
        <f>VLOOKUP(J207,'[1]Base SCA 02 2026'!V:X,3,0)</f>
        <v>JOSÉ GOUVEA</v>
      </c>
      <c r="L207" s="1" t="str">
        <f>VLOOKUP(J207,'[1]Base SCA 02 2026'!V:Y,4,0)</f>
        <v>ALEX DIAS</v>
      </c>
      <c r="N207" s="1" t="str">
        <f t="shared" si="3"/>
        <v>ALEX DIAS</v>
      </c>
    </row>
    <row r="208" spans="1:14" x14ac:dyDescent="0.3">
      <c r="A208" s="1">
        <v>705755</v>
      </c>
      <c r="B208" s="1" t="s">
        <v>1482</v>
      </c>
      <c r="C208" s="5" t="s">
        <v>15</v>
      </c>
      <c r="D208" s="2">
        <v>45993</v>
      </c>
      <c r="E208" s="1" t="s">
        <v>31</v>
      </c>
      <c r="F208" s="1">
        <v>52104</v>
      </c>
      <c r="G208" s="1" t="s">
        <v>17</v>
      </c>
      <c r="H208" s="1" t="s">
        <v>18</v>
      </c>
      <c r="J208" s="1" t="s">
        <v>19</v>
      </c>
      <c r="K208" s="1" t="str">
        <f>VLOOKUP(J208,'[1]Base SCA 02 2026'!V:X,3,0)</f>
        <v>JOSÉ GOUVEA</v>
      </c>
      <c r="L208" s="1" t="str">
        <f>VLOOKUP(J208,'[1]Base SCA 02 2026'!V:Y,4,0)</f>
        <v>ALEX DIAS</v>
      </c>
      <c r="N208" s="1" t="str">
        <f t="shared" si="3"/>
        <v>ALEX DIAS</v>
      </c>
    </row>
    <row r="209" spans="1:14" x14ac:dyDescent="0.3">
      <c r="A209" s="1">
        <v>705468</v>
      </c>
      <c r="B209" s="1" t="s">
        <v>1276</v>
      </c>
      <c r="C209" s="5" t="s">
        <v>15</v>
      </c>
      <c r="D209" s="2">
        <v>45812</v>
      </c>
      <c r="E209" s="1" t="s">
        <v>31</v>
      </c>
      <c r="F209" s="1">
        <v>39301</v>
      </c>
      <c r="G209" s="1" t="s">
        <v>73</v>
      </c>
      <c r="H209" s="1" t="s">
        <v>18</v>
      </c>
      <c r="J209" s="1" t="s">
        <v>74</v>
      </c>
      <c r="K209" s="1" t="str">
        <f>VLOOKUP(J209,'[1]Base SCA 02 2026'!V:X,3,0)</f>
        <v>PAULO BONIFÁCIO</v>
      </c>
      <c r="L209" s="1" t="str">
        <f>VLOOKUP(J209,'[1]Base SCA 02 2026'!V:Y,4,0)</f>
        <v>ALDAIR BORGES</v>
      </c>
      <c r="M209" s="1" t="str">
        <f>VLOOKUP(J209,'[1]Base SCA 02 2026'!V:Z,5,0)</f>
        <v>ISAC NONATO</v>
      </c>
      <c r="N209" s="1" t="str">
        <f t="shared" si="3"/>
        <v>ISAC NONATO</v>
      </c>
    </row>
    <row r="210" spans="1:14" x14ac:dyDescent="0.3">
      <c r="A210" s="1">
        <v>704176</v>
      </c>
      <c r="B210" s="1" t="s">
        <v>280</v>
      </c>
      <c r="C210" s="5" t="s">
        <v>15</v>
      </c>
      <c r="D210" s="2">
        <v>45272</v>
      </c>
      <c r="E210" s="1" t="s">
        <v>141</v>
      </c>
      <c r="F210" s="1">
        <v>22102</v>
      </c>
      <c r="G210" s="1" t="s">
        <v>68</v>
      </c>
      <c r="H210" s="1" t="s">
        <v>18</v>
      </c>
      <c r="J210" s="1" t="s">
        <v>81</v>
      </c>
      <c r="K210" s="1" t="str">
        <f>VLOOKUP(J210,'[1]Base SCA 02 2026'!V:X,3,0)</f>
        <v>PAULO BONIFÁCIO</v>
      </c>
      <c r="L210" s="1" t="str">
        <f>VLOOKUP(J210,'[1]Base SCA 02 2026'!V:Y,4,0)</f>
        <v>MAURICIO SANTOS</v>
      </c>
      <c r="M210" s="1" t="str">
        <f>VLOOKUP(J210,'[1]Base SCA 02 2026'!V:Z,5,0)</f>
        <v xml:space="preserve">EDSON/MARCELO LIMA </v>
      </c>
      <c r="N210" s="1" t="str">
        <f t="shared" si="3"/>
        <v xml:space="preserve">EDSON/MARCELO LIMA </v>
      </c>
    </row>
    <row r="211" spans="1:14" x14ac:dyDescent="0.3">
      <c r="A211" s="1">
        <v>705563</v>
      </c>
      <c r="B211" s="1" t="s">
        <v>1313</v>
      </c>
      <c r="C211" s="5" t="s">
        <v>15</v>
      </c>
      <c r="D211" s="2">
        <v>45881</v>
      </c>
      <c r="E211" s="1" t="s">
        <v>31</v>
      </c>
      <c r="F211" s="1">
        <v>52104</v>
      </c>
      <c r="G211" s="1" t="s">
        <v>17</v>
      </c>
      <c r="H211" s="1" t="s">
        <v>18</v>
      </c>
      <c r="J211" s="1" t="s">
        <v>19</v>
      </c>
      <c r="K211" s="1" t="str">
        <f>VLOOKUP(J211,'[1]Base SCA 02 2026'!V:X,3,0)</f>
        <v>JOSÉ GOUVEA</v>
      </c>
      <c r="L211" s="1" t="str">
        <f>VLOOKUP(J211,'[1]Base SCA 02 2026'!V:Y,4,0)</f>
        <v>ALEX DIAS</v>
      </c>
      <c r="N211" s="1" t="str">
        <f t="shared" si="3"/>
        <v>ALEX DIAS</v>
      </c>
    </row>
    <row r="212" spans="1:14" x14ac:dyDescent="0.3">
      <c r="A212" s="1">
        <v>102082</v>
      </c>
      <c r="B212" s="1" t="s">
        <v>281</v>
      </c>
      <c r="C212" s="5" t="s">
        <v>15</v>
      </c>
      <c r="D212" s="2">
        <v>41646</v>
      </c>
      <c r="E212" s="1" t="s">
        <v>40</v>
      </c>
      <c r="F212" s="1">
        <v>52104</v>
      </c>
      <c r="G212" s="1" t="s">
        <v>17</v>
      </c>
      <c r="H212" s="1" t="s">
        <v>18</v>
      </c>
      <c r="J212" s="1" t="s">
        <v>37</v>
      </c>
      <c r="K212" s="1" t="str">
        <f>VLOOKUP(J212,'[1]Base SCA 02 2026'!V:X,3,0)</f>
        <v>JOSÉ GOUVEA</v>
      </c>
      <c r="L212" s="1" t="str">
        <f>VLOOKUP(J212,'[1]Base SCA 02 2026'!V:Y,4,0)</f>
        <v>ALEX DIAS</v>
      </c>
      <c r="N212" s="1" t="str">
        <f t="shared" si="3"/>
        <v>ALEX DIAS</v>
      </c>
    </row>
    <row r="213" spans="1:14" x14ac:dyDescent="0.3">
      <c r="A213" s="1">
        <v>703579</v>
      </c>
      <c r="B213" s="1" t="s">
        <v>283</v>
      </c>
      <c r="C213" s="5" t="s">
        <v>15</v>
      </c>
      <c r="D213" s="2">
        <v>44970</v>
      </c>
      <c r="E213" s="1" t="s">
        <v>97</v>
      </c>
      <c r="F213" s="1">
        <v>32101</v>
      </c>
      <c r="G213" s="1" t="s">
        <v>23</v>
      </c>
      <c r="H213" s="1" t="s">
        <v>18</v>
      </c>
      <c r="J213" s="1" t="s">
        <v>24</v>
      </c>
      <c r="K213" s="1" t="str">
        <f>VLOOKUP(J213,'[1]Base SCA 02 2026'!V:X,3,0)</f>
        <v>RAFAEL XAVIER</v>
      </c>
      <c r="L213" s="1" t="str">
        <f>VLOOKUP(J213,'[1]Base SCA 02 2026'!V:Y,4,0)</f>
        <v>FERNANDO GUILHERME</v>
      </c>
      <c r="M213" s="1" t="str">
        <f>VLOOKUP(J213,'[1]Base SCA 02 2026'!V:Z,5,0)</f>
        <v>JUNIO COSTA</v>
      </c>
      <c r="N213" s="1" t="str">
        <f t="shared" si="3"/>
        <v>JUNIO COSTA</v>
      </c>
    </row>
    <row r="214" spans="1:14" x14ac:dyDescent="0.3">
      <c r="A214" s="1">
        <v>705597</v>
      </c>
      <c r="B214" s="1" t="s">
        <v>1314</v>
      </c>
      <c r="C214" s="5" t="s">
        <v>233</v>
      </c>
      <c r="D214" s="2">
        <v>45888</v>
      </c>
      <c r="E214" s="1" t="s">
        <v>213</v>
      </c>
      <c r="F214" s="1">
        <v>52104</v>
      </c>
      <c r="G214" s="1" t="s">
        <v>17</v>
      </c>
      <c r="H214" s="1" t="s">
        <v>18</v>
      </c>
      <c r="J214" s="1" t="s">
        <v>19</v>
      </c>
      <c r="K214" s="1" t="str">
        <f>VLOOKUP(J214,'[1]Base SCA 02 2026'!V:X,3,0)</f>
        <v>JOSÉ GOUVEA</v>
      </c>
      <c r="L214" s="1" t="str">
        <f>VLOOKUP(J214,'[1]Base SCA 02 2026'!V:Y,4,0)</f>
        <v>ALEX DIAS</v>
      </c>
      <c r="N214" s="1" t="str">
        <f t="shared" si="3"/>
        <v>ALEX DIAS</v>
      </c>
    </row>
    <row r="215" spans="1:14" x14ac:dyDescent="0.3">
      <c r="A215" s="1">
        <v>703722</v>
      </c>
      <c r="B215" s="1" t="s">
        <v>284</v>
      </c>
      <c r="C215" s="5" t="s">
        <v>15</v>
      </c>
      <c r="D215" s="2">
        <v>45026</v>
      </c>
      <c r="E215" s="1" t="s">
        <v>16</v>
      </c>
      <c r="F215" s="1">
        <v>22102</v>
      </c>
      <c r="G215" s="1" t="s">
        <v>68</v>
      </c>
      <c r="H215" s="1" t="s">
        <v>18</v>
      </c>
      <c r="J215" s="1" t="s">
        <v>69</v>
      </c>
      <c r="K215" s="1" t="str">
        <f>VLOOKUP(J215,'[1]Base SCA 02 2026'!V:X,3,0)</f>
        <v>PAULO BONIFÁCIO</v>
      </c>
      <c r="L215" s="1" t="str">
        <f>VLOOKUP(J215,'[1]Base SCA 02 2026'!V:Y,4,0)</f>
        <v xml:space="preserve">JOÃO KOMURA </v>
      </c>
      <c r="N215" s="1" t="str">
        <f t="shared" si="3"/>
        <v xml:space="preserve">JOÃO KOMURA </v>
      </c>
    </row>
    <row r="216" spans="1:14" x14ac:dyDescent="0.3">
      <c r="A216" s="1">
        <v>703463</v>
      </c>
      <c r="B216" s="1" t="s">
        <v>285</v>
      </c>
      <c r="C216" s="5" t="s">
        <v>15</v>
      </c>
      <c r="D216" s="2">
        <v>44881</v>
      </c>
      <c r="E216" s="1" t="s">
        <v>156</v>
      </c>
      <c r="F216" s="1">
        <v>38101</v>
      </c>
      <c r="G216" s="1" t="s">
        <v>35</v>
      </c>
      <c r="H216" s="1" t="s">
        <v>18</v>
      </c>
      <c r="J216" s="1" t="s">
        <v>36</v>
      </c>
      <c r="K216" s="1" t="str">
        <f>VLOOKUP(J216,'[1]Base SCA 02 2026'!V:X,3,0)</f>
        <v xml:space="preserve">LEIDJANE MARTINS </v>
      </c>
      <c r="L216" s="1" t="str">
        <f>VLOOKUP(J216,'[1]Base SCA 02 2026'!V:Y,4,0)</f>
        <v xml:space="preserve">LEIDJANE MARTINS </v>
      </c>
      <c r="M216" s="1" t="str">
        <f>VLOOKUP(J216,'[1]Base SCA 02 2026'!V:Z,5,0)</f>
        <v>DENIS ACASSIO</v>
      </c>
      <c r="N216" s="1" t="str">
        <f t="shared" si="3"/>
        <v>DENIS ACASSIO</v>
      </c>
    </row>
    <row r="217" spans="1:14" x14ac:dyDescent="0.3">
      <c r="A217" s="1">
        <v>705691</v>
      </c>
      <c r="B217" s="1" t="s">
        <v>1449</v>
      </c>
      <c r="C217" s="5" t="s">
        <v>15</v>
      </c>
      <c r="D217" s="2">
        <v>45971</v>
      </c>
      <c r="E217" s="1" t="s">
        <v>474</v>
      </c>
      <c r="F217" s="1">
        <v>32101</v>
      </c>
      <c r="G217" s="1" t="s">
        <v>23</v>
      </c>
      <c r="H217" s="1" t="s">
        <v>18</v>
      </c>
      <c r="J217" s="1" t="s">
        <v>24</v>
      </c>
      <c r="K217" s="1" t="str">
        <f>VLOOKUP(J217,'[1]Base SCA 02 2026'!V:X,3,0)</f>
        <v>RAFAEL XAVIER</v>
      </c>
      <c r="L217" s="1" t="str">
        <f>VLOOKUP(J217,'[1]Base SCA 02 2026'!V:Y,4,0)</f>
        <v>FERNANDO GUILHERME</v>
      </c>
      <c r="M217" s="1" t="str">
        <f>VLOOKUP(J217,'[1]Base SCA 02 2026'!V:Z,5,0)</f>
        <v>JUNIO COSTA</v>
      </c>
      <c r="N217" s="1" t="str">
        <f t="shared" si="3"/>
        <v>JUNIO COSTA</v>
      </c>
    </row>
    <row r="218" spans="1:14" x14ac:dyDescent="0.3">
      <c r="A218" s="1">
        <v>705627</v>
      </c>
      <c r="B218" s="1" t="s">
        <v>1403</v>
      </c>
      <c r="C218" s="5" t="s">
        <v>15</v>
      </c>
      <c r="D218" s="2">
        <v>45937</v>
      </c>
      <c r="E218" s="1" t="s">
        <v>31</v>
      </c>
      <c r="F218" s="1">
        <v>52104</v>
      </c>
      <c r="G218" s="1" t="s">
        <v>17</v>
      </c>
      <c r="H218" s="1" t="s">
        <v>18</v>
      </c>
      <c r="J218" s="1" t="s">
        <v>19</v>
      </c>
      <c r="K218" s="1" t="str">
        <f>VLOOKUP(J218,'[1]Base SCA 02 2026'!V:X,3,0)</f>
        <v>JOSÉ GOUVEA</v>
      </c>
      <c r="L218" s="1" t="str">
        <f>VLOOKUP(J218,'[1]Base SCA 02 2026'!V:Y,4,0)</f>
        <v>ALEX DIAS</v>
      </c>
      <c r="N218" s="1" t="str">
        <f t="shared" si="3"/>
        <v>ALEX DIAS</v>
      </c>
    </row>
    <row r="219" spans="1:14" x14ac:dyDescent="0.3">
      <c r="A219" s="1">
        <v>705357</v>
      </c>
      <c r="B219" s="1" t="s">
        <v>1217</v>
      </c>
      <c r="C219" s="5" t="s">
        <v>15</v>
      </c>
      <c r="D219" s="2">
        <v>45784</v>
      </c>
      <c r="E219" s="1" t="s">
        <v>31</v>
      </c>
      <c r="F219" s="1">
        <v>39304</v>
      </c>
      <c r="G219" s="1" t="s">
        <v>56</v>
      </c>
      <c r="H219" s="1" t="s">
        <v>18</v>
      </c>
      <c r="J219" s="1" t="s">
        <v>57</v>
      </c>
      <c r="K219" s="1" t="str">
        <f>VLOOKUP(J219,'[1]Base SCA 02 2026'!V:X,3,0)</f>
        <v>PAULO BONIFÁCIO</v>
      </c>
      <c r="L219" s="1" t="str">
        <f>VLOOKUP(J219,'[1]Base SCA 02 2026'!V:Y,4,0)</f>
        <v>ALDAIR BORGES</v>
      </c>
      <c r="M219" s="1" t="str">
        <f>VLOOKUP(J219,'[1]Base SCA 02 2026'!V:Z,5,0)</f>
        <v>WARLEY RIBEIRO</v>
      </c>
      <c r="N219" s="1" t="str">
        <f t="shared" si="3"/>
        <v>WARLEY RIBEIRO</v>
      </c>
    </row>
    <row r="220" spans="1:14" x14ac:dyDescent="0.3">
      <c r="A220" s="1">
        <v>702912</v>
      </c>
      <c r="B220" s="1" t="s">
        <v>287</v>
      </c>
      <c r="C220" s="5" t="s">
        <v>15</v>
      </c>
      <c r="D220" s="2">
        <v>44656</v>
      </c>
      <c r="E220" s="1" t="s">
        <v>105</v>
      </c>
      <c r="F220" s="1">
        <v>22102</v>
      </c>
      <c r="G220" s="1" t="s">
        <v>68</v>
      </c>
      <c r="H220" s="1" t="s">
        <v>18</v>
      </c>
      <c r="J220" s="1" t="s">
        <v>142</v>
      </c>
      <c r="K220" s="1" t="str">
        <f>VLOOKUP(J220,'[1]Base SCA 02 2026'!V:X,3,0)</f>
        <v>PAULO BONIFÁCIO</v>
      </c>
      <c r="L220" s="1" t="str">
        <f>VLOOKUP(J220,'[1]Base SCA 02 2026'!V:Y,4,0)</f>
        <v>MAURICIO SANTOS</v>
      </c>
      <c r="M220" s="1" t="str">
        <f>VLOOKUP(J220,'[1]Base SCA 02 2026'!V:Z,5,0)</f>
        <v>EDIS MOREIRA</v>
      </c>
      <c r="N220" s="1" t="str">
        <f t="shared" si="3"/>
        <v>EDIS MOREIRA</v>
      </c>
    </row>
    <row r="221" spans="1:14" x14ac:dyDescent="0.3">
      <c r="A221" s="1">
        <v>100691</v>
      </c>
      <c r="B221" s="1" t="s">
        <v>288</v>
      </c>
      <c r="C221" s="5" t="s">
        <v>15</v>
      </c>
      <c r="D221" s="2">
        <v>42010</v>
      </c>
      <c r="E221" s="1" t="s">
        <v>1214</v>
      </c>
      <c r="F221" s="1">
        <v>34101</v>
      </c>
      <c r="G221" s="1" t="s">
        <v>43</v>
      </c>
      <c r="H221" s="1" t="s">
        <v>18</v>
      </c>
      <c r="J221" s="1" t="s">
        <v>237</v>
      </c>
      <c r="K221" s="1" t="str">
        <f>VLOOKUP(J221,'[1]Base SCA 02 2026'!V:X,3,0)</f>
        <v>RAFAEL XAVIER</v>
      </c>
      <c r="L221" s="1" t="str">
        <f>VLOOKUP(J221,'[1]Base SCA 02 2026'!V:Y,4,0)</f>
        <v>IVONEI CAMPOS</v>
      </c>
      <c r="M221" s="1" t="str">
        <f>VLOOKUP(J221,'[1]Base SCA 02 2026'!V:Z,5,0)</f>
        <v xml:space="preserve">MARCOS VINICIUS </v>
      </c>
      <c r="N221" s="1" t="str">
        <f t="shared" si="3"/>
        <v xml:space="preserve">MARCOS VINICIUS </v>
      </c>
    </row>
    <row r="222" spans="1:14" x14ac:dyDescent="0.3">
      <c r="A222" s="1">
        <v>704740</v>
      </c>
      <c r="B222" s="1" t="s">
        <v>289</v>
      </c>
      <c r="C222" s="5" t="s">
        <v>15</v>
      </c>
      <c r="D222" s="2">
        <v>45538</v>
      </c>
      <c r="E222" s="1" t="s">
        <v>1218</v>
      </c>
      <c r="F222" s="1">
        <v>33301</v>
      </c>
      <c r="G222" s="1" t="s">
        <v>64</v>
      </c>
      <c r="H222" s="1" t="s">
        <v>18</v>
      </c>
      <c r="J222" s="1" t="s">
        <v>65</v>
      </c>
      <c r="K222" s="1" t="str">
        <f>VLOOKUP(J222,'[1]Base SCA 02 2026'!V:X,3,0)</f>
        <v>RAFAEL XAVIER</v>
      </c>
      <c r="L222" s="1" t="str">
        <f>VLOOKUP(J222,'[1]Base SCA 02 2026'!V:Y,4,0)</f>
        <v>IVONEI CAMPOS</v>
      </c>
      <c r="M222" s="1" t="str">
        <f>VLOOKUP(J222,'[1]Base SCA 02 2026'!V:Z,5,0)</f>
        <v>ANDRÉ CUBA</v>
      </c>
      <c r="N222" s="1" t="str">
        <f t="shared" si="3"/>
        <v>ANDRÉ CUBA</v>
      </c>
    </row>
    <row r="223" spans="1:14" x14ac:dyDescent="0.3">
      <c r="A223" s="1">
        <v>101016</v>
      </c>
      <c r="B223" s="1" t="s">
        <v>290</v>
      </c>
      <c r="C223" s="5" t="s">
        <v>15</v>
      </c>
      <c r="D223" s="2">
        <v>42632</v>
      </c>
      <c r="E223" s="1" t="s">
        <v>291</v>
      </c>
      <c r="F223" s="1">
        <v>34201</v>
      </c>
      <c r="G223" s="1" t="s">
        <v>84</v>
      </c>
      <c r="H223" s="1" t="s">
        <v>18</v>
      </c>
      <c r="J223" s="1" t="s">
        <v>85</v>
      </c>
      <c r="K223" s="1" t="str">
        <f>VLOOKUP(J223,'[1]Base SCA 02 2026'!V:X,3,0)</f>
        <v>PAULO BONIFÁCIO</v>
      </c>
      <c r="L223" s="1" t="str">
        <f>VLOOKUP(J223,'[1]Base SCA 02 2026'!V:Y,4,0)</f>
        <v>PAULO BONIFÁCIO</v>
      </c>
      <c r="M223" s="1" t="str">
        <f>VLOOKUP(J223,'[1]Base SCA 02 2026'!V:Z,5,0)</f>
        <v xml:space="preserve">LEONARDO SANTOS </v>
      </c>
      <c r="N223" s="1" t="str">
        <f t="shared" si="3"/>
        <v xml:space="preserve">LEONARDO SANTOS </v>
      </c>
    </row>
    <row r="224" spans="1:14" x14ac:dyDescent="0.3">
      <c r="A224" s="1">
        <v>705801</v>
      </c>
      <c r="B224" s="1" t="s">
        <v>1519</v>
      </c>
      <c r="C224" s="5" t="s">
        <v>15</v>
      </c>
      <c r="D224" s="2">
        <v>46029</v>
      </c>
      <c r="E224" s="1" t="s">
        <v>67</v>
      </c>
      <c r="F224" s="1">
        <v>22101</v>
      </c>
      <c r="G224" s="1" t="s">
        <v>122</v>
      </c>
      <c r="H224" s="1" t="s">
        <v>18</v>
      </c>
      <c r="J224" s="1" t="s">
        <v>123</v>
      </c>
      <c r="K224" s="1" t="str">
        <f>VLOOKUP(J224,'[1]Base SCA 02 2026'!V:X,3,0)</f>
        <v>MATHEUS FERNANDES</v>
      </c>
      <c r="L224" s="1" t="str">
        <f>VLOOKUP(J224,'[1]Base SCA 02 2026'!V:Y,4,0)</f>
        <v>MATHEUS FERNANDES</v>
      </c>
      <c r="N224" s="1" t="str">
        <f t="shared" si="3"/>
        <v>MATHEUS FERNANDES</v>
      </c>
    </row>
    <row r="225" spans="1:14" x14ac:dyDescent="0.3">
      <c r="A225" s="1">
        <v>704004</v>
      </c>
      <c r="B225" s="1" t="s">
        <v>293</v>
      </c>
      <c r="C225" s="5" t="s">
        <v>15</v>
      </c>
      <c r="D225" s="2">
        <v>45118</v>
      </c>
      <c r="E225" s="1" t="s">
        <v>294</v>
      </c>
      <c r="F225" s="1">
        <v>22101</v>
      </c>
      <c r="G225" s="1" t="s">
        <v>122</v>
      </c>
      <c r="H225" s="1" t="s">
        <v>18</v>
      </c>
      <c r="J225" s="1" t="s">
        <v>123</v>
      </c>
      <c r="K225" s="1" t="str">
        <f>VLOOKUP(J225,'[1]Base SCA 02 2026'!V:X,3,0)</f>
        <v>MATHEUS FERNANDES</v>
      </c>
      <c r="L225" s="1" t="str">
        <f>VLOOKUP(J225,'[1]Base SCA 02 2026'!V:Y,4,0)</f>
        <v>MATHEUS FERNANDES</v>
      </c>
      <c r="N225" s="1" t="str">
        <f t="shared" si="3"/>
        <v>MATHEUS FERNANDES</v>
      </c>
    </row>
    <row r="226" spans="1:14" x14ac:dyDescent="0.3">
      <c r="A226" s="1">
        <v>705433</v>
      </c>
      <c r="B226" s="1" t="s">
        <v>1255</v>
      </c>
      <c r="C226" s="5" t="s">
        <v>15</v>
      </c>
      <c r="D226" s="2">
        <v>45797</v>
      </c>
      <c r="E226" s="1" t="s">
        <v>31</v>
      </c>
      <c r="F226" s="1">
        <v>22102</v>
      </c>
      <c r="G226" s="1" t="s">
        <v>68</v>
      </c>
      <c r="H226" s="1" t="s">
        <v>18</v>
      </c>
      <c r="J226" s="1" t="s">
        <v>81</v>
      </c>
      <c r="K226" s="1" t="str">
        <f>VLOOKUP(J226,'[1]Base SCA 02 2026'!V:X,3,0)</f>
        <v>PAULO BONIFÁCIO</v>
      </c>
      <c r="L226" s="1" t="str">
        <f>VLOOKUP(J226,'[1]Base SCA 02 2026'!V:Y,4,0)</f>
        <v>MAURICIO SANTOS</v>
      </c>
      <c r="M226" s="1" t="str">
        <f>VLOOKUP(J226,'[1]Base SCA 02 2026'!V:Z,5,0)</f>
        <v xml:space="preserve">EDSON/MARCELO LIMA </v>
      </c>
      <c r="N226" s="1" t="str">
        <f t="shared" si="3"/>
        <v xml:space="preserve">EDSON/MARCELO LIMA </v>
      </c>
    </row>
    <row r="227" spans="1:14" x14ac:dyDescent="0.3">
      <c r="A227" s="1">
        <v>705768</v>
      </c>
      <c r="B227" s="1" t="s">
        <v>1499</v>
      </c>
      <c r="C227" s="5" t="s">
        <v>15</v>
      </c>
      <c r="D227" s="2">
        <v>45993</v>
      </c>
      <c r="E227" s="1" t="s">
        <v>31</v>
      </c>
      <c r="F227" s="1">
        <v>52104</v>
      </c>
      <c r="G227" s="1" t="s">
        <v>17</v>
      </c>
      <c r="H227" s="1" t="s">
        <v>18</v>
      </c>
      <c r="J227" s="1" t="s">
        <v>19</v>
      </c>
      <c r="K227" s="1" t="str">
        <f>VLOOKUP(J227,'[1]Base SCA 02 2026'!V:X,3,0)</f>
        <v>JOSÉ GOUVEA</v>
      </c>
      <c r="L227" s="1" t="str">
        <f>VLOOKUP(J227,'[1]Base SCA 02 2026'!V:Y,4,0)</f>
        <v>ALEX DIAS</v>
      </c>
      <c r="N227" s="1" t="str">
        <f t="shared" si="3"/>
        <v>ALEX DIAS</v>
      </c>
    </row>
    <row r="228" spans="1:14" x14ac:dyDescent="0.3">
      <c r="A228" s="1">
        <v>704262</v>
      </c>
      <c r="B228" s="1" t="s">
        <v>295</v>
      </c>
      <c r="C228" s="5" t="s">
        <v>15</v>
      </c>
      <c r="D228" s="2">
        <v>45342</v>
      </c>
      <c r="E228" s="1" t="s">
        <v>138</v>
      </c>
      <c r="F228" s="1">
        <v>22102</v>
      </c>
      <c r="G228" s="1" t="s">
        <v>68</v>
      </c>
      <c r="H228" s="1" t="s">
        <v>18</v>
      </c>
      <c r="J228" s="1" t="s">
        <v>81</v>
      </c>
      <c r="K228" s="1" t="str">
        <f>VLOOKUP(J228,'[1]Base SCA 02 2026'!V:X,3,0)</f>
        <v>PAULO BONIFÁCIO</v>
      </c>
      <c r="L228" s="1" t="str">
        <f>VLOOKUP(J228,'[1]Base SCA 02 2026'!V:Y,4,0)</f>
        <v>MAURICIO SANTOS</v>
      </c>
      <c r="M228" s="1" t="str">
        <f>VLOOKUP(J228,'[1]Base SCA 02 2026'!V:Z,5,0)</f>
        <v xml:space="preserve">EDSON/MARCELO LIMA </v>
      </c>
      <c r="N228" s="1" t="str">
        <f t="shared" si="3"/>
        <v xml:space="preserve">EDSON/MARCELO LIMA </v>
      </c>
    </row>
    <row r="229" spans="1:14" x14ac:dyDescent="0.3">
      <c r="A229" s="1">
        <v>700820</v>
      </c>
      <c r="B229" s="1" t="s">
        <v>296</v>
      </c>
      <c r="C229" s="5" t="s">
        <v>15</v>
      </c>
      <c r="D229" s="2">
        <v>43437</v>
      </c>
      <c r="E229" s="1" t="s">
        <v>166</v>
      </c>
      <c r="F229" s="1">
        <v>22102</v>
      </c>
      <c r="G229" s="1" t="s">
        <v>68</v>
      </c>
      <c r="H229" s="1" t="s">
        <v>18</v>
      </c>
      <c r="J229" s="1" t="s">
        <v>167</v>
      </c>
      <c r="K229" s="1" t="str">
        <f>VLOOKUP(J229,'[1]Base SCA 02 2026'!V:X,3,0)</f>
        <v>PAULO BONIFÁCIO</v>
      </c>
      <c r="L229" s="1" t="str">
        <f>VLOOKUP(J229,'[1]Base SCA 02 2026'!V:Y,4,0)</f>
        <v>MAURICIO SANTOS</v>
      </c>
      <c r="M229" s="1" t="str">
        <f>VLOOKUP(J229,'[1]Base SCA 02 2026'!V:Z,5,0)</f>
        <v>FABIANO</v>
      </c>
      <c r="N229" s="1" t="str">
        <f t="shared" si="3"/>
        <v>FABIANO</v>
      </c>
    </row>
    <row r="230" spans="1:14" x14ac:dyDescent="0.3">
      <c r="A230" s="1">
        <v>702815</v>
      </c>
      <c r="B230" s="1" t="s">
        <v>297</v>
      </c>
      <c r="C230" s="5" t="s">
        <v>15</v>
      </c>
      <c r="D230" s="2">
        <v>44613</v>
      </c>
      <c r="E230" s="1" t="s">
        <v>60</v>
      </c>
      <c r="F230" s="1">
        <v>52104</v>
      </c>
      <c r="G230" s="1" t="s">
        <v>17</v>
      </c>
      <c r="H230" s="1" t="s">
        <v>18</v>
      </c>
      <c r="J230" s="1" t="s">
        <v>19</v>
      </c>
      <c r="K230" s="1" t="str">
        <f>VLOOKUP(J230,'[1]Base SCA 02 2026'!V:X,3,0)</f>
        <v>JOSÉ GOUVEA</v>
      </c>
      <c r="L230" s="1" t="str">
        <f>VLOOKUP(J230,'[1]Base SCA 02 2026'!V:Y,4,0)</f>
        <v>ALEX DIAS</v>
      </c>
      <c r="N230" s="1" t="str">
        <f t="shared" si="3"/>
        <v>ALEX DIAS</v>
      </c>
    </row>
    <row r="231" spans="1:14" x14ac:dyDescent="0.3">
      <c r="A231" s="1">
        <v>705067</v>
      </c>
      <c r="B231" s="1" t="s">
        <v>298</v>
      </c>
      <c r="C231" s="5" t="s">
        <v>15</v>
      </c>
      <c r="D231" s="2">
        <v>45670</v>
      </c>
      <c r="E231" s="1" t="s">
        <v>40</v>
      </c>
      <c r="F231" s="1">
        <v>51219</v>
      </c>
      <c r="G231" s="1" t="s">
        <v>61</v>
      </c>
      <c r="H231" s="1" t="s">
        <v>18</v>
      </c>
      <c r="J231" s="1" t="s">
        <v>37</v>
      </c>
      <c r="K231" s="1" t="str">
        <f>VLOOKUP(J231,'[1]Base SCA 02 2026'!V:X,3,0)</f>
        <v>JOSÉ GOUVEA</v>
      </c>
      <c r="L231" s="1" t="str">
        <f>VLOOKUP(J231,'[1]Base SCA 02 2026'!V:Y,4,0)</f>
        <v>ALEX DIAS</v>
      </c>
      <c r="N231" s="1" t="str">
        <f t="shared" si="3"/>
        <v>ALEX DIAS</v>
      </c>
    </row>
    <row r="232" spans="1:14" x14ac:dyDescent="0.3">
      <c r="A232" s="1">
        <v>702592</v>
      </c>
      <c r="B232" s="1" t="s">
        <v>300</v>
      </c>
      <c r="C232" s="5" t="s">
        <v>15</v>
      </c>
      <c r="D232" s="2">
        <v>44474</v>
      </c>
      <c r="E232" s="1" t="s">
        <v>173</v>
      </c>
      <c r="F232" s="1">
        <v>32101</v>
      </c>
      <c r="G232" s="1" t="s">
        <v>23</v>
      </c>
      <c r="H232" s="1" t="s">
        <v>18</v>
      </c>
      <c r="J232" s="1" t="s">
        <v>24</v>
      </c>
      <c r="K232" s="1" t="str">
        <f>VLOOKUP(J232,'[1]Base SCA 02 2026'!V:X,3,0)</f>
        <v>RAFAEL XAVIER</v>
      </c>
      <c r="L232" s="1" t="str">
        <f>VLOOKUP(J232,'[1]Base SCA 02 2026'!V:Y,4,0)</f>
        <v>FERNANDO GUILHERME</v>
      </c>
      <c r="M232" s="1" t="str">
        <f>VLOOKUP(J232,'[1]Base SCA 02 2026'!V:Z,5,0)</f>
        <v>JUNIO COSTA</v>
      </c>
      <c r="N232" s="1" t="str">
        <f t="shared" si="3"/>
        <v>JUNIO COSTA</v>
      </c>
    </row>
    <row r="233" spans="1:14" x14ac:dyDescent="0.3">
      <c r="A233" s="1">
        <v>101799</v>
      </c>
      <c r="B233" s="1" t="s">
        <v>301</v>
      </c>
      <c r="C233" s="5" t="s">
        <v>15</v>
      </c>
      <c r="D233" s="2">
        <v>43080</v>
      </c>
      <c r="E233" s="1" t="s">
        <v>71</v>
      </c>
      <c r="F233" s="1">
        <v>25201</v>
      </c>
      <c r="G233" s="1" t="s">
        <v>89</v>
      </c>
      <c r="H233" s="1" t="s">
        <v>18</v>
      </c>
      <c r="J233" s="1" t="s">
        <v>19</v>
      </c>
      <c r="K233" s="1" t="str">
        <f>VLOOKUP(J233,'[1]Base SCA 02 2026'!V:X,3,0)</f>
        <v>JOSÉ GOUVEA</v>
      </c>
      <c r="L233" s="1" t="str">
        <f>VLOOKUP(J233,'[1]Base SCA 02 2026'!V:Y,4,0)</f>
        <v>ALEX DIAS</v>
      </c>
      <c r="N233" s="1" t="str">
        <f t="shared" si="3"/>
        <v>ALEX DIAS</v>
      </c>
    </row>
    <row r="234" spans="1:14" x14ac:dyDescent="0.3">
      <c r="A234" s="1">
        <v>700672</v>
      </c>
      <c r="B234" s="1" t="s">
        <v>856</v>
      </c>
      <c r="C234" s="5" t="s">
        <v>15</v>
      </c>
      <c r="D234" s="2">
        <v>43381</v>
      </c>
      <c r="E234" s="1" t="s">
        <v>166</v>
      </c>
      <c r="F234" s="1">
        <v>22102</v>
      </c>
      <c r="G234" s="1" t="s">
        <v>68</v>
      </c>
      <c r="H234" s="1" t="s">
        <v>18</v>
      </c>
      <c r="J234" s="1" t="s">
        <v>81</v>
      </c>
      <c r="K234" s="1" t="str">
        <f>VLOOKUP(J234,'[1]Base SCA 02 2026'!V:X,3,0)</f>
        <v>PAULO BONIFÁCIO</v>
      </c>
      <c r="L234" s="1" t="str">
        <f>VLOOKUP(J234,'[1]Base SCA 02 2026'!V:Y,4,0)</f>
        <v>MAURICIO SANTOS</v>
      </c>
      <c r="M234" s="1" t="str">
        <f>VLOOKUP(J234,'[1]Base SCA 02 2026'!V:Z,5,0)</f>
        <v xml:space="preserve">EDSON/MARCELO LIMA </v>
      </c>
      <c r="N234" s="1" t="str">
        <f t="shared" si="3"/>
        <v xml:space="preserve">EDSON/MARCELO LIMA </v>
      </c>
    </row>
    <row r="235" spans="1:14" x14ac:dyDescent="0.3">
      <c r="A235" s="1">
        <v>705564</v>
      </c>
      <c r="B235" s="1" t="s">
        <v>1315</v>
      </c>
      <c r="C235" s="5" t="s">
        <v>92</v>
      </c>
      <c r="D235" s="2">
        <v>45874</v>
      </c>
      <c r="E235" s="1" t="s">
        <v>31</v>
      </c>
      <c r="F235" s="1">
        <v>25201</v>
      </c>
      <c r="G235" s="1" t="s">
        <v>89</v>
      </c>
      <c r="H235" s="1" t="s">
        <v>18</v>
      </c>
      <c r="I235" s="2">
        <v>46071</v>
      </c>
      <c r="J235" s="1" t="s">
        <v>19</v>
      </c>
      <c r="K235" s="1" t="str">
        <f>VLOOKUP(J235,'[1]Base SCA 02 2026'!V:X,3,0)</f>
        <v>JOSÉ GOUVEA</v>
      </c>
      <c r="L235" s="1" t="str">
        <f>VLOOKUP(J235,'[1]Base SCA 02 2026'!V:Y,4,0)</f>
        <v>ALEX DIAS</v>
      </c>
      <c r="N235" s="1" t="str">
        <f t="shared" si="3"/>
        <v>ALEX DIAS</v>
      </c>
    </row>
    <row r="236" spans="1:14" x14ac:dyDescent="0.3">
      <c r="A236" s="1">
        <v>703664</v>
      </c>
      <c r="B236" s="1" t="s">
        <v>303</v>
      </c>
      <c r="C236" s="5" t="s">
        <v>15</v>
      </c>
      <c r="D236" s="2">
        <v>44998</v>
      </c>
      <c r="E236" s="1" t="s">
        <v>304</v>
      </c>
      <c r="F236" s="1">
        <v>39302</v>
      </c>
      <c r="G236" s="1" t="s">
        <v>102</v>
      </c>
      <c r="H236" s="1" t="s">
        <v>18</v>
      </c>
      <c r="J236" s="1" t="s">
        <v>57</v>
      </c>
      <c r="K236" s="1" t="str">
        <f>VLOOKUP(J236,'[1]Base SCA 02 2026'!V:X,3,0)</f>
        <v>PAULO BONIFÁCIO</v>
      </c>
      <c r="L236" s="1" t="str">
        <f>VLOOKUP(J236,'[1]Base SCA 02 2026'!V:Y,4,0)</f>
        <v>ALDAIR BORGES</v>
      </c>
      <c r="M236" s="1" t="str">
        <f>VLOOKUP(J236,'[1]Base SCA 02 2026'!V:Z,5,0)</f>
        <v>WARLEY RIBEIRO</v>
      </c>
      <c r="N236" s="1" t="str">
        <f t="shared" si="3"/>
        <v>WARLEY RIBEIRO</v>
      </c>
    </row>
    <row r="237" spans="1:14" x14ac:dyDescent="0.3">
      <c r="A237" s="1">
        <v>704147</v>
      </c>
      <c r="B237" s="1" t="s">
        <v>305</v>
      </c>
      <c r="C237" s="5" t="s">
        <v>15</v>
      </c>
      <c r="D237" s="2">
        <v>45264</v>
      </c>
      <c r="E237" s="1" t="s">
        <v>138</v>
      </c>
      <c r="F237" s="1">
        <v>22102</v>
      </c>
      <c r="G237" s="1" t="s">
        <v>68</v>
      </c>
      <c r="H237" s="1" t="s">
        <v>18</v>
      </c>
      <c r="J237" s="1" t="s">
        <v>81</v>
      </c>
      <c r="K237" s="1" t="str">
        <f>VLOOKUP(J237,'[1]Base SCA 02 2026'!V:X,3,0)</f>
        <v>PAULO BONIFÁCIO</v>
      </c>
      <c r="L237" s="1" t="str">
        <f>VLOOKUP(J237,'[1]Base SCA 02 2026'!V:Y,4,0)</f>
        <v>MAURICIO SANTOS</v>
      </c>
      <c r="M237" s="1" t="str">
        <f>VLOOKUP(J237,'[1]Base SCA 02 2026'!V:Z,5,0)</f>
        <v xml:space="preserve">EDSON/MARCELO LIMA </v>
      </c>
      <c r="N237" s="1" t="str">
        <f t="shared" si="3"/>
        <v xml:space="preserve">EDSON/MARCELO LIMA </v>
      </c>
    </row>
    <row r="238" spans="1:14" x14ac:dyDescent="0.3">
      <c r="A238" s="1">
        <v>703501</v>
      </c>
      <c r="B238" s="1" t="s">
        <v>306</v>
      </c>
      <c r="C238" s="5" t="s">
        <v>15</v>
      </c>
      <c r="D238" s="2">
        <v>44887</v>
      </c>
      <c r="E238" s="1" t="s">
        <v>141</v>
      </c>
      <c r="F238" s="1">
        <v>22102</v>
      </c>
      <c r="G238" s="1" t="s">
        <v>68</v>
      </c>
      <c r="H238" s="1" t="s">
        <v>18</v>
      </c>
      <c r="J238" s="1" t="s">
        <v>142</v>
      </c>
      <c r="K238" s="1" t="str">
        <f>VLOOKUP(J238,'[1]Base SCA 02 2026'!V:X,3,0)</f>
        <v>PAULO BONIFÁCIO</v>
      </c>
      <c r="L238" s="1" t="str">
        <f>VLOOKUP(J238,'[1]Base SCA 02 2026'!V:Y,4,0)</f>
        <v>MAURICIO SANTOS</v>
      </c>
      <c r="M238" s="1" t="str">
        <f>VLOOKUP(J238,'[1]Base SCA 02 2026'!V:Z,5,0)</f>
        <v>EDIS MOREIRA</v>
      </c>
      <c r="N238" s="1" t="str">
        <f t="shared" si="3"/>
        <v>EDIS MOREIRA</v>
      </c>
    </row>
    <row r="239" spans="1:14" x14ac:dyDescent="0.3">
      <c r="A239" s="1">
        <v>705822</v>
      </c>
      <c r="B239" s="1" t="s">
        <v>1520</v>
      </c>
      <c r="C239" s="5" t="s">
        <v>15</v>
      </c>
      <c r="D239" s="2">
        <v>46035</v>
      </c>
      <c r="E239" s="1" t="s">
        <v>31</v>
      </c>
      <c r="F239" s="1">
        <v>52104</v>
      </c>
      <c r="G239" s="1" t="s">
        <v>17</v>
      </c>
      <c r="H239" s="1" t="s">
        <v>18</v>
      </c>
      <c r="J239" s="1" t="s">
        <v>19</v>
      </c>
      <c r="K239" s="1" t="str">
        <f>VLOOKUP(J239,'[1]Base SCA 02 2026'!V:X,3,0)</f>
        <v>JOSÉ GOUVEA</v>
      </c>
      <c r="L239" s="1" t="str">
        <f>VLOOKUP(J239,'[1]Base SCA 02 2026'!V:Y,4,0)</f>
        <v>ALEX DIAS</v>
      </c>
      <c r="N239" s="1" t="str">
        <f t="shared" si="3"/>
        <v>ALEX DIAS</v>
      </c>
    </row>
    <row r="240" spans="1:14" x14ac:dyDescent="0.3">
      <c r="A240" s="1">
        <v>104107</v>
      </c>
      <c r="B240" s="1" t="s">
        <v>307</v>
      </c>
      <c r="C240" s="5" t="s">
        <v>15</v>
      </c>
      <c r="D240" s="2">
        <v>41753</v>
      </c>
      <c r="E240" s="1" t="s">
        <v>260</v>
      </c>
      <c r="F240" s="1">
        <v>52104</v>
      </c>
      <c r="G240" s="1" t="s">
        <v>17</v>
      </c>
      <c r="H240" s="1" t="s">
        <v>18</v>
      </c>
      <c r="J240" s="1" t="s">
        <v>19</v>
      </c>
      <c r="K240" s="1" t="str">
        <f>VLOOKUP(J240,'[1]Base SCA 02 2026'!V:X,3,0)</f>
        <v>JOSÉ GOUVEA</v>
      </c>
      <c r="L240" s="1" t="str">
        <f>VLOOKUP(J240,'[1]Base SCA 02 2026'!V:Y,4,0)</f>
        <v>ALEX DIAS</v>
      </c>
      <c r="N240" s="1" t="str">
        <f t="shared" si="3"/>
        <v>ALEX DIAS</v>
      </c>
    </row>
    <row r="241" spans="1:14" x14ac:dyDescent="0.3">
      <c r="A241" s="1">
        <v>701497</v>
      </c>
      <c r="B241" s="1" t="s">
        <v>308</v>
      </c>
      <c r="C241" s="5" t="s">
        <v>15</v>
      </c>
      <c r="D241" s="2">
        <v>43886</v>
      </c>
      <c r="E241" s="1" t="s">
        <v>251</v>
      </c>
      <c r="F241" s="1">
        <v>39301</v>
      </c>
      <c r="G241" s="1" t="s">
        <v>73</v>
      </c>
      <c r="H241" s="1" t="s">
        <v>18</v>
      </c>
      <c r="J241" s="1" t="s">
        <v>74</v>
      </c>
      <c r="K241" s="1" t="str">
        <f>VLOOKUP(J241,'[1]Base SCA 02 2026'!V:X,3,0)</f>
        <v>PAULO BONIFÁCIO</v>
      </c>
      <c r="L241" s="1" t="str">
        <f>VLOOKUP(J241,'[1]Base SCA 02 2026'!V:Y,4,0)</f>
        <v>ALDAIR BORGES</v>
      </c>
      <c r="M241" s="1" t="str">
        <f>VLOOKUP(J241,'[1]Base SCA 02 2026'!V:Z,5,0)</f>
        <v>ISAC NONATO</v>
      </c>
      <c r="N241" s="1" t="str">
        <f t="shared" si="3"/>
        <v>ISAC NONATO</v>
      </c>
    </row>
    <row r="242" spans="1:14" x14ac:dyDescent="0.3">
      <c r="A242" s="1">
        <v>705511</v>
      </c>
      <c r="B242" s="1" t="s">
        <v>1296</v>
      </c>
      <c r="C242" s="5" t="s">
        <v>15</v>
      </c>
      <c r="D242" s="2">
        <v>45847</v>
      </c>
      <c r="E242" s="1" t="s">
        <v>31</v>
      </c>
      <c r="F242" s="1">
        <v>22102</v>
      </c>
      <c r="G242" s="1" t="s">
        <v>68</v>
      </c>
      <c r="H242" s="1" t="s">
        <v>18</v>
      </c>
      <c r="J242" s="1" t="s">
        <v>142</v>
      </c>
      <c r="K242" s="1" t="str">
        <f>VLOOKUP(J242,'[1]Base SCA 02 2026'!V:X,3,0)</f>
        <v>PAULO BONIFÁCIO</v>
      </c>
      <c r="L242" s="1" t="str">
        <f>VLOOKUP(J242,'[1]Base SCA 02 2026'!V:Y,4,0)</f>
        <v>MAURICIO SANTOS</v>
      </c>
      <c r="M242" s="1" t="str">
        <f>VLOOKUP(J242,'[1]Base SCA 02 2026'!V:Z,5,0)</f>
        <v>EDIS MOREIRA</v>
      </c>
      <c r="N242" s="1" t="str">
        <f t="shared" si="3"/>
        <v>EDIS MOREIRA</v>
      </c>
    </row>
    <row r="243" spans="1:14" x14ac:dyDescent="0.3">
      <c r="A243" s="1">
        <v>702033</v>
      </c>
      <c r="B243" s="1" t="s">
        <v>309</v>
      </c>
      <c r="C243" s="5" t="s">
        <v>15</v>
      </c>
      <c r="D243" s="2">
        <v>44250</v>
      </c>
      <c r="E243" s="1" t="s">
        <v>219</v>
      </c>
      <c r="F243" s="1">
        <v>32101</v>
      </c>
      <c r="G243" s="1" t="s">
        <v>23</v>
      </c>
      <c r="H243" s="1" t="s">
        <v>18</v>
      </c>
      <c r="J243" s="1" t="s">
        <v>24</v>
      </c>
      <c r="K243" s="1" t="str">
        <f>VLOOKUP(J243,'[1]Base SCA 02 2026'!V:X,3,0)</f>
        <v>RAFAEL XAVIER</v>
      </c>
      <c r="L243" s="1" t="str">
        <f>VLOOKUP(J243,'[1]Base SCA 02 2026'!V:Y,4,0)</f>
        <v>FERNANDO GUILHERME</v>
      </c>
      <c r="M243" s="1" t="str">
        <f>VLOOKUP(J243,'[1]Base SCA 02 2026'!V:Z,5,0)</f>
        <v>JUNIO COSTA</v>
      </c>
      <c r="N243" s="1" t="str">
        <f t="shared" si="3"/>
        <v>JUNIO COSTA</v>
      </c>
    </row>
    <row r="244" spans="1:14" x14ac:dyDescent="0.3">
      <c r="A244" s="1">
        <v>705134</v>
      </c>
      <c r="B244" s="1" t="s">
        <v>1142</v>
      </c>
      <c r="C244" s="5" t="s">
        <v>15</v>
      </c>
      <c r="D244" s="2">
        <v>45698</v>
      </c>
      <c r="E244" s="1" t="s">
        <v>67</v>
      </c>
      <c r="F244" s="1">
        <v>22102</v>
      </c>
      <c r="G244" s="1" t="s">
        <v>68</v>
      </c>
      <c r="H244" s="1" t="s">
        <v>18</v>
      </c>
      <c r="J244" s="1" t="s">
        <v>94</v>
      </c>
      <c r="K244" s="1" t="str">
        <f>VLOOKUP(J244,'[1]Base SCA 02 2026'!V:X,3,0)</f>
        <v>PAULO BONIFÁCIO</v>
      </c>
      <c r="L244" s="1" t="str">
        <f>VLOOKUP(J244,'[1]Base SCA 02 2026'!V:Y,4,0)</f>
        <v xml:space="preserve">JOÃO KOMURA </v>
      </c>
      <c r="M244" s="1" t="str">
        <f>VLOOKUP(J244,'[1]Base SCA 02 2026'!V:Z,5,0)</f>
        <v>LUAN ABADIA</v>
      </c>
      <c r="N244" s="1" t="str">
        <f t="shared" si="3"/>
        <v>LUAN ABADIA</v>
      </c>
    </row>
    <row r="245" spans="1:14" x14ac:dyDescent="0.3">
      <c r="A245" s="1">
        <v>705371</v>
      </c>
      <c r="B245" s="1" t="s">
        <v>1219</v>
      </c>
      <c r="C245" s="5" t="s">
        <v>15</v>
      </c>
      <c r="D245" s="2">
        <v>45784</v>
      </c>
      <c r="E245" s="1" t="s">
        <v>93</v>
      </c>
      <c r="F245" s="1">
        <v>22102</v>
      </c>
      <c r="G245" s="1" t="s">
        <v>68</v>
      </c>
      <c r="H245" s="1" t="s">
        <v>18</v>
      </c>
      <c r="J245" s="1" t="s">
        <v>81</v>
      </c>
      <c r="K245" s="1" t="str">
        <f>VLOOKUP(J245,'[1]Base SCA 02 2026'!V:X,3,0)</f>
        <v>PAULO BONIFÁCIO</v>
      </c>
      <c r="L245" s="1" t="str">
        <f>VLOOKUP(J245,'[1]Base SCA 02 2026'!V:Y,4,0)</f>
        <v>MAURICIO SANTOS</v>
      </c>
      <c r="M245" s="1" t="str">
        <f>VLOOKUP(J245,'[1]Base SCA 02 2026'!V:Z,5,0)</f>
        <v xml:space="preserve">EDSON/MARCELO LIMA </v>
      </c>
      <c r="N245" s="1" t="str">
        <f t="shared" si="3"/>
        <v xml:space="preserve">EDSON/MARCELO LIMA </v>
      </c>
    </row>
    <row r="246" spans="1:14" x14ac:dyDescent="0.3">
      <c r="A246" s="1">
        <v>704184</v>
      </c>
      <c r="B246" s="1" t="s">
        <v>310</v>
      </c>
      <c r="C246" s="5" t="s">
        <v>15</v>
      </c>
      <c r="D246" s="2">
        <v>45300</v>
      </c>
      <c r="E246" s="1" t="s">
        <v>97</v>
      </c>
      <c r="F246" s="1">
        <v>32101</v>
      </c>
      <c r="G246" s="1" t="s">
        <v>23</v>
      </c>
      <c r="H246" s="1" t="s">
        <v>18</v>
      </c>
      <c r="J246" s="1" t="s">
        <v>24</v>
      </c>
      <c r="K246" s="1" t="str">
        <f>VLOOKUP(J246,'[1]Base SCA 02 2026'!V:X,3,0)</f>
        <v>RAFAEL XAVIER</v>
      </c>
      <c r="L246" s="1" t="str">
        <f>VLOOKUP(J246,'[1]Base SCA 02 2026'!V:Y,4,0)</f>
        <v>FERNANDO GUILHERME</v>
      </c>
      <c r="M246" s="1" t="str">
        <f>VLOOKUP(J246,'[1]Base SCA 02 2026'!V:Z,5,0)</f>
        <v>JUNIO COSTA</v>
      </c>
      <c r="N246" s="1" t="str">
        <f t="shared" si="3"/>
        <v>JUNIO COSTA</v>
      </c>
    </row>
    <row r="247" spans="1:14" x14ac:dyDescent="0.3">
      <c r="A247" s="1">
        <v>705697</v>
      </c>
      <c r="B247" s="1" t="s">
        <v>1450</v>
      </c>
      <c r="C247" s="5" t="s">
        <v>15</v>
      </c>
      <c r="D247" s="2">
        <v>45971</v>
      </c>
      <c r="E247" s="1" t="s">
        <v>166</v>
      </c>
      <c r="F247" s="1">
        <v>22102</v>
      </c>
      <c r="G247" s="1" t="s">
        <v>68</v>
      </c>
      <c r="H247" s="1" t="s">
        <v>18</v>
      </c>
      <c r="J247" s="1" t="s">
        <v>94</v>
      </c>
      <c r="K247" s="1" t="str">
        <f>VLOOKUP(J247,'[1]Base SCA 02 2026'!V:X,3,0)</f>
        <v>PAULO BONIFÁCIO</v>
      </c>
      <c r="L247" s="1" t="str">
        <f>VLOOKUP(J247,'[1]Base SCA 02 2026'!V:Y,4,0)</f>
        <v xml:space="preserve">JOÃO KOMURA </v>
      </c>
      <c r="M247" s="1" t="str">
        <f>VLOOKUP(J247,'[1]Base SCA 02 2026'!V:Z,5,0)</f>
        <v>LUAN ABADIA</v>
      </c>
      <c r="N247" s="1" t="str">
        <f t="shared" si="3"/>
        <v>LUAN ABADIA</v>
      </c>
    </row>
    <row r="248" spans="1:14" x14ac:dyDescent="0.3">
      <c r="A248" s="1">
        <v>704573</v>
      </c>
      <c r="B248" s="1" t="s">
        <v>311</v>
      </c>
      <c r="C248" s="5" t="s">
        <v>15</v>
      </c>
      <c r="D248" s="2">
        <v>45448</v>
      </c>
      <c r="E248" s="1" t="s">
        <v>31</v>
      </c>
      <c r="F248" s="1">
        <v>25201</v>
      </c>
      <c r="G248" s="1" t="s">
        <v>89</v>
      </c>
      <c r="H248" s="1" t="s">
        <v>18</v>
      </c>
      <c r="J248" s="1" t="s">
        <v>19</v>
      </c>
      <c r="K248" s="1" t="str">
        <f>VLOOKUP(J248,'[1]Base SCA 02 2026'!V:X,3,0)</f>
        <v>JOSÉ GOUVEA</v>
      </c>
      <c r="L248" s="1" t="str">
        <f>VLOOKUP(J248,'[1]Base SCA 02 2026'!V:Y,4,0)</f>
        <v>ALEX DIAS</v>
      </c>
      <c r="N248" s="1" t="str">
        <f t="shared" si="3"/>
        <v>ALEX DIAS</v>
      </c>
    </row>
    <row r="249" spans="1:14" x14ac:dyDescent="0.3">
      <c r="A249" s="1">
        <v>702869</v>
      </c>
      <c r="B249" s="1" t="s">
        <v>312</v>
      </c>
      <c r="C249" s="5" t="s">
        <v>15</v>
      </c>
      <c r="D249" s="2">
        <v>44628</v>
      </c>
      <c r="E249" s="1" t="s">
        <v>138</v>
      </c>
      <c r="F249" s="1">
        <v>22102</v>
      </c>
      <c r="G249" s="1" t="s">
        <v>68</v>
      </c>
      <c r="H249" s="1" t="s">
        <v>18</v>
      </c>
      <c r="J249" s="1" t="s">
        <v>81</v>
      </c>
      <c r="K249" s="1" t="str">
        <f>VLOOKUP(J249,'[1]Base SCA 02 2026'!V:X,3,0)</f>
        <v>PAULO BONIFÁCIO</v>
      </c>
      <c r="L249" s="1" t="str">
        <f>VLOOKUP(J249,'[1]Base SCA 02 2026'!V:Y,4,0)</f>
        <v>MAURICIO SANTOS</v>
      </c>
      <c r="M249" s="1" t="str">
        <f>VLOOKUP(J249,'[1]Base SCA 02 2026'!V:Z,5,0)</f>
        <v xml:space="preserve">EDSON/MARCELO LIMA </v>
      </c>
      <c r="N249" s="1" t="str">
        <f t="shared" si="3"/>
        <v xml:space="preserve">EDSON/MARCELO LIMA </v>
      </c>
    </row>
    <row r="250" spans="1:14" x14ac:dyDescent="0.3">
      <c r="A250" s="1">
        <v>705010</v>
      </c>
      <c r="B250" s="1" t="s">
        <v>314</v>
      </c>
      <c r="C250" s="5" t="s">
        <v>15</v>
      </c>
      <c r="D250" s="2">
        <v>45629</v>
      </c>
      <c r="E250" s="1" t="s">
        <v>31</v>
      </c>
      <c r="F250" s="1">
        <v>52104</v>
      </c>
      <c r="G250" s="1" t="s">
        <v>17</v>
      </c>
      <c r="H250" s="1" t="s">
        <v>18</v>
      </c>
      <c r="J250" s="1" t="s">
        <v>19</v>
      </c>
      <c r="K250" s="1" t="str">
        <f>VLOOKUP(J250,'[1]Base SCA 02 2026'!V:X,3,0)</f>
        <v>JOSÉ GOUVEA</v>
      </c>
      <c r="L250" s="1" t="str">
        <f>VLOOKUP(J250,'[1]Base SCA 02 2026'!V:Y,4,0)</f>
        <v>ALEX DIAS</v>
      </c>
      <c r="N250" s="1" t="str">
        <f t="shared" si="3"/>
        <v>ALEX DIAS</v>
      </c>
    </row>
    <row r="251" spans="1:14" x14ac:dyDescent="0.3">
      <c r="A251" s="1">
        <v>703418</v>
      </c>
      <c r="B251" s="1" t="s">
        <v>45</v>
      </c>
      <c r="C251" s="5" t="s">
        <v>15</v>
      </c>
      <c r="D251" s="2">
        <v>44873</v>
      </c>
      <c r="E251" s="1" t="s">
        <v>1220</v>
      </c>
      <c r="F251" s="1">
        <v>33101</v>
      </c>
      <c r="G251" s="1" t="s">
        <v>186</v>
      </c>
      <c r="H251" s="1" t="s">
        <v>18</v>
      </c>
      <c r="J251" s="1" t="s">
        <v>1278</v>
      </c>
      <c r="K251" s="1" t="str">
        <f>VLOOKUP(J251,'[1]Base SCA 02 2026'!V:X,3,0)</f>
        <v>RAFAEL XAVIER</v>
      </c>
      <c r="N251" s="1" t="str">
        <f t="shared" si="3"/>
        <v>RAFAEL XAVIER</v>
      </c>
    </row>
    <row r="252" spans="1:14" x14ac:dyDescent="0.3">
      <c r="A252" s="1">
        <v>703468</v>
      </c>
      <c r="B252" s="1" t="s">
        <v>866</v>
      </c>
      <c r="C252" s="5" t="s">
        <v>92</v>
      </c>
      <c r="D252" s="2">
        <v>44881</v>
      </c>
      <c r="E252" s="1" t="s">
        <v>433</v>
      </c>
      <c r="F252" s="1">
        <v>38107</v>
      </c>
      <c r="G252" s="1" t="s">
        <v>1503</v>
      </c>
      <c r="H252" s="1" t="s">
        <v>18</v>
      </c>
      <c r="I252" s="2">
        <v>46058</v>
      </c>
      <c r="J252" s="1" t="s">
        <v>78</v>
      </c>
      <c r="K252" s="1" t="str">
        <f>VLOOKUP(J252,'[1]Base SCA 02 2026'!V:X,3,0)</f>
        <v xml:space="preserve">LEIDJANE MARTINS </v>
      </c>
      <c r="L252" s="1" t="str">
        <f>VLOOKUP(J252,'[1]Base SCA 02 2026'!V:Y,4,0)</f>
        <v xml:space="preserve">LEIDJANE MARTINS </v>
      </c>
      <c r="N252" s="1" t="str">
        <f t="shared" si="3"/>
        <v xml:space="preserve">LEIDJANE MARTINS </v>
      </c>
    </row>
    <row r="253" spans="1:14" x14ac:dyDescent="0.3">
      <c r="A253" s="1">
        <v>705811</v>
      </c>
      <c r="B253" s="1" t="s">
        <v>1521</v>
      </c>
      <c r="C253" s="5" t="s">
        <v>15</v>
      </c>
      <c r="D253" s="2">
        <v>46035</v>
      </c>
      <c r="E253" s="1" t="s">
        <v>31</v>
      </c>
      <c r="F253" s="1">
        <v>52104</v>
      </c>
      <c r="G253" s="1" t="s">
        <v>17</v>
      </c>
      <c r="H253" s="1" t="s">
        <v>18</v>
      </c>
      <c r="J253" s="1" t="s">
        <v>19</v>
      </c>
      <c r="K253" s="1" t="str">
        <f>VLOOKUP(J253,'[1]Base SCA 02 2026'!V:X,3,0)</f>
        <v>JOSÉ GOUVEA</v>
      </c>
      <c r="L253" s="1" t="str">
        <f>VLOOKUP(J253,'[1]Base SCA 02 2026'!V:Y,4,0)</f>
        <v>ALEX DIAS</v>
      </c>
      <c r="N253" s="1" t="str">
        <f t="shared" si="3"/>
        <v>ALEX DIAS</v>
      </c>
    </row>
    <row r="254" spans="1:14" x14ac:dyDescent="0.3">
      <c r="A254" s="1">
        <v>702701</v>
      </c>
      <c r="B254" s="1" t="s">
        <v>316</v>
      </c>
      <c r="C254" s="5" t="s">
        <v>15</v>
      </c>
      <c r="D254" s="2">
        <v>44572</v>
      </c>
      <c r="E254" s="1" t="s">
        <v>97</v>
      </c>
      <c r="F254" s="1">
        <v>32101</v>
      </c>
      <c r="G254" s="1" t="s">
        <v>23</v>
      </c>
      <c r="H254" s="1" t="s">
        <v>18</v>
      </c>
      <c r="J254" s="1" t="s">
        <v>24</v>
      </c>
      <c r="K254" s="1" t="str">
        <f>VLOOKUP(J254,'[1]Base SCA 02 2026'!V:X,3,0)</f>
        <v>RAFAEL XAVIER</v>
      </c>
      <c r="L254" s="1" t="str">
        <f>VLOOKUP(J254,'[1]Base SCA 02 2026'!V:Y,4,0)</f>
        <v>FERNANDO GUILHERME</v>
      </c>
      <c r="M254" s="1" t="str">
        <f>VLOOKUP(J254,'[1]Base SCA 02 2026'!V:Z,5,0)</f>
        <v>JUNIO COSTA</v>
      </c>
      <c r="N254" s="1" t="str">
        <f t="shared" si="3"/>
        <v>JUNIO COSTA</v>
      </c>
    </row>
    <row r="255" spans="1:14" x14ac:dyDescent="0.3">
      <c r="A255" s="1">
        <v>704837</v>
      </c>
      <c r="B255" s="1" t="s">
        <v>317</v>
      </c>
      <c r="C255" s="5" t="s">
        <v>15</v>
      </c>
      <c r="D255" s="2">
        <v>45566</v>
      </c>
      <c r="E255" s="1" t="s">
        <v>27</v>
      </c>
      <c r="F255" s="1">
        <v>39304</v>
      </c>
      <c r="G255" s="1" t="s">
        <v>56</v>
      </c>
      <c r="H255" s="1" t="s">
        <v>18</v>
      </c>
      <c r="J255" s="1" t="s">
        <v>57</v>
      </c>
      <c r="K255" s="1" t="str">
        <f>VLOOKUP(J255,'[1]Base SCA 02 2026'!V:X,3,0)</f>
        <v>PAULO BONIFÁCIO</v>
      </c>
      <c r="L255" s="1" t="str">
        <f>VLOOKUP(J255,'[1]Base SCA 02 2026'!V:Y,4,0)</f>
        <v>ALDAIR BORGES</v>
      </c>
      <c r="M255" s="1" t="str">
        <f>VLOOKUP(J255,'[1]Base SCA 02 2026'!V:Z,5,0)</f>
        <v>WARLEY RIBEIRO</v>
      </c>
      <c r="N255" s="1" t="str">
        <f t="shared" si="3"/>
        <v>WARLEY RIBEIRO</v>
      </c>
    </row>
    <row r="256" spans="1:14" x14ac:dyDescent="0.3">
      <c r="A256" s="1">
        <v>702563</v>
      </c>
      <c r="B256" s="1" t="s">
        <v>318</v>
      </c>
      <c r="C256" s="5" t="s">
        <v>15</v>
      </c>
      <c r="D256" s="2">
        <v>44459</v>
      </c>
      <c r="E256" s="1" t="s">
        <v>60</v>
      </c>
      <c r="F256" s="1">
        <v>22102</v>
      </c>
      <c r="G256" s="1" t="s">
        <v>68</v>
      </c>
      <c r="H256" s="1" t="s">
        <v>18</v>
      </c>
      <c r="J256" s="1" t="s">
        <v>81</v>
      </c>
      <c r="K256" s="1" t="str">
        <f>VLOOKUP(J256,'[1]Base SCA 02 2026'!V:X,3,0)</f>
        <v>PAULO BONIFÁCIO</v>
      </c>
      <c r="L256" s="1" t="str">
        <f>VLOOKUP(J256,'[1]Base SCA 02 2026'!V:Y,4,0)</f>
        <v>MAURICIO SANTOS</v>
      </c>
      <c r="M256" s="1" t="str">
        <f>VLOOKUP(J256,'[1]Base SCA 02 2026'!V:Z,5,0)</f>
        <v xml:space="preserve">EDSON/MARCELO LIMA </v>
      </c>
      <c r="N256" s="1" t="str">
        <f t="shared" si="3"/>
        <v xml:space="preserve">EDSON/MARCELO LIMA </v>
      </c>
    </row>
    <row r="257" spans="1:14" x14ac:dyDescent="0.3">
      <c r="A257" s="1">
        <v>105433</v>
      </c>
      <c r="B257" s="1" t="s">
        <v>319</v>
      </c>
      <c r="C257" s="5" t="s">
        <v>15</v>
      </c>
      <c r="D257" s="2">
        <v>42863</v>
      </c>
      <c r="E257" s="1" t="s">
        <v>179</v>
      </c>
      <c r="F257" s="1">
        <v>32101</v>
      </c>
      <c r="G257" s="1" t="s">
        <v>23</v>
      </c>
      <c r="H257" s="1" t="s">
        <v>18</v>
      </c>
      <c r="J257" s="1" t="s">
        <v>24</v>
      </c>
      <c r="K257" s="1" t="str">
        <f>VLOOKUP(J257,'[1]Base SCA 02 2026'!V:X,3,0)</f>
        <v>RAFAEL XAVIER</v>
      </c>
      <c r="L257" s="1" t="str">
        <f>VLOOKUP(J257,'[1]Base SCA 02 2026'!V:Y,4,0)</f>
        <v>FERNANDO GUILHERME</v>
      </c>
      <c r="M257" s="1" t="str">
        <f>VLOOKUP(J257,'[1]Base SCA 02 2026'!V:Z,5,0)</f>
        <v>JUNIO COSTA</v>
      </c>
      <c r="N257" s="1" t="str">
        <f t="shared" si="3"/>
        <v>JUNIO COSTA</v>
      </c>
    </row>
    <row r="258" spans="1:14" x14ac:dyDescent="0.3">
      <c r="A258" s="1">
        <v>703240</v>
      </c>
      <c r="B258" s="1" t="s">
        <v>320</v>
      </c>
      <c r="C258" s="5" t="s">
        <v>15</v>
      </c>
      <c r="D258" s="2">
        <v>44760</v>
      </c>
      <c r="E258" s="1" t="s">
        <v>1221</v>
      </c>
      <c r="F258" s="1">
        <v>34201</v>
      </c>
      <c r="G258" s="1" t="s">
        <v>84</v>
      </c>
      <c r="H258" s="1" t="s">
        <v>18</v>
      </c>
      <c r="J258" s="1" t="s">
        <v>85</v>
      </c>
      <c r="K258" s="1" t="str">
        <f>VLOOKUP(J258,'[1]Base SCA 02 2026'!V:X,3,0)</f>
        <v>PAULO BONIFÁCIO</v>
      </c>
      <c r="L258" s="1" t="str">
        <f>VLOOKUP(J258,'[1]Base SCA 02 2026'!V:Y,4,0)</f>
        <v>PAULO BONIFÁCIO</v>
      </c>
      <c r="M258" s="1" t="str">
        <f>VLOOKUP(J258,'[1]Base SCA 02 2026'!V:Z,5,0)</f>
        <v xml:space="preserve">LEONARDO SANTOS </v>
      </c>
      <c r="N258" s="1" t="str">
        <f t="shared" si="3"/>
        <v xml:space="preserve">LEONARDO SANTOS </v>
      </c>
    </row>
    <row r="259" spans="1:14" x14ac:dyDescent="0.3">
      <c r="A259" s="1">
        <v>701224</v>
      </c>
      <c r="B259" s="1" t="s">
        <v>321</v>
      </c>
      <c r="C259" s="5" t="s">
        <v>15</v>
      </c>
      <c r="D259" s="2">
        <v>42506</v>
      </c>
      <c r="E259" s="1" t="s">
        <v>160</v>
      </c>
      <c r="F259" s="1">
        <v>32101</v>
      </c>
      <c r="G259" s="1" t="s">
        <v>23</v>
      </c>
      <c r="H259" s="1" t="s">
        <v>18</v>
      </c>
      <c r="J259" s="1" t="s">
        <v>24</v>
      </c>
      <c r="K259" s="1" t="str">
        <f>VLOOKUP(J259,'[1]Base SCA 02 2026'!V:X,3,0)</f>
        <v>RAFAEL XAVIER</v>
      </c>
      <c r="L259" s="1" t="str">
        <f>VLOOKUP(J259,'[1]Base SCA 02 2026'!V:Y,4,0)</f>
        <v>FERNANDO GUILHERME</v>
      </c>
      <c r="M259" s="1" t="str">
        <f>VLOOKUP(J259,'[1]Base SCA 02 2026'!V:Z,5,0)</f>
        <v>JUNIO COSTA</v>
      </c>
      <c r="N259" s="1" t="str">
        <f t="shared" ref="N259:N322" si="4">IF(M259&lt;&gt;"", M259, IF(L259&lt;&gt;"", L259, K259))</f>
        <v>JUNIO COSTA</v>
      </c>
    </row>
    <row r="260" spans="1:14" x14ac:dyDescent="0.3">
      <c r="A260" s="1">
        <v>702712</v>
      </c>
      <c r="B260" s="1" t="s">
        <v>322</v>
      </c>
      <c r="C260" s="5" t="s">
        <v>15</v>
      </c>
      <c r="D260" s="2">
        <v>44586</v>
      </c>
      <c r="E260" s="1" t="s">
        <v>323</v>
      </c>
      <c r="F260" s="1">
        <v>14101</v>
      </c>
      <c r="G260" s="1" t="s">
        <v>277</v>
      </c>
      <c r="H260" s="1" t="s">
        <v>18</v>
      </c>
      <c r="J260" s="1" t="s">
        <v>278</v>
      </c>
      <c r="K260" s="1" t="str">
        <f>VLOOKUP(J260,'[1]Base SCA 02 2026'!V:X,3,0)</f>
        <v xml:space="preserve">LEIDJANE MARTINS </v>
      </c>
      <c r="L260" s="1" t="str">
        <f>VLOOKUP(J260,'[1]Base SCA 02 2026'!V:Y,4,0)</f>
        <v xml:space="preserve">LEIDJANE MARTINS </v>
      </c>
      <c r="N260" s="1" t="str">
        <f t="shared" si="4"/>
        <v xml:space="preserve">LEIDJANE MARTINS </v>
      </c>
    </row>
    <row r="261" spans="1:14" x14ac:dyDescent="0.3">
      <c r="A261" s="1">
        <v>101069</v>
      </c>
      <c r="B261" s="1" t="s">
        <v>324</v>
      </c>
      <c r="C261" s="5" t="s">
        <v>15</v>
      </c>
      <c r="D261" s="2">
        <v>42663</v>
      </c>
      <c r="E261" s="1" t="s">
        <v>80</v>
      </c>
      <c r="F261" s="1">
        <v>38101</v>
      </c>
      <c r="G261" s="1" t="s">
        <v>35</v>
      </c>
      <c r="H261" s="1" t="s">
        <v>18</v>
      </c>
      <c r="J261" s="1" t="s">
        <v>36</v>
      </c>
      <c r="K261" s="1" t="str">
        <f>VLOOKUP(J261,'[1]Base SCA 02 2026'!V:X,3,0)</f>
        <v xml:space="preserve">LEIDJANE MARTINS </v>
      </c>
      <c r="L261" s="1" t="str">
        <f>VLOOKUP(J261,'[1]Base SCA 02 2026'!V:Y,4,0)</f>
        <v xml:space="preserve">LEIDJANE MARTINS </v>
      </c>
      <c r="M261" s="1" t="str">
        <f>VLOOKUP(J261,'[1]Base SCA 02 2026'!V:Z,5,0)</f>
        <v>DENIS ACASSIO</v>
      </c>
      <c r="N261" s="1" t="str">
        <f t="shared" si="4"/>
        <v>DENIS ACASSIO</v>
      </c>
    </row>
    <row r="262" spans="1:14" x14ac:dyDescent="0.3">
      <c r="A262" s="1">
        <v>705252</v>
      </c>
      <c r="B262" s="1" t="s">
        <v>1180</v>
      </c>
      <c r="C262" s="5" t="s">
        <v>15</v>
      </c>
      <c r="D262" s="2">
        <v>45762</v>
      </c>
      <c r="E262" s="1" t="s">
        <v>31</v>
      </c>
      <c r="F262" s="1">
        <v>39301</v>
      </c>
      <c r="G262" s="1" t="s">
        <v>73</v>
      </c>
      <c r="H262" s="1" t="s">
        <v>18</v>
      </c>
      <c r="J262" s="1" t="s">
        <v>74</v>
      </c>
      <c r="K262" s="1" t="str">
        <f>VLOOKUP(J262,'[1]Base SCA 02 2026'!V:X,3,0)</f>
        <v>PAULO BONIFÁCIO</v>
      </c>
      <c r="L262" s="1" t="str">
        <f>VLOOKUP(J262,'[1]Base SCA 02 2026'!V:Y,4,0)</f>
        <v>ALDAIR BORGES</v>
      </c>
      <c r="M262" s="1" t="str">
        <f>VLOOKUP(J262,'[1]Base SCA 02 2026'!V:Z,5,0)</f>
        <v>ISAC NONATO</v>
      </c>
      <c r="N262" s="1" t="str">
        <f t="shared" si="4"/>
        <v>ISAC NONATO</v>
      </c>
    </row>
    <row r="263" spans="1:14" x14ac:dyDescent="0.3">
      <c r="A263" s="1">
        <v>702981</v>
      </c>
      <c r="B263" s="1" t="s">
        <v>325</v>
      </c>
      <c r="C263" s="5" t="s">
        <v>15</v>
      </c>
      <c r="D263" s="2">
        <v>44684</v>
      </c>
      <c r="E263" s="1" t="s">
        <v>326</v>
      </c>
      <c r="F263" s="1">
        <v>32101</v>
      </c>
      <c r="G263" s="1" t="s">
        <v>23</v>
      </c>
      <c r="H263" s="1" t="s">
        <v>18</v>
      </c>
      <c r="J263" s="1" t="s">
        <v>24</v>
      </c>
      <c r="K263" s="1" t="str">
        <f>VLOOKUP(J263,'[1]Base SCA 02 2026'!V:X,3,0)</f>
        <v>RAFAEL XAVIER</v>
      </c>
      <c r="L263" s="1" t="str">
        <f>VLOOKUP(J263,'[1]Base SCA 02 2026'!V:Y,4,0)</f>
        <v>FERNANDO GUILHERME</v>
      </c>
      <c r="M263" s="1" t="str">
        <f>VLOOKUP(J263,'[1]Base SCA 02 2026'!V:Z,5,0)</f>
        <v>JUNIO COSTA</v>
      </c>
      <c r="N263" s="1" t="str">
        <f t="shared" si="4"/>
        <v>JUNIO COSTA</v>
      </c>
    </row>
    <row r="264" spans="1:14" x14ac:dyDescent="0.3">
      <c r="A264" s="1">
        <v>705780</v>
      </c>
      <c r="B264" s="1" t="s">
        <v>1483</v>
      </c>
      <c r="C264" s="5" t="s">
        <v>15</v>
      </c>
      <c r="D264" s="2">
        <v>45993</v>
      </c>
      <c r="E264" s="1" t="s">
        <v>31</v>
      </c>
      <c r="F264" s="1">
        <v>52104</v>
      </c>
      <c r="G264" s="1" t="s">
        <v>17</v>
      </c>
      <c r="H264" s="1" t="s">
        <v>18</v>
      </c>
      <c r="J264" s="1" t="s">
        <v>19</v>
      </c>
      <c r="K264" s="1" t="str">
        <f>VLOOKUP(J264,'[1]Base SCA 02 2026'!V:X,3,0)</f>
        <v>JOSÉ GOUVEA</v>
      </c>
      <c r="L264" s="1" t="str">
        <f>VLOOKUP(J264,'[1]Base SCA 02 2026'!V:Y,4,0)</f>
        <v>ALEX DIAS</v>
      </c>
      <c r="N264" s="1" t="str">
        <f t="shared" si="4"/>
        <v>ALEX DIAS</v>
      </c>
    </row>
    <row r="265" spans="1:14" x14ac:dyDescent="0.3">
      <c r="A265" s="1">
        <v>705628</v>
      </c>
      <c r="B265" s="1" t="s">
        <v>1404</v>
      </c>
      <c r="C265" s="5" t="s">
        <v>15</v>
      </c>
      <c r="D265" s="2">
        <v>45937</v>
      </c>
      <c r="E265" s="1" t="s">
        <v>31</v>
      </c>
      <c r="F265" s="1">
        <v>25201</v>
      </c>
      <c r="G265" s="1" t="s">
        <v>89</v>
      </c>
      <c r="H265" s="1" t="s">
        <v>18</v>
      </c>
      <c r="J265" s="1" t="s">
        <v>19</v>
      </c>
      <c r="K265" s="1" t="str">
        <f>VLOOKUP(J265,'[1]Base SCA 02 2026'!V:X,3,0)</f>
        <v>JOSÉ GOUVEA</v>
      </c>
      <c r="L265" s="1" t="str">
        <f>VLOOKUP(J265,'[1]Base SCA 02 2026'!V:Y,4,0)</f>
        <v>ALEX DIAS</v>
      </c>
      <c r="N265" s="1" t="str">
        <f t="shared" si="4"/>
        <v>ALEX DIAS</v>
      </c>
    </row>
    <row r="266" spans="1:14" x14ac:dyDescent="0.3">
      <c r="A266" s="1">
        <v>705630</v>
      </c>
      <c r="B266" s="1" t="s">
        <v>1405</v>
      </c>
      <c r="C266" s="5" t="s">
        <v>15</v>
      </c>
      <c r="D266" s="2">
        <v>45937</v>
      </c>
      <c r="E266" s="1" t="s">
        <v>31</v>
      </c>
      <c r="F266" s="1">
        <v>25201</v>
      </c>
      <c r="G266" s="1" t="s">
        <v>89</v>
      </c>
      <c r="H266" s="1" t="s">
        <v>18</v>
      </c>
      <c r="J266" s="1" t="s">
        <v>19</v>
      </c>
      <c r="K266" s="1" t="str">
        <f>VLOOKUP(J266,'[1]Base SCA 02 2026'!V:X,3,0)</f>
        <v>JOSÉ GOUVEA</v>
      </c>
      <c r="L266" s="1" t="str">
        <f>VLOOKUP(J266,'[1]Base SCA 02 2026'!V:Y,4,0)</f>
        <v>ALEX DIAS</v>
      </c>
      <c r="N266" s="1" t="str">
        <f t="shared" si="4"/>
        <v>ALEX DIAS</v>
      </c>
    </row>
    <row r="267" spans="1:14" x14ac:dyDescent="0.3">
      <c r="A267" s="1">
        <v>702338</v>
      </c>
      <c r="B267" s="1" t="s">
        <v>327</v>
      </c>
      <c r="C267" s="5" t="s">
        <v>15</v>
      </c>
      <c r="D267" s="2">
        <v>44362</v>
      </c>
      <c r="E267" s="1" t="s">
        <v>219</v>
      </c>
      <c r="F267" s="1">
        <v>32101</v>
      </c>
      <c r="G267" s="1" t="s">
        <v>23</v>
      </c>
      <c r="H267" s="1" t="s">
        <v>18</v>
      </c>
      <c r="J267" s="1" t="s">
        <v>24</v>
      </c>
      <c r="K267" s="1" t="str">
        <f>VLOOKUP(J267,'[1]Base SCA 02 2026'!V:X,3,0)</f>
        <v>RAFAEL XAVIER</v>
      </c>
      <c r="L267" s="1" t="str">
        <f>VLOOKUP(J267,'[1]Base SCA 02 2026'!V:Y,4,0)</f>
        <v>FERNANDO GUILHERME</v>
      </c>
      <c r="M267" s="1" t="str">
        <f>VLOOKUP(J267,'[1]Base SCA 02 2026'!V:Z,5,0)</f>
        <v>JUNIO COSTA</v>
      </c>
      <c r="N267" s="1" t="str">
        <f t="shared" si="4"/>
        <v>JUNIO COSTA</v>
      </c>
    </row>
    <row r="268" spans="1:14" x14ac:dyDescent="0.3">
      <c r="A268" s="1">
        <v>705203</v>
      </c>
      <c r="B268" s="1" t="s">
        <v>1160</v>
      </c>
      <c r="C268" s="5" t="s">
        <v>15</v>
      </c>
      <c r="D268" s="2">
        <v>45726</v>
      </c>
      <c r="E268" s="1" t="s">
        <v>31</v>
      </c>
      <c r="F268" s="1">
        <v>34201</v>
      </c>
      <c r="G268" s="1" t="s">
        <v>84</v>
      </c>
      <c r="H268" s="1" t="s">
        <v>18</v>
      </c>
      <c r="J268" s="1" t="s">
        <v>85</v>
      </c>
      <c r="K268" s="1" t="str">
        <f>VLOOKUP(J268,'[1]Base SCA 02 2026'!V:X,3,0)</f>
        <v>PAULO BONIFÁCIO</v>
      </c>
      <c r="L268" s="1" t="str">
        <f>VLOOKUP(J268,'[1]Base SCA 02 2026'!V:Y,4,0)</f>
        <v>PAULO BONIFÁCIO</v>
      </c>
      <c r="M268" s="1" t="str">
        <f>VLOOKUP(J268,'[1]Base SCA 02 2026'!V:Z,5,0)</f>
        <v xml:space="preserve">LEONARDO SANTOS </v>
      </c>
      <c r="N268" s="1" t="str">
        <f t="shared" si="4"/>
        <v xml:space="preserve">LEONARDO SANTOS </v>
      </c>
    </row>
    <row r="269" spans="1:14" x14ac:dyDescent="0.3">
      <c r="A269" s="1">
        <v>705514</v>
      </c>
      <c r="B269" s="1" t="s">
        <v>1297</v>
      </c>
      <c r="C269" s="5" t="s">
        <v>15</v>
      </c>
      <c r="D269" s="2">
        <v>45847</v>
      </c>
      <c r="E269" s="1" t="s">
        <v>91</v>
      </c>
      <c r="F269" s="1">
        <v>34201</v>
      </c>
      <c r="G269" s="1" t="s">
        <v>84</v>
      </c>
      <c r="H269" s="1" t="s">
        <v>18</v>
      </c>
      <c r="J269" s="1" t="s">
        <v>85</v>
      </c>
      <c r="K269" s="1" t="str">
        <f>VLOOKUP(J269,'[1]Base SCA 02 2026'!V:X,3,0)</f>
        <v>PAULO BONIFÁCIO</v>
      </c>
      <c r="L269" s="1" t="str">
        <f>VLOOKUP(J269,'[1]Base SCA 02 2026'!V:Y,4,0)</f>
        <v>PAULO BONIFÁCIO</v>
      </c>
      <c r="M269" s="1" t="str">
        <f>VLOOKUP(J269,'[1]Base SCA 02 2026'!V:Z,5,0)</f>
        <v xml:space="preserve">LEONARDO SANTOS </v>
      </c>
      <c r="N269" s="1" t="str">
        <f t="shared" si="4"/>
        <v xml:space="preserve">LEONARDO SANTOS </v>
      </c>
    </row>
    <row r="270" spans="1:14" x14ac:dyDescent="0.3">
      <c r="A270" s="1">
        <v>701698</v>
      </c>
      <c r="B270" s="1" t="s">
        <v>329</v>
      </c>
      <c r="C270" s="5" t="s">
        <v>15</v>
      </c>
      <c r="D270" s="2">
        <v>44025</v>
      </c>
      <c r="E270" s="1" t="s">
        <v>83</v>
      </c>
      <c r="F270" s="1">
        <v>34201</v>
      </c>
      <c r="G270" s="1" t="s">
        <v>84</v>
      </c>
      <c r="H270" s="1" t="s">
        <v>18</v>
      </c>
      <c r="J270" s="1" t="s">
        <v>85</v>
      </c>
      <c r="K270" s="1" t="str">
        <f>VLOOKUP(J270,'[1]Base SCA 02 2026'!V:X,3,0)</f>
        <v>PAULO BONIFÁCIO</v>
      </c>
      <c r="L270" s="1" t="str">
        <f>VLOOKUP(J270,'[1]Base SCA 02 2026'!V:Y,4,0)</f>
        <v>PAULO BONIFÁCIO</v>
      </c>
      <c r="M270" s="1" t="str">
        <f>VLOOKUP(J270,'[1]Base SCA 02 2026'!V:Z,5,0)</f>
        <v xml:space="preserve">LEONARDO SANTOS </v>
      </c>
      <c r="N270" s="1" t="str">
        <f t="shared" si="4"/>
        <v xml:space="preserve">LEONARDO SANTOS </v>
      </c>
    </row>
    <row r="271" spans="1:14" x14ac:dyDescent="0.3">
      <c r="A271" s="1">
        <v>101305</v>
      </c>
      <c r="B271" s="1" t="s">
        <v>330</v>
      </c>
      <c r="C271" s="5" t="s">
        <v>15</v>
      </c>
      <c r="D271" s="2">
        <v>42842</v>
      </c>
      <c r="E271" s="1" t="s">
        <v>105</v>
      </c>
      <c r="F271" s="1">
        <v>22102</v>
      </c>
      <c r="G271" s="1" t="s">
        <v>68</v>
      </c>
      <c r="H271" s="1" t="s">
        <v>18</v>
      </c>
      <c r="J271" s="1" t="s">
        <v>81</v>
      </c>
      <c r="K271" s="1" t="str">
        <f>VLOOKUP(J271,'[1]Base SCA 02 2026'!V:X,3,0)</f>
        <v>PAULO BONIFÁCIO</v>
      </c>
      <c r="L271" s="1" t="str">
        <f>VLOOKUP(J271,'[1]Base SCA 02 2026'!V:Y,4,0)</f>
        <v>MAURICIO SANTOS</v>
      </c>
      <c r="M271" s="1" t="str">
        <f>VLOOKUP(J271,'[1]Base SCA 02 2026'!V:Z,5,0)</f>
        <v xml:space="preserve">EDSON/MARCELO LIMA </v>
      </c>
      <c r="N271" s="1" t="str">
        <f t="shared" si="4"/>
        <v xml:space="preserve">EDSON/MARCELO LIMA </v>
      </c>
    </row>
    <row r="272" spans="1:14" x14ac:dyDescent="0.3">
      <c r="A272" s="1">
        <v>104851</v>
      </c>
      <c r="B272" s="1" t="s">
        <v>331</v>
      </c>
      <c r="C272" s="5" t="s">
        <v>15</v>
      </c>
      <c r="D272" s="2">
        <v>42345</v>
      </c>
      <c r="E272" s="1" t="s">
        <v>40</v>
      </c>
      <c r="F272" s="1">
        <v>51219</v>
      </c>
      <c r="G272" s="1" t="s">
        <v>61</v>
      </c>
      <c r="H272" s="1" t="s">
        <v>18</v>
      </c>
      <c r="J272" s="1" t="s">
        <v>37</v>
      </c>
      <c r="K272" s="1" t="str">
        <f>VLOOKUP(J272,'[1]Base SCA 02 2026'!V:X,3,0)</f>
        <v>JOSÉ GOUVEA</v>
      </c>
      <c r="L272" s="1" t="str">
        <f>VLOOKUP(J272,'[1]Base SCA 02 2026'!V:Y,4,0)</f>
        <v>ALEX DIAS</v>
      </c>
      <c r="N272" s="1" t="str">
        <f t="shared" si="4"/>
        <v>ALEX DIAS</v>
      </c>
    </row>
    <row r="273" spans="1:14" x14ac:dyDescent="0.3">
      <c r="A273" s="1">
        <v>700192</v>
      </c>
      <c r="B273" s="1" t="s">
        <v>883</v>
      </c>
      <c r="C273" s="5" t="s">
        <v>15</v>
      </c>
      <c r="D273" s="2">
        <v>43241</v>
      </c>
      <c r="E273" s="1" t="s">
        <v>60</v>
      </c>
      <c r="F273" s="1">
        <v>22102</v>
      </c>
      <c r="G273" s="1" t="s">
        <v>68</v>
      </c>
      <c r="H273" s="1" t="s">
        <v>18</v>
      </c>
      <c r="J273" s="1" t="s">
        <v>167</v>
      </c>
      <c r="K273" s="1" t="str">
        <f>VLOOKUP(J273,'[1]Base SCA 02 2026'!V:X,3,0)</f>
        <v>PAULO BONIFÁCIO</v>
      </c>
      <c r="L273" s="1" t="str">
        <f>VLOOKUP(J273,'[1]Base SCA 02 2026'!V:Y,4,0)</f>
        <v>MAURICIO SANTOS</v>
      </c>
      <c r="M273" s="1" t="str">
        <f>VLOOKUP(J273,'[1]Base SCA 02 2026'!V:Z,5,0)</f>
        <v>FABIANO</v>
      </c>
      <c r="N273" s="1" t="str">
        <f t="shared" si="4"/>
        <v>FABIANO</v>
      </c>
    </row>
    <row r="274" spans="1:14" x14ac:dyDescent="0.3">
      <c r="A274" s="1">
        <v>705518</v>
      </c>
      <c r="B274" s="1" t="s">
        <v>1337</v>
      </c>
      <c r="C274" s="5" t="s">
        <v>233</v>
      </c>
      <c r="D274" s="2">
        <v>45874</v>
      </c>
      <c r="E274" s="1" t="s">
        <v>22</v>
      </c>
      <c r="F274" s="1">
        <v>34101</v>
      </c>
      <c r="G274" s="1" t="s">
        <v>43</v>
      </c>
      <c r="H274" s="1" t="s">
        <v>18</v>
      </c>
      <c r="J274" s="1" t="s">
        <v>237</v>
      </c>
      <c r="K274" s="1" t="str">
        <f>VLOOKUP(J274,'[1]Base SCA 02 2026'!V:X,3,0)</f>
        <v>RAFAEL XAVIER</v>
      </c>
      <c r="L274" s="1" t="str">
        <f>VLOOKUP(J274,'[1]Base SCA 02 2026'!V:Y,4,0)</f>
        <v>IVONEI CAMPOS</v>
      </c>
      <c r="M274" s="1" t="str">
        <f>VLOOKUP(J274,'[1]Base SCA 02 2026'!V:Z,5,0)</f>
        <v xml:space="preserve">MARCOS VINICIUS </v>
      </c>
      <c r="N274" s="1" t="str">
        <f t="shared" si="4"/>
        <v xml:space="preserve">MARCOS VINICIUS </v>
      </c>
    </row>
    <row r="275" spans="1:14" x14ac:dyDescent="0.3">
      <c r="A275" s="1">
        <v>705381</v>
      </c>
      <c r="B275" s="1" t="s">
        <v>1222</v>
      </c>
      <c r="C275" s="5" t="s">
        <v>92</v>
      </c>
      <c r="D275" s="2">
        <v>45784</v>
      </c>
      <c r="E275" s="1" t="s">
        <v>31</v>
      </c>
      <c r="F275" s="1">
        <v>39302</v>
      </c>
      <c r="G275" s="1" t="s">
        <v>102</v>
      </c>
      <c r="H275" s="1" t="s">
        <v>18</v>
      </c>
      <c r="I275" s="2">
        <v>46058</v>
      </c>
      <c r="J275" s="1" t="s">
        <v>57</v>
      </c>
      <c r="K275" s="1" t="str">
        <f>VLOOKUP(J275,'[1]Base SCA 02 2026'!V:X,3,0)</f>
        <v>PAULO BONIFÁCIO</v>
      </c>
      <c r="L275" s="1" t="str">
        <f>VLOOKUP(J275,'[1]Base SCA 02 2026'!V:Y,4,0)</f>
        <v>ALDAIR BORGES</v>
      </c>
      <c r="M275" s="1" t="str">
        <f>VLOOKUP(J275,'[1]Base SCA 02 2026'!V:Z,5,0)</f>
        <v>WARLEY RIBEIRO</v>
      </c>
      <c r="N275" s="1" t="str">
        <f t="shared" si="4"/>
        <v>WARLEY RIBEIRO</v>
      </c>
    </row>
    <row r="276" spans="1:14" x14ac:dyDescent="0.3">
      <c r="A276" s="1">
        <v>703466</v>
      </c>
      <c r="B276" s="1" t="s">
        <v>332</v>
      </c>
      <c r="C276" s="5" t="s">
        <v>15</v>
      </c>
      <c r="D276" s="2">
        <v>44881</v>
      </c>
      <c r="E276" s="1" t="s">
        <v>1223</v>
      </c>
      <c r="F276" s="1">
        <v>33301</v>
      </c>
      <c r="G276" s="1" t="s">
        <v>64</v>
      </c>
      <c r="H276" s="1" t="s">
        <v>18</v>
      </c>
      <c r="J276" s="1" t="s">
        <v>65</v>
      </c>
      <c r="K276" s="1" t="str">
        <f>VLOOKUP(J276,'[1]Base SCA 02 2026'!V:X,3,0)</f>
        <v>RAFAEL XAVIER</v>
      </c>
      <c r="L276" s="1" t="str">
        <f>VLOOKUP(J276,'[1]Base SCA 02 2026'!V:Y,4,0)</f>
        <v>IVONEI CAMPOS</v>
      </c>
      <c r="M276" s="1" t="str">
        <f>VLOOKUP(J276,'[1]Base SCA 02 2026'!V:Z,5,0)</f>
        <v>ANDRÉ CUBA</v>
      </c>
      <c r="N276" s="1" t="str">
        <f t="shared" si="4"/>
        <v>ANDRÉ CUBA</v>
      </c>
    </row>
    <row r="277" spans="1:14" x14ac:dyDescent="0.3">
      <c r="A277" s="1">
        <v>705598</v>
      </c>
      <c r="B277" s="1" t="s">
        <v>1316</v>
      </c>
      <c r="C277" s="5" t="s">
        <v>15</v>
      </c>
      <c r="D277" s="2">
        <v>45888</v>
      </c>
      <c r="E277" s="1" t="s">
        <v>31</v>
      </c>
      <c r="F277" s="1">
        <v>39304</v>
      </c>
      <c r="G277" s="1" t="s">
        <v>56</v>
      </c>
      <c r="H277" s="1" t="s">
        <v>18</v>
      </c>
      <c r="J277" s="1" t="s">
        <v>57</v>
      </c>
      <c r="K277" s="1" t="str">
        <f>VLOOKUP(J277,'[1]Base SCA 02 2026'!V:X,3,0)</f>
        <v>PAULO BONIFÁCIO</v>
      </c>
      <c r="L277" s="1" t="str">
        <f>VLOOKUP(J277,'[1]Base SCA 02 2026'!V:Y,4,0)</f>
        <v>ALDAIR BORGES</v>
      </c>
      <c r="M277" s="1" t="str">
        <f>VLOOKUP(J277,'[1]Base SCA 02 2026'!V:Z,5,0)</f>
        <v>WARLEY RIBEIRO</v>
      </c>
      <c r="N277" s="1" t="str">
        <f t="shared" si="4"/>
        <v>WARLEY RIBEIRO</v>
      </c>
    </row>
    <row r="278" spans="1:14" x14ac:dyDescent="0.3">
      <c r="A278" s="1">
        <v>702122</v>
      </c>
      <c r="B278" s="1" t="s">
        <v>333</v>
      </c>
      <c r="C278" s="5" t="s">
        <v>15</v>
      </c>
      <c r="D278" s="2">
        <v>44298</v>
      </c>
      <c r="E278" s="1" t="s">
        <v>116</v>
      </c>
      <c r="F278" s="1">
        <v>34201</v>
      </c>
      <c r="G278" s="1" t="s">
        <v>84</v>
      </c>
      <c r="H278" s="1" t="s">
        <v>18</v>
      </c>
      <c r="J278" s="1" t="s">
        <v>85</v>
      </c>
      <c r="K278" s="1" t="str">
        <f>VLOOKUP(J278,'[1]Base SCA 02 2026'!V:X,3,0)</f>
        <v>PAULO BONIFÁCIO</v>
      </c>
      <c r="L278" s="1" t="str">
        <f>VLOOKUP(J278,'[1]Base SCA 02 2026'!V:Y,4,0)</f>
        <v>PAULO BONIFÁCIO</v>
      </c>
      <c r="M278" s="1" t="str">
        <f>VLOOKUP(J278,'[1]Base SCA 02 2026'!V:Z,5,0)</f>
        <v xml:space="preserve">LEONARDO SANTOS </v>
      </c>
      <c r="N278" s="1" t="str">
        <f t="shared" si="4"/>
        <v xml:space="preserve">LEONARDO SANTOS </v>
      </c>
    </row>
    <row r="279" spans="1:14" x14ac:dyDescent="0.3">
      <c r="A279" s="1">
        <v>705617</v>
      </c>
      <c r="B279" s="1" t="s">
        <v>1349</v>
      </c>
      <c r="C279" s="5" t="s">
        <v>15</v>
      </c>
      <c r="D279" s="2">
        <v>45909</v>
      </c>
      <c r="E279" s="1" t="s">
        <v>31</v>
      </c>
      <c r="F279" s="1">
        <v>52104</v>
      </c>
      <c r="G279" s="1" t="s">
        <v>17</v>
      </c>
      <c r="H279" s="1" t="s">
        <v>18</v>
      </c>
      <c r="J279" s="1" t="s">
        <v>19</v>
      </c>
      <c r="K279" s="1" t="str">
        <f>VLOOKUP(J279,'[1]Base SCA 02 2026'!V:X,3,0)</f>
        <v>JOSÉ GOUVEA</v>
      </c>
      <c r="L279" s="1" t="str">
        <f>VLOOKUP(J279,'[1]Base SCA 02 2026'!V:Y,4,0)</f>
        <v>ALEX DIAS</v>
      </c>
      <c r="N279" s="1" t="str">
        <f t="shared" si="4"/>
        <v>ALEX DIAS</v>
      </c>
    </row>
    <row r="280" spans="1:14" x14ac:dyDescent="0.3">
      <c r="A280" s="1">
        <v>100642</v>
      </c>
      <c r="B280" s="1" t="s">
        <v>334</v>
      </c>
      <c r="C280" s="5" t="s">
        <v>15</v>
      </c>
      <c r="D280" s="2">
        <v>41946</v>
      </c>
      <c r="E280" s="1" t="s">
        <v>1214</v>
      </c>
      <c r="F280" s="1">
        <v>34101</v>
      </c>
      <c r="G280" s="1" t="s">
        <v>43</v>
      </c>
      <c r="H280" s="1" t="s">
        <v>18</v>
      </c>
      <c r="J280" s="1" t="s">
        <v>65</v>
      </c>
      <c r="K280" s="1" t="str">
        <f>VLOOKUP(J280,'[1]Base SCA 02 2026'!V:X,3,0)</f>
        <v>RAFAEL XAVIER</v>
      </c>
      <c r="L280" s="1" t="str">
        <f>VLOOKUP(J280,'[1]Base SCA 02 2026'!V:Y,4,0)</f>
        <v>IVONEI CAMPOS</v>
      </c>
      <c r="M280" s="1" t="str">
        <f>VLOOKUP(J280,'[1]Base SCA 02 2026'!V:Z,5,0)</f>
        <v>ANDRÉ CUBA</v>
      </c>
      <c r="N280" s="1" t="str">
        <f t="shared" si="4"/>
        <v>ANDRÉ CUBA</v>
      </c>
    </row>
    <row r="281" spans="1:14" x14ac:dyDescent="0.3">
      <c r="A281" s="1">
        <v>705255</v>
      </c>
      <c r="B281" s="1" t="s">
        <v>1182</v>
      </c>
      <c r="C281" s="5" t="s">
        <v>15</v>
      </c>
      <c r="D281" s="2">
        <v>45762</v>
      </c>
      <c r="E281" s="1" t="s">
        <v>270</v>
      </c>
      <c r="F281" s="1">
        <v>39302</v>
      </c>
      <c r="G281" s="1" t="s">
        <v>102</v>
      </c>
      <c r="H281" s="1" t="s">
        <v>18</v>
      </c>
      <c r="J281" s="1" t="s">
        <v>57</v>
      </c>
      <c r="K281" s="1" t="str">
        <f>VLOOKUP(J281,'[1]Base SCA 02 2026'!V:X,3,0)</f>
        <v>PAULO BONIFÁCIO</v>
      </c>
      <c r="L281" s="1" t="str">
        <f>VLOOKUP(J281,'[1]Base SCA 02 2026'!V:Y,4,0)</f>
        <v>ALDAIR BORGES</v>
      </c>
      <c r="M281" s="1" t="str">
        <f>VLOOKUP(J281,'[1]Base SCA 02 2026'!V:Z,5,0)</f>
        <v>WARLEY RIBEIRO</v>
      </c>
      <c r="N281" s="1" t="str">
        <f t="shared" si="4"/>
        <v>WARLEY RIBEIRO</v>
      </c>
    </row>
    <row r="282" spans="1:14" x14ac:dyDescent="0.3">
      <c r="A282" s="1">
        <v>703578</v>
      </c>
      <c r="B282" s="1" t="s">
        <v>335</v>
      </c>
      <c r="C282" s="5" t="s">
        <v>15</v>
      </c>
      <c r="D282" s="2">
        <v>44970</v>
      </c>
      <c r="E282" s="1" t="s">
        <v>31</v>
      </c>
      <c r="F282" s="1">
        <v>33301</v>
      </c>
      <c r="G282" s="1" t="s">
        <v>64</v>
      </c>
      <c r="H282" s="1" t="s">
        <v>18</v>
      </c>
      <c r="J282" s="1" t="s">
        <v>65</v>
      </c>
      <c r="K282" s="1" t="str">
        <f>VLOOKUP(J282,'[1]Base SCA 02 2026'!V:X,3,0)</f>
        <v>RAFAEL XAVIER</v>
      </c>
      <c r="L282" s="1" t="str">
        <f>VLOOKUP(J282,'[1]Base SCA 02 2026'!V:Y,4,0)</f>
        <v>IVONEI CAMPOS</v>
      </c>
      <c r="M282" s="1" t="str">
        <f>VLOOKUP(J282,'[1]Base SCA 02 2026'!V:Z,5,0)</f>
        <v>ANDRÉ CUBA</v>
      </c>
      <c r="N282" s="1" t="str">
        <f t="shared" si="4"/>
        <v>ANDRÉ CUBA</v>
      </c>
    </row>
    <row r="283" spans="1:14" x14ac:dyDescent="0.3">
      <c r="A283" s="1">
        <v>703419</v>
      </c>
      <c r="B283" s="1" t="s">
        <v>337</v>
      </c>
      <c r="C283" s="5" t="s">
        <v>15</v>
      </c>
      <c r="D283" s="2">
        <v>44873</v>
      </c>
      <c r="E283" s="1" t="s">
        <v>31</v>
      </c>
      <c r="F283" s="1">
        <v>38101</v>
      </c>
      <c r="G283" s="1" t="s">
        <v>35</v>
      </c>
      <c r="H283" s="1" t="s">
        <v>18</v>
      </c>
      <c r="J283" s="1" t="s">
        <v>36</v>
      </c>
      <c r="K283" s="1" t="str">
        <f>VLOOKUP(J283,'[1]Base SCA 02 2026'!V:X,3,0)</f>
        <v xml:space="preserve">LEIDJANE MARTINS </v>
      </c>
      <c r="L283" s="1" t="str">
        <f>VLOOKUP(J283,'[1]Base SCA 02 2026'!V:Y,4,0)</f>
        <v xml:space="preserve">LEIDJANE MARTINS </v>
      </c>
      <c r="M283" s="1" t="str">
        <f>VLOOKUP(J283,'[1]Base SCA 02 2026'!V:Z,5,0)</f>
        <v>DENIS ACASSIO</v>
      </c>
      <c r="N283" s="1" t="str">
        <f t="shared" si="4"/>
        <v>DENIS ACASSIO</v>
      </c>
    </row>
    <row r="284" spans="1:14" x14ac:dyDescent="0.3">
      <c r="A284" s="1">
        <v>704641</v>
      </c>
      <c r="B284" s="1" t="s">
        <v>338</v>
      </c>
      <c r="C284" s="5" t="s">
        <v>15</v>
      </c>
      <c r="D284" s="2">
        <v>45476</v>
      </c>
      <c r="E284" s="1" t="s">
        <v>1346</v>
      </c>
      <c r="F284" s="1">
        <v>39201</v>
      </c>
      <c r="G284" s="1" t="s">
        <v>153</v>
      </c>
      <c r="H284" s="1" t="s">
        <v>18</v>
      </c>
      <c r="J284" s="1" t="s">
        <v>154</v>
      </c>
      <c r="K284" s="1" t="str">
        <f>VLOOKUP(J284,'[1]Base SCA 02 2026'!V:X,3,0)</f>
        <v>ANDREZA LARDO</v>
      </c>
      <c r="L284" s="1" t="str">
        <f>VLOOKUP(J284,'[1]Base SCA 02 2026'!V:Y,4,0)</f>
        <v>ANDREZA LARDO</v>
      </c>
      <c r="M284" s="1" t="str">
        <f>VLOOKUP(J284,'[1]Base SCA 02 2026'!V:Z,5,0)</f>
        <v>ADENILTON RODRIGUES</v>
      </c>
      <c r="N284" s="1" t="str">
        <f t="shared" si="4"/>
        <v>ADENILTON RODRIGUES</v>
      </c>
    </row>
    <row r="285" spans="1:14" x14ac:dyDescent="0.3">
      <c r="A285" s="1">
        <v>704939</v>
      </c>
      <c r="B285" s="1" t="s">
        <v>339</v>
      </c>
      <c r="C285" s="5" t="s">
        <v>15</v>
      </c>
      <c r="D285" s="2">
        <v>45607</v>
      </c>
      <c r="E285" s="1" t="s">
        <v>16</v>
      </c>
      <c r="F285" s="1">
        <v>22102</v>
      </c>
      <c r="G285" s="1" t="s">
        <v>68</v>
      </c>
      <c r="H285" s="1" t="s">
        <v>18</v>
      </c>
      <c r="J285" s="1" t="s">
        <v>94</v>
      </c>
      <c r="K285" s="1" t="str">
        <f>VLOOKUP(J285,'[1]Base SCA 02 2026'!V:X,3,0)</f>
        <v>PAULO BONIFÁCIO</v>
      </c>
      <c r="L285" s="1" t="str">
        <f>VLOOKUP(J285,'[1]Base SCA 02 2026'!V:Y,4,0)</f>
        <v xml:space="preserve">JOÃO KOMURA </v>
      </c>
      <c r="M285" s="1" t="str">
        <f>VLOOKUP(J285,'[1]Base SCA 02 2026'!V:Z,5,0)</f>
        <v>LUAN ABADIA</v>
      </c>
      <c r="N285" s="1" t="str">
        <f t="shared" si="4"/>
        <v>LUAN ABADIA</v>
      </c>
    </row>
    <row r="286" spans="1:14" x14ac:dyDescent="0.3">
      <c r="A286" s="1">
        <v>705109</v>
      </c>
      <c r="B286" s="1" t="s">
        <v>340</v>
      </c>
      <c r="C286" s="5" t="s">
        <v>15</v>
      </c>
      <c r="D286" s="2">
        <v>45678</v>
      </c>
      <c r="E286" s="1" t="s">
        <v>91</v>
      </c>
      <c r="F286" s="1">
        <v>34201</v>
      </c>
      <c r="G286" s="1" t="s">
        <v>84</v>
      </c>
      <c r="H286" s="1" t="s">
        <v>18</v>
      </c>
      <c r="J286" s="1" t="s">
        <v>85</v>
      </c>
      <c r="K286" s="1" t="str">
        <f>VLOOKUP(J286,'[1]Base SCA 02 2026'!V:X,3,0)</f>
        <v>PAULO BONIFÁCIO</v>
      </c>
      <c r="L286" s="1" t="str">
        <f>VLOOKUP(J286,'[1]Base SCA 02 2026'!V:Y,4,0)</f>
        <v>PAULO BONIFÁCIO</v>
      </c>
      <c r="M286" s="1" t="str">
        <f>VLOOKUP(J286,'[1]Base SCA 02 2026'!V:Z,5,0)</f>
        <v xml:space="preserve">LEONARDO SANTOS </v>
      </c>
      <c r="N286" s="1" t="str">
        <f t="shared" si="4"/>
        <v xml:space="preserve">LEONARDO SANTOS </v>
      </c>
    </row>
    <row r="287" spans="1:14" x14ac:dyDescent="0.3">
      <c r="A287" s="1">
        <v>701979</v>
      </c>
      <c r="B287" s="1" t="s">
        <v>341</v>
      </c>
      <c r="C287" s="5" t="s">
        <v>15</v>
      </c>
      <c r="D287" s="2">
        <v>44172</v>
      </c>
      <c r="E287" s="1" t="s">
        <v>60</v>
      </c>
      <c r="F287" s="1">
        <v>52202</v>
      </c>
      <c r="G287" s="1" t="s">
        <v>32</v>
      </c>
      <c r="H287" s="1" t="s">
        <v>18</v>
      </c>
      <c r="J287" s="1" t="s">
        <v>19</v>
      </c>
      <c r="K287" s="1" t="str">
        <f>VLOOKUP(J287,'[1]Base SCA 02 2026'!V:X,3,0)</f>
        <v>JOSÉ GOUVEA</v>
      </c>
      <c r="L287" s="1" t="str">
        <f>VLOOKUP(J287,'[1]Base SCA 02 2026'!V:Y,4,0)</f>
        <v>ALEX DIAS</v>
      </c>
      <c r="N287" s="1" t="str">
        <f t="shared" si="4"/>
        <v>ALEX DIAS</v>
      </c>
    </row>
    <row r="288" spans="1:14" x14ac:dyDescent="0.3">
      <c r="A288" s="1">
        <v>705707</v>
      </c>
      <c r="B288" s="1" t="s">
        <v>894</v>
      </c>
      <c r="C288" s="5" t="s">
        <v>15</v>
      </c>
      <c r="D288" s="2">
        <v>45972</v>
      </c>
      <c r="E288" s="1" t="s">
        <v>31</v>
      </c>
      <c r="F288" s="1">
        <v>52104</v>
      </c>
      <c r="G288" s="1" t="s">
        <v>17</v>
      </c>
      <c r="H288" s="1" t="s">
        <v>18</v>
      </c>
      <c r="J288" s="1" t="s">
        <v>19</v>
      </c>
      <c r="K288" s="1" t="str">
        <f>VLOOKUP(J288,'[1]Base SCA 02 2026'!V:X,3,0)</f>
        <v>JOSÉ GOUVEA</v>
      </c>
      <c r="L288" s="1" t="str">
        <f>VLOOKUP(J288,'[1]Base SCA 02 2026'!V:Y,4,0)</f>
        <v>ALEX DIAS</v>
      </c>
      <c r="N288" s="1" t="str">
        <f t="shared" si="4"/>
        <v>ALEX DIAS</v>
      </c>
    </row>
    <row r="289" spans="1:14" x14ac:dyDescent="0.3">
      <c r="A289" s="1">
        <v>703171</v>
      </c>
      <c r="B289" s="1" t="s">
        <v>342</v>
      </c>
      <c r="C289" s="5" t="s">
        <v>15</v>
      </c>
      <c r="D289" s="2">
        <v>44732</v>
      </c>
      <c r="E289" s="1" t="s">
        <v>188</v>
      </c>
      <c r="F289" s="1">
        <v>22102</v>
      </c>
      <c r="G289" s="1" t="s">
        <v>68</v>
      </c>
      <c r="H289" s="1" t="s">
        <v>18</v>
      </c>
      <c r="J289" s="1" t="s">
        <v>69</v>
      </c>
      <c r="K289" s="1" t="str">
        <f>VLOOKUP(J289,'[1]Base SCA 02 2026'!V:X,3,0)</f>
        <v>PAULO BONIFÁCIO</v>
      </c>
      <c r="L289" s="1" t="str">
        <f>VLOOKUP(J289,'[1]Base SCA 02 2026'!V:Y,4,0)</f>
        <v xml:space="preserve">JOÃO KOMURA </v>
      </c>
      <c r="N289" s="1" t="str">
        <f t="shared" si="4"/>
        <v xml:space="preserve">JOÃO KOMURA </v>
      </c>
    </row>
    <row r="290" spans="1:14" x14ac:dyDescent="0.3">
      <c r="A290" s="1">
        <v>705212</v>
      </c>
      <c r="B290" s="1" t="s">
        <v>1161</v>
      </c>
      <c r="C290" s="5" t="s">
        <v>15</v>
      </c>
      <c r="D290" s="2">
        <v>45727</v>
      </c>
      <c r="E290" s="1" t="s">
        <v>240</v>
      </c>
      <c r="F290" s="1">
        <v>22102</v>
      </c>
      <c r="G290" s="1" t="s">
        <v>68</v>
      </c>
      <c r="H290" s="1" t="s">
        <v>18</v>
      </c>
      <c r="J290" s="1" t="s">
        <v>241</v>
      </c>
      <c r="K290" s="1" t="str">
        <f>VLOOKUP(J290,'[1]Base SCA 02 2026'!V:X,3,0)</f>
        <v xml:space="preserve">CARLOS OLIVEIRA </v>
      </c>
      <c r="L290" s="1" t="str">
        <f>VLOOKUP(J290,'[1]Base SCA 02 2026'!V:Y,4,0)</f>
        <v xml:space="preserve">CARLOS OLIVEIRA </v>
      </c>
      <c r="N290" s="1" t="str">
        <f t="shared" si="4"/>
        <v xml:space="preserve">CARLOS OLIVEIRA </v>
      </c>
    </row>
    <row r="291" spans="1:14" x14ac:dyDescent="0.3">
      <c r="A291" s="1">
        <v>703008</v>
      </c>
      <c r="B291" s="1" t="s">
        <v>343</v>
      </c>
      <c r="C291" s="5" t="s">
        <v>15</v>
      </c>
      <c r="D291" s="2">
        <v>44691</v>
      </c>
      <c r="E291" s="1" t="s">
        <v>138</v>
      </c>
      <c r="F291" s="1">
        <v>22102</v>
      </c>
      <c r="G291" s="1" t="s">
        <v>68</v>
      </c>
      <c r="H291" s="1" t="s">
        <v>18</v>
      </c>
      <c r="J291" s="1" t="s">
        <v>81</v>
      </c>
      <c r="K291" s="1" t="str">
        <f>VLOOKUP(J291,'[1]Base SCA 02 2026'!V:X,3,0)</f>
        <v>PAULO BONIFÁCIO</v>
      </c>
      <c r="L291" s="1" t="str">
        <f>VLOOKUP(J291,'[1]Base SCA 02 2026'!V:Y,4,0)</f>
        <v>MAURICIO SANTOS</v>
      </c>
      <c r="M291" s="1" t="str">
        <f>VLOOKUP(J291,'[1]Base SCA 02 2026'!V:Z,5,0)</f>
        <v xml:space="preserve">EDSON/MARCELO LIMA </v>
      </c>
      <c r="N291" s="1" t="str">
        <f t="shared" si="4"/>
        <v xml:space="preserve">EDSON/MARCELO LIMA </v>
      </c>
    </row>
    <row r="292" spans="1:14" x14ac:dyDescent="0.3">
      <c r="A292" s="1">
        <v>704719</v>
      </c>
      <c r="B292" s="1" t="s">
        <v>897</v>
      </c>
      <c r="C292" s="5" t="s">
        <v>15</v>
      </c>
      <c r="D292" s="2">
        <v>45518</v>
      </c>
      <c r="E292" s="1" t="s">
        <v>93</v>
      </c>
      <c r="F292" s="1">
        <v>22102</v>
      </c>
      <c r="G292" s="1" t="s">
        <v>68</v>
      </c>
      <c r="H292" s="1" t="s">
        <v>18</v>
      </c>
      <c r="J292" s="1" t="s">
        <v>94</v>
      </c>
      <c r="K292" s="1" t="str">
        <f>VLOOKUP(J292,'[1]Base SCA 02 2026'!V:X,3,0)</f>
        <v>PAULO BONIFÁCIO</v>
      </c>
      <c r="L292" s="1" t="str">
        <f>VLOOKUP(J292,'[1]Base SCA 02 2026'!V:Y,4,0)</f>
        <v xml:space="preserve">JOÃO KOMURA </v>
      </c>
      <c r="M292" s="1" t="str">
        <f>VLOOKUP(J292,'[1]Base SCA 02 2026'!V:Z,5,0)</f>
        <v>LUAN ABADIA</v>
      </c>
      <c r="N292" s="1" t="str">
        <f t="shared" si="4"/>
        <v>LUAN ABADIA</v>
      </c>
    </row>
    <row r="293" spans="1:14" x14ac:dyDescent="0.3">
      <c r="A293" s="1">
        <v>703624</v>
      </c>
      <c r="B293" s="1" t="s">
        <v>344</v>
      </c>
      <c r="C293" s="5" t="s">
        <v>15</v>
      </c>
      <c r="D293" s="2">
        <v>44991</v>
      </c>
      <c r="E293" s="1" t="s">
        <v>83</v>
      </c>
      <c r="F293" s="1">
        <v>34201</v>
      </c>
      <c r="G293" s="1" t="s">
        <v>84</v>
      </c>
      <c r="H293" s="1" t="s">
        <v>18</v>
      </c>
      <c r="J293" s="1" t="s">
        <v>85</v>
      </c>
      <c r="K293" s="1" t="str">
        <f>VLOOKUP(J293,'[1]Base SCA 02 2026'!V:X,3,0)</f>
        <v>PAULO BONIFÁCIO</v>
      </c>
      <c r="L293" s="1" t="str">
        <f>VLOOKUP(J293,'[1]Base SCA 02 2026'!V:Y,4,0)</f>
        <v>PAULO BONIFÁCIO</v>
      </c>
      <c r="M293" s="1" t="str">
        <f>VLOOKUP(J293,'[1]Base SCA 02 2026'!V:Z,5,0)</f>
        <v xml:space="preserve">LEONARDO SANTOS </v>
      </c>
      <c r="N293" s="1" t="str">
        <f t="shared" si="4"/>
        <v xml:space="preserve">LEONARDO SANTOS </v>
      </c>
    </row>
    <row r="294" spans="1:14" x14ac:dyDescent="0.3">
      <c r="A294" s="1">
        <v>705798</v>
      </c>
      <c r="B294" s="1" t="s">
        <v>1522</v>
      </c>
      <c r="C294" s="5" t="s">
        <v>15</v>
      </c>
      <c r="D294" s="2">
        <v>46029</v>
      </c>
      <c r="E294" s="1" t="s">
        <v>31</v>
      </c>
      <c r="F294" s="1">
        <v>52202</v>
      </c>
      <c r="G294" s="1" t="s">
        <v>32</v>
      </c>
      <c r="H294" s="1" t="s">
        <v>18</v>
      </c>
      <c r="J294" s="1" t="s">
        <v>33</v>
      </c>
      <c r="K294" s="1" t="str">
        <f>VLOOKUP(J294,'[1]Base SCA 02 2026'!V:X,3,0)</f>
        <v>JOSÉ GOUVEA</v>
      </c>
      <c r="L294" s="1" t="str">
        <f>VLOOKUP(J294,'[1]Base SCA 02 2026'!V:Y,4,0)</f>
        <v>ALEX DIAS</v>
      </c>
      <c r="N294" s="1" t="str">
        <f t="shared" si="4"/>
        <v>ALEX DIAS</v>
      </c>
    </row>
    <row r="295" spans="1:14" x14ac:dyDescent="0.3">
      <c r="A295" s="1">
        <v>705884</v>
      </c>
      <c r="B295" s="1" t="s">
        <v>1544</v>
      </c>
      <c r="C295" s="5" t="s">
        <v>15</v>
      </c>
      <c r="D295" s="2">
        <v>46063</v>
      </c>
      <c r="E295" s="1" t="s">
        <v>138</v>
      </c>
      <c r="F295" s="1">
        <v>52104</v>
      </c>
      <c r="G295" s="1" t="s">
        <v>17</v>
      </c>
      <c r="H295" s="1" t="s">
        <v>18</v>
      </c>
      <c r="J295" s="1" t="s">
        <v>19</v>
      </c>
      <c r="K295" s="1" t="str">
        <f>VLOOKUP(J295,'[1]Base SCA 02 2026'!V:X,3,0)</f>
        <v>JOSÉ GOUVEA</v>
      </c>
      <c r="L295" s="1" t="str">
        <f>VLOOKUP(J295,'[1]Base SCA 02 2026'!V:Y,4,0)</f>
        <v>ALEX DIAS</v>
      </c>
      <c r="N295" s="1" t="str">
        <f t="shared" si="4"/>
        <v>ALEX DIAS</v>
      </c>
    </row>
    <row r="296" spans="1:14" x14ac:dyDescent="0.3">
      <c r="A296" s="1">
        <v>100321</v>
      </c>
      <c r="B296" s="1" t="s">
        <v>345</v>
      </c>
      <c r="C296" s="5" t="s">
        <v>15</v>
      </c>
      <c r="D296" s="2">
        <v>41792</v>
      </c>
      <c r="E296" s="1" t="s">
        <v>1214</v>
      </c>
      <c r="F296" s="1">
        <v>34101</v>
      </c>
      <c r="G296" s="1" t="s">
        <v>43</v>
      </c>
      <c r="H296" s="1" t="s">
        <v>18</v>
      </c>
      <c r="J296" s="1" t="s">
        <v>237</v>
      </c>
      <c r="K296" s="1" t="str">
        <f>VLOOKUP(J296,'[1]Base SCA 02 2026'!V:X,3,0)</f>
        <v>RAFAEL XAVIER</v>
      </c>
      <c r="L296" s="1" t="str">
        <f>VLOOKUP(J296,'[1]Base SCA 02 2026'!V:Y,4,0)</f>
        <v>IVONEI CAMPOS</v>
      </c>
      <c r="M296" s="1" t="str">
        <f>VLOOKUP(J296,'[1]Base SCA 02 2026'!V:Z,5,0)</f>
        <v xml:space="preserve">MARCOS VINICIUS </v>
      </c>
      <c r="N296" s="1" t="str">
        <f t="shared" si="4"/>
        <v xml:space="preserve">MARCOS VINICIUS </v>
      </c>
    </row>
    <row r="297" spans="1:14" x14ac:dyDescent="0.3">
      <c r="A297" s="1">
        <v>704007</v>
      </c>
      <c r="B297" s="1" t="s">
        <v>904</v>
      </c>
      <c r="C297" s="5" t="s">
        <v>15</v>
      </c>
      <c r="D297" s="2">
        <v>45119</v>
      </c>
      <c r="E297" s="1" t="s">
        <v>1350</v>
      </c>
      <c r="F297" s="1">
        <v>32101</v>
      </c>
      <c r="G297" s="1" t="s">
        <v>23</v>
      </c>
      <c r="H297" s="1" t="s">
        <v>18</v>
      </c>
      <c r="J297" s="1" t="s">
        <v>24</v>
      </c>
      <c r="K297" s="1" t="str">
        <f>VLOOKUP(J297,'[1]Base SCA 02 2026'!V:X,3,0)</f>
        <v>RAFAEL XAVIER</v>
      </c>
      <c r="L297" s="1" t="str">
        <f>VLOOKUP(J297,'[1]Base SCA 02 2026'!V:Y,4,0)</f>
        <v>FERNANDO GUILHERME</v>
      </c>
      <c r="M297" s="1" t="str">
        <f>VLOOKUP(J297,'[1]Base SCA 02 2026'!V:Z,5,0)</f>
        <v>JUNIO COSTA</v>
      </c>
      <c r="N297" s="1" t="str">
        <f t="shared" si="4"/>
        <v>JUNIO COSTA</v>
      </c>
    </row>
    <row r="298" spans="1:14" x14ac:dyDescent="0.3">
      <c r="A298" s="1">
        <v>704152</v>
      </c>
      <c r="B298" s="1" t="s">
        <v>346</v>
      </c>
      <c r="C298" s="5" t="s">
        <v>15</v>
      </c>
      <c r="D298" s="2">
        <v>45264</v>
      </c>
      <c r="E298" s="1" t="s">
        <v>31</v>
      </c>
      <c r="F298" s="1">
        <v>52104</v>
      </c>
      <c r="G298" s="1" t="s">
        <v>17</v>
      </c>
      <c r="H298" s="1" t="s">
        <v>18</v>
      </c>
      <c r="J298" s="1" t="s">
        <v>19</v>
      </c>
      <c r="K298" s="1" t="str">
        <f>VLOOKUP(J298,'[1]Base SCA 02 2026'!V:X,3,0)</f>
        <v>JOSÉ GOUVEA</v>
      </c>
      <c r="L298" s="1" t="str">
        <f>VLOOKUP(J298,'[1]Base SCA 02 2026'!V:Y,4,0)</f>
        <v>ALEX DIAS</v>
      </c>
      <c r="N298" s="1" t="str">
        <f t="shared" si="4"/>
        <v>ALEX DIAS</v>
      </c>
    </row>
    <row r="299" spans="1:14" x14ac:dyDescent="0.3">
      <c r="A299" s="1">
        <v>702809</v>
      </c>
      <c r="B299" s="1" t="s">
        <v>347</v>
      </c>
      <c r="C299" s="5" t="s">
        <v>15</v>
      </c>
      <c r="D299" s="2">
        <v>44613</v>
      </c>
      <c r="E299" s="1" t="s">
        <v>31</v>
      </c>
      <c r="F299" s="1">
        <v>52104</v>
      </c>
      <c r="G299" s="1" t="s">
        <v>17</v>
      </c>
      <c r="H299" s="1" t="s">
        <v>18</v>
      </c>
      <c r="J299" s="1" t="s">
        <v>19</v>
      </c>
      <c r="K299" s="1" t="str">
        <f>VLOOKUP(J299,'[1]Base SCA 02 2026'!V:X,3,0)</f>
        <v>JOSÉ GOUVEA</v>
      </c>
      <c r="L299" s="1" t="str">
        <f>VLOOKUP(J299,'[1]Base SCA 02 2026'!V:Y,4,0)</f>
        <v>ALEX DIAS</v>
      </c>
      <c r="N299" s="1" t="str">
        <f t="shared" si="4"/>
        <v>ALEX DIAS</v>
      </c>
    </row>
    <row r="300" spans="1:14" x14ac:dyDescent="0.3">
      <c r="A300" s="1">
        <v>702575</v>
      </c>
      <c r="B300" s="1" t="s">
        <v>348</v>
      </c>
      <c r="C300" s="5" t="s">
        <v>15</v>
      </c>
      <c r="D300" s="2">
        <v>44474</v>
      </c>
      <c r="E300" s="1" t="s">
        <v>1351</v>
      </c>
      <c r="F300" s="1">
        <v>33301</v>
      </c>
      <c r="G300" s="1" t="s">
        <v>64</v>
      </c>
      <c r="H300" s="1" t="s">
        <v>18</v>
      </c>
      <c r="J300" s="1" t="s">
        <v>65</v>
      </c>
      <c r="K300" s="1" t="str">
        <f>VLOOKUP(J300,'[1]Base SCA 02 2026'!V:X,3,0)</f>
        <v>RAFAEL XAVIER</v>
      </c>
      <c r="L300" s="1" t="str">
        <f>VLOOKUP(J300,'[1]Base SCA 02 2026'!V:Y,4,0)</f>
        <v>IVONEI CAMPOS</v>
      </c>
      <c r="M300" s="1" t="str">
        <f>VLOOKUP(J300,'[1]Base SCA 02 2026'!V:Z,5,0)</f>
        <v>ANDRÉ CUBA</v>
      </c>
      <c r="N300" s="1" t="str">
        <f t="shared" si="4"/>
        <v>ANDRÉ CUBA</v>
      </c>
    </row>
    <row r="301" spans="1:14" x14ac:dyDescent="0.3">
      <c r="A301" s="1">
        <v>703471</v>
      </c>
      <c r="B301" s="1" t="s">
        <v>349</v>
      </c>
      <c r="C301" s="5" t="s">
        <v>15</v>
      </c>
      <c r="D301" s="2">
        <v>44887</v>
      </c>
      <c r="E301" s="1" t="s">
        <v>156</v>
      </c>
      <c r="F301" s="1">
        <v>38101</v>
      </c>
      <c r="G301" s="1" t="s">
        <v>35</v>
      </c>
      <c r="H301" s="1" t="s">
        <v>18</v>
      </c>
      <c r="J301" s="1" t="s">
        <v>36</v>
      </c>
      <c r="K301" s="1" t="str">
        <f>VLOOKUP(J301,'[1]Base SCA 02 2026'!V:X,3,0)</f>
        <v xml:space="preserve">LEIDJANE MARTINS </v>
      </c>
      <c r="L301" s="1" t="str">
        <f>VLOOKUP(J301,'[1]Base SCA 02 2026'!V:Y,4,0)</f>
        <v xml:space="preserve">LEIDJANE MARTINS </v>
      </c>
      <c r="M301" s="1" t="str">
        <f>VLOOKUP(J301,'[1]Base SCA 02 2026'!V:Z,5,0)</f>
        <v>DENIS ACASSIO</v>
      </c>
      <c r="N301" s="1" t="str">
        <f t="shared" si="4"/>
        <v>DENIS ACASSIO</v>
      </c>
    </row>
    <row r="302" spans="1:14" x14ac:dyDescent="0.3">
      <c r="A302" s="1">
        <v>106052</v>
      </c>
      <c r="B302" s="1" t="s">
        <v>350</v>
      </c>
      <c r="C302" s="5" t="s">
        <v>15</v>
      </c>
      <c r="D302" s="2">
        <v>43591</v>
      </c>
      <c r="E302" s="1" t="s">
        <v>97</v>
      </c>
      <c r="F302" s="1">
        <v>32101</v>
      </c>
      <c r="G302" s="1" t="s">
        <v>23</v>
      </c>
      <c r="H302" s="1" t="s">
        <v>18</v>
      </c>
      <c r="J302" s="1" t="s">
        <v>24</v>
      </c>
      <c r="K302" s="1" t="str">
        <f>VLOOKUP(J302,'[1]Base SCA 02 2026'!V:X,3,0)</f>
        <v>RAFAEL XAVIER</v>
      </c>
      <c r="L302" s="1" t="str">
        <f>VLOOKUP(J302,'[1]Base SCA 02 2026'!V:Y,4,0)</f>
        <v>FERNANDO GUILHERME</v>
      </c>
      <c r="M302" s="1" t="str">
        <f>VLOOKUP(J302,'[1]Base SCA 02 2026'!V:Z,5,0)</f>
        <v>JUNIO COSTA</v>
      </c>
      <c r="N302" s="1" t="str">
        <f t="shared" si="4"/>
        <v>JUNIO COSTA</v>
      </c>
    </row>
    <row r="303" spans="1:14" x14ac:dyDescent="0.3">
      <c r="A303" s="1">
        <v>702817</v>
      </c>
      <c r="B303" s="1" t="s">
        <v>351</v>
      </c>
      <c r="C303" s="5" t="s">
        <v>15</v>
      </c>
      <c r="D303" s="2">
        <v>44613</v>
      </c>
      <c r="E303" s="1" t="s">
        <v>31</v>
      </c>
      <c r="F303" s="1">
        <v>52104</v>
      </c>
      <c r="G303" s="1" t="s">
        <v>17</v>
      </c>
      <c r="H303" s="1" t="s">
        <v>18</v>
      </c>
      <c r="J303" s="1" t="s">
        <v>19</v>
      </c>
      <c r="K303" s="1" t="str">
        <f>VLOOKUP(J303,'[1]Base SCA 02 2026'!V:X,3,0)</f>
        <v>JOSÉ GOUVEA</v>
      </c>
      <c r="L303" s="1" t="str">
        <f>VLOOKUP(J303,'[1]Base SCA 02 2026'!V:Y,4,0)</f>
        <v>ALEX DIAS</v>
      </c>
      <c r="N303" s="1" t="str">
        <f t="shared" si="4"/>
        <v>ALEX DIAS</v>
      </c>
    </row>
    <row r="304" spans="1:14" x14ac:dyDescent="0.3">
      <c r="A304" s="1">
        <v>105173</v>
      </c>
      <c r="B304" s="1" t="s">
        <v>352</v>
      </c>
      <c r="C304" s="5" t="s">
        <v>15</v>
      </c>
      <c r="D304" s="2">
        <v>42590</v>
      </c>
      <c r="E304" s="1" t="s">
        <v>353</v>
      </c>
      <c r="F304" s="1">
        <v>52104</v>
      </c>
      <c r="G304" s="1" t="s">
        <v>17</v>
      </c>
      <c r="H304" s="1" t="s">
        <v>18</v>
      </c>
      <c r="J304" s="1" t="s">
        <v>197</v>
      </c>
      <c r="K304" s="1" t="str">
        <f>VLOOKUP(J304,'[1]Base SCA 02 2026'!V:X,3,0)</f>
        <v xml:space="preserve">CARLOS OLIVEIRA </v>
      </c>
      <c r="L304" s="1" t="str">
        <f>VLOOKUP(J304,'[1]Base SCA 02 2026'!V:Y,4,0)</f>
        <v xml:space="preserve">CARLOS OLIVEIRA </v>
      </c>
      <c r="N304" s="1" t="str">
        <f t="shared" si="4"/>
        <v xml:space="preserve">CARLOS OLIVEIRA </v>
      </c>
    </row>
    <row r="305" spans="1:14" x14ac:dyDescent="0.3">
      <c r="A305" s="1">
        <v>705440</v>
      </c>
      <c r="B305" s="1" t="s">
        <v>1224</v>
      </c>
      <c r="C305" s="5" t="s">
        <v>15</v>
      </c>
      <c r="D305" s="2">
        <v>45797</v>
      </c>
      <c r="E305" s="1" t="s">
        <v>31</v>
      </c>
      <c r="F305" s="1">
        <v>39301</v>
      </c>
      <c r="G305" s="1" t="s">
        <v>73</v>
      </c>
      <c r="H305" s="1" t="s">
        <v>18</v>
      </c>
      <c r="J305" s="1" t="s">
        <v>74</v>
      </c>
      <c r="K305" s="1" t="str">
        <f>VLOOKUP(J305,'[1]Base SCA 02 2026'!V:X,3,0)</f>
        <v>PAULO BONIFÁCIO</v>
      </c>
      <c r="L305" s="1" t="str">
        <f>VLOOKUP(J305,'[1]Base SCA 02 2026'!V:Y,4,0)</f>
        <v>ALDAIR BORGES</v>
      </c>
      <c r="M305" s="1" t="str">
        <f>VLOOKUP(J305,'[1]Base SCA 02 2026'!V:Z,5,0)</f>
        <v>ISAC NONATO</v>
      </c>
      <c r="N305" s="1" t="str">
        <f t="shared" si="4"/>
        <v>ISAC NONATO</v>
      </c>
    </row>
    <row r="306" spans="1:14" x14ac:dyDescent="0.3">
      <c r="A306" s="1">
        <v>700051</v>
      </c>
      <c r="B306" s="1" t="s">
        <v>354</v>
      </c>
      <c r="C306" s="5" t="s">
        <v>15</v>
      </c>
      <c r="D306" s="2">
        <v>43115</v>
      </c>
      <c r="E306" s="1" t="s">
        <v>71</v>
      </c>
      <c r="F306" s="1">
        <v>25201</v>
      </c>
      <c r="G306" s="1" t="s">
        <v>89</v>
      </c>
      <c r="H306" s="1" t="s">
        <v>18</v>
      </c>
      <c r="J306" s="1" t="s">
        <v>19</v>
      </c>
      <c r="K306" s="1" t="str">
        <f>VLOOKUP(J306,'[1]Base SCA 02 2026'!V:X,3,0)</f>
        <v>JOSÉ GOUVEA</v>
      </c>
      <c r="L306" s="1" t="str">
        <f>VLOOKUP(J306,'[1]Base SCA 02 2026'!V:Y,4,0)</f>
        <v>ALEX DIAS</v>
      </c>
      <c r="N306" s="1" t="str">
        <f t="shared" si="4"/>
        <v>ALEX DIAS</v>
      </c>
    </row>
    <row r="307" spans="1:14" x14ac:dyDescent="0.3">
      <c r="A307" s="1">
        <v>105024</v>
      </c>
      <c r="B307" s="1" t="s">
        <v>355</v>
      </c>
      <c r="C307" s="5" t="s">
        <v>15</v>
      </c>
      <c r="D307" s="2">
        <v>42500</v>
      </c>
      <c r="E307" s="1" t="s">
        <v>166</v>
      </c>
      <c r="F307" s="1">
        <v>22102</v>
      </c>
      <c r="G307" s="1" t="s">
        <v>68</v>
      </c>
      <c r="H307" s="1" t="s">
        <v>18</v>
      </c>
      <c r="J307" s="1" t="s">
        <v>167</v>
      </c>
      <c r="K307" s="1" t="str">
        <f>VLOOKUP(J307,'[1]Base SCA 02 2026'!V:X,3,0)</f>
        <v>PAULO BONIFÁCIO</v>
      </c>
      <c r="L307" s="1" t="str">
        <f>VLOOKUP(J307,'[1]Base SCA 02 2026'!V:Y,4,0)</f>
        <v>MAURICIO SANTOS</v>
      </c>
      <c r="M307" s="1" t="str">
        <f>VLOOKUP(J307,'[1]Base SCA 02 2026'!V:Z,5,0)</f>
        <v>FABIANO</v>
      </c>
      <c r="N307" s="1" t="str">
        <f t="shared" si="4"/>
        <v>FABIANO</v>
      </c>
    </row>
    <row r="308" spans="1:14" x14ac:dyDescent="0.3">
      <c r="A308" s="1">
        <v>100674</v>
      </c>
      <c r="B308" s="1" t="s">
        <v>356</v>
      </c>
      <c r="C308" s="5" t="s">
        <v>15</v>
      </c>
      <c r="D308" s="2">
        <v>41981</v>
      </c>
      <c r="E308" s="1" t="s">
        <v>1214</v>
      </c>
      <c r="F308" s="1">
        <v>34101</v>
      </c>
      <c r="G308" s="1" t="s">
        <v>43</v>
      </c>
      <c r="H308" s="1" t="s">
        <v>18</v>
      </c>
      <c r="J308" s="1" t="s">
        <v>237</v>
      </c>
      <c r="K308" s="1" t="str">
        <f>VLOOKUP(J308,'[1]Base SCA 02 2026'!V:X,3,0)</f>
        <v>RAFAEL XAVIER</v>
      </c>
      <c r="L308" s="1" t="str">
        <f>VLOOKUP(J308,'[1]Base SCA 02 2026'!V:Y,4,0)</f>
        <v>IVONEI CAMPOS</v>
      </c>
      <c r="M308" s="1" t="str">
        <f>VLOOKUP(J308,'[1]Base SCA 02 2026'!V:Z,5,0)</f>
        <v xml:space="preserve">MARCOS VINICIUS </v>
      </c>
      <c r="N308" s="1" t="str">
        <f t="shared" si="4"/>
        <v xml:space="preserve">MARCOS VINICIUS </v>
      </c>
    </row>
    <row r="309" spans="1:14" x14ac:dyDescent="0.3">
      <c r="A309" s="1">
        <v>700692</v>
      </c>
      <c r="B309" s="1" t="s">
        <v>357</v>
      </c>
      <c r="C309" s="5" t="s">
        <v>15</v>
      </c>
      <c r="D309" s="2">
        <v>43389</v>
      </c>
      <c r="E309" s="1" t="s">
        <v>166</v>
      </c>
      <c r="F309" s="1">
        <v>52104</v>
      </c>
      <c r="G309" s="1" t="s">
        <v>17</v>
      </c>
      <c r="H309" s="1" t="s">
        <v>18</v>
      </c>
      <c r="J309" s="1" t="s">
        <v>37</v>
      </c>
      <c r="K309" s="1" t="str">
        <f>VLOOKUP(J309,'[1]Base SCA 02 2026'!V:X,3,0)</f>
        <v>JOSÉ GOUVEA</v>
      </c>
      <c r="L309" s="1" t="str">
        <f>VLOOKUP(J309,'[1]Base SCA 02 2026'!V:Y,4,0)</f>
        <v>ALEX DIAS</v>
      </c>
      <c r="N309" s="1" t="str">
        <f t="shared" si="4"/>
        <v>ALEX DIAS</v>
      </c>
    </row>
    <row r="310" spans="1:14" x14ac:dyDescent="0.3">
      <c r="A310" s="1">
        <v>703298</v>
      </c>
      <c r="B310" s="1" t="s">
        <v>358</v>
      </c>
      <c r="C310" s="5" t="s">
        <v>15</v>
      </c>
      <c r="D310" s="2">
        <v>44810</v>
      </c>
      <c r="E310" s="1" t="s">
        <v>60</v>
      </c>
      <c r="F310" s="1">
        <v>22102</v>
      </c>
      <c r="G310" s="1" t="s">
        <v>68</v>
      </c>
      <c r="H310" s="1" t="s">
        <v>18</v>
      </c>
      <c r="J310" s="1" t="s">
        <v>142</v>
      </c>
      <c r="K310" s="1" t="str">
        <f>VLOOKUP(J310,'[1]Base SCA 02 2026'!V:X,3,0)</f>
        <v>PAULO BONIFÁCIO</v>
      </c>
      <c r="L310" s="1" t="str">
        <f>VLOOKUP(J310,'[1]Base SCA 02 2026'!V:Y,4,0)</f>
        <v>MAURICIO SANTOS</v>
      </c>
      <c r="M310" s="1" t="str">
        <f>VLOOKUP(J310,'[1]Base SCA 02 2026'!V:Z,5,0)</f>
        <v>EDIS MOREIRA</v>
      </c>
      <c r="N310" s="1" t="str">
        <f t="shared" si="4"/>
        <v>EDIS MOREIRA</v>
      </c>
    </row>
    <row r="311" spans="1:14" x14ac:dyDescent="0.3">
      <c r="A311" s="1">
        <v>705133</v>
      </c>
      <c r="B311" s="1" t="s">
        <v>1143</v>
      </c>
      <c r="C311" s="5" t="s">
        <v>15</v>
      </c>
      <c r="D311" s="2">
        <v>45698</v>
      </c>
      <c r="E311" s="1" t="s">
        <v>16</v>
      </c>
      <c r="F311" s="1">
        <v>22102</v>
      </c>
      <c r="G311" s="1" t="s">
        <v>68</v>
      </c>
      <c r="H311" s="1" t="s">
        <v>18</v>
      </c>
      <c r="J311" s="1" t="s">
        <v>94</v>
      </c>
      <c r="K311" s="1" t="str">
        <f>VLOOKUP(J311,'[1]Base SCA 02 2026'!V:X,3,0)</f>
        <v>PAULO BONIFÁCIO</v>
      </c>
      <c r="L311" s="1" t="str">
        <f>VLOOKUP(J311,'[1]Base SCA 02 2026'!V:Y,4,0)</f>
        <v xml:space="preserve">JOÃO KOMURA </v>
      </c>
      <c r="M311" s="1" t="str">
        <f>VLOOKUP(J311,'[1]Base SCA 02 2026'!V:Z,5,0)</f>
        <v>LUAN ABADIA</v>
      </c>
      <c r="N311" s="1" t="str">
        <f t="shared" si="4"/>
        <v>LUAN ABADIA</v>
      </c>
    </row>
    <row r="312" spans="1:14" x14ac:dyDescent="0.3">
      <c r="A312" s="1">
        <v>704574</v>
      </c>
      <c r="B312" s="1" t="s">
        <v>359</v>
      </c>
      <c r="C312" s="5" t="s">
        <v>15</v>
      </c>
      <c r="D312" s="2">
        <v>45448</v>
      </c>
      <c r="E312" s="1" t="s">
        <v>166</v>
      </c>
      <c r="F312" s="1">
        <v>22102</v>
      </c>
      <c r="G312" s="1" t="s">
        <v>68</v>
      </c>
      <c r="H312" s="1" t="s">
        <v>18</v>
      </c>
      <c r="J312" s="1" t="s">
        <v>94</v>
      </c>
      <c r="K312" s="1" t="str">
        <f>VLOOKUP(J312,'[1]Base SCA 02 2026'!V:X,3,0)</f>
        <v>PAULO BONIFÁCIO</v>
      </c>
      <c r="L312" s="1" t="str">
        <f>VLOOKUP(J312,'[1]Base SCA 02 2026'!V:Y,4,0)</f>
        <v xml:space="preserve">JOÃO KOMURA </v>
      </c>
      <c r="M312" s="1" t="str">
        <f>VLOOKUP(J312,'[1]Base SCA 02 2026'!V:Z,5,0)</f>
        <v>LUAN ABADIA</v>
      </c>
      <c r="N312" s="1" t="str">
        <f t="shared" si="4"/>
        <v>LUAN ABADIA</v>
      </c>
    </row>
    <row r="313" spans="1:14" x14ac:dyDescent="0.3">
      <c r="A313" s="1">
        <v>704897</v>
      </c>
      <c r="B313" s="1" t="s">
        <v>360</v>
      </c>
      <c r="C313" s="5" t="s">
        <v>15</v>
      </c>
      <c r="D313" s="2">
        <v>45601</v>
      </c>
      <c r="E313" s="1" t="s">
        <v>60</v>
      </c>
      <c r="F313" s="1">
        <v>52202</v>
      </c>
      <c r="G313" s="1" t="s">
        <v>32</v>
      </c>
      <c r="H313" s="1" t="s">
        <v>18</v>
      </c>
      <c r="J313" s="1" t="s">
        <v>33</v>
      </c>
      <c r="K313" s="1" t="str">
        <f>VLOOKUP(J313,'[1]Base SCA 02 2026'!V:X,3,0)</f>
        <v>JOSÉ GOUVEA</v>
      </c>
      <c r="L313" s="1" t="str">
        <f>VLOOKUP(J313,'[1]Base SCA 02 2026'!V:Y,4,0)</f>
        <v>ALEX DIAS</v>
      </c>
      <c r="N313" s="1" t="str">
        <f t="shared" si="4"/>
        <v>ALEX DIAS</v>
      </c>
    </row>
    <row r="314" spans="1:14" x14ac:dyDescent="0.3">
      <c r="A314" s="1">
        <v>101541</v>
      </c>
      <c r="B314" s="1" t="s">
        <v>361</v>
      </c>
      <c r="C314" s="5" t="s">
        <v>15</v>
      </c>
      <c r="D314" s="2">
        <v>42838</v>
      </c>
      <c r="E314" s="1" t="s">
        <v>362</v>
      </c>
      <c r="F314" s="1">
        <v>25201</v>
      </c>
      <c r="G314" s="1" t="s">
        <v>89</v>
      </c>
      <c r="H314" s="1" t="s">
        <v>18</v>
      </c>
      <c r="J314" s="1" t="s">
        <v>19</v>
      </c>
      <c r="K314" s="1" t="str">
        <f>VLOOKUP(J314,'[1]Base SCA 02 2026'!V:X,3,0)</f>
        <v>JOSÉ GOUVEA</v>
      </c>
      <c r="L314" s="1" t="str">
        <f>VLOOKUP(J314,'[1]Base SCA 02 2026'!V:Y,4,0)</f>
        <v>ALEX DIAS</v>
      </c>
      <c r="N314" s="1" t="str">
        <f t="shared" si="4"/>
        <v>ALEX DIAS</v>
      </c>
    </row>
    <row r="315" spans="1:14" x14ac:dyDescent="0.3">
      <c r="A315" s="1">
        <v>105925</v>
      </c>
      <c r="B315" s="1" t="s">
        <v>364</v>
      </c>
      <c r="C315" s="5" t="s">
        <v>15</v>
      </c>
      <c r="D315" s="2">
        <v>43346</v>
      </c>
      <c r="E315" s="1" t="s">
        <v>149</v>
      </c>
      <c r="F315" s="1">
        <v>39302</v>
      </c>
      <c r="G315" s="1" t="s">
        <v>102</v>
      </c>
      <c r="H315" s="1" t="s">
        <v>18</v>
      </c>
      <c r="J315" s="1" t="s">
        <v>57</v>
      </c>
      <c r="K315" s="1" t="str">
        <f>VLOOKUP(J315,'[1]Base SCA 02 2026'!V:X,3,0)</f>
        <v>PAULO BONIFÁCIO</v>
      </c>
      <c r="L315" s="1" t="str">
        <f>VLOOKUP(J315,'[1]Base SCA 02 2026'!V:Y,4,0)</f>
        <v>ALDAIR BORGES</v>
      </c>
      <c r="M315" s="1" t="str">
        <f>VLOOKUP(J315,'[1]Base SCA 02 2026'!V:Z,5,0)</f>
        <v>WARLEY RIBEIRO</v>
      </c>
      <c r="N315" s="1" t="str">
        <f t="shared" si="4"/>
        <v>WARLEY RIBEIRO</v>
      </c>
    </row>
    <row r="316" spans="1:14" x14ac:dyDescent="0.3">
      <c r="A316" s="1">
        <v>701724</v>
      </c>
      <c r="B316" s="1" t="s">
        <v>365</v>
      </c>
      <c r="C316" s="5" t="s">
        <v>15</v>
      </c>
      <c r="D316" s="2">
        <v>44025</v>
      </c>
      <c r="E316" s="1" t="s">
        <v>52</v>
      </c>
      <c r="F316" s="1">
        <v>32101</v>
      </c>
      <c r="G316" s="1" t="s">
        <v>23</v>
      </c>
      <c r="H316" s="1" t="s">
        <v>18</v>
      </c>
      <c r="J316" s="1" t="s">
        <v>24</v>
      </c>
      <c r="K316" s="1" t="str">
        <f>VLOOKUP(J316,'[1]Base SCA 02 2026'!V:X,3,0)</f>
        <v>RAFAEL XAVIER</v>
      </c>
      <c r="L316" s="1" t="str">
        <f>VLOOKUP(J316,'[1]Base SCA 02 2026'!V:Y,4,0)</f>
        <v>FERNANDO GUILHERME</v>
      </c>
      <c r="M316" s="1" t="str">
        <f>VLOOKUP(J316,'[1]Base SCA 02 2026'!V:Z,5,0)</f>
        <v>JUNIO COSTA</v>
      </c>
      <c r="N316" s="1" t="str">
        <f t="shared" si="4"/>
        <v>JUNIO COSTA</v>
      </c>
    </row>
    <row r="317" spans="1:14" x14ac:dyDescent="0.3">
      <c r="A317" s="1">
        <v>705769</v>
      </c>
      <c r="B317" s="1" t="s">
        <v>1484</v>
      </c>
      <c r="C317" s="5" t="s">
        <v>15</v>
      </c>
      <c r="D317" s="2">
        <v>45993</v>
      </c>
      <c r="E317" s="1" t="s">
        <v>31</v>
      </c>
      <c r="F317" s="1">
        <v>52104</v>
      </c>
      <c r="G317" s="1" t="s">
        <v>17</v>
      </c>
      <c r="H317" s="1" t="s">
        <v>18</v>
      </c>
      <c r="J317" s="1" t="s">
        <v>19</v>
      </c>
      <c r="K317" s="1" t="str">
        <f>VLOOKUP(J317,'[1]Base SCA 02 2026'!V:X,3,0)</f>
        <v>JOSÉ GOUVEA</v>
      </c>
      <c r="L317" s="1" t="str">
        <f>VLOOKUP(J317,'[1]Base SCA 02 2026'!V:Y,4,0)</f>
        <v>ALEX DIAS</v>
      </c>
      <c r="N317" s="1" t="str">
        <f t="shared" si="4"/>
        <v>ALEX DIAS</v>
      </c>
    </row>
    <row r="318" spans="1:14" x14ac:dyDescent="0.3">
      <c r="A318" s="1">
        <v>701142</v>
      </c>
      <c r="B318" s="1" t="s">
        <v>366</v>
      </c>
      <c r="C318" s="5" t="s">
        <v>15</v>
      </c>
      <c r="D318" s="2">
        <v>43675</v>
      </c>
      <c r="E318" s="1" t="s">
        <v>31</v>
      </c>
      <c r="F318" s="1">
        <v>22102</v>
      </c>
      <c r="G318" s="1" t="s">
        <v>68</v>
      </c>
      <c r="H318" s="1" t="s">
        <v>18</v>
      </c>
      <c r="J318" s="1" t="s">
        <v>142</v>
      </c>
      <c r="K318" s="1" t="str">
        <f>VLOOKUP(J318,'[1]Base SCA 02 2026'!V:X,3,0)</f>
        <v>PAULO BONIFÁCIO</v>
      </c>
      <c r="L318" s="1" t="str">
        <f>VLOOKUP(J318,'[1]Base SCA 02 2026'!V:Y,4,0)</f>
        <v>MAURICIO SANTOS</v>
      </c>
      <c r="M318" s="1" t="str">
        <f>VLOOKUP(J318,'[1]Base SCA 02 2026'!V:Z,5,0)</f>
        <v>EDIS MOREIRA</v>
      </c>
      <c r="N318" s="1" t="str">
        <f t="shared" si="4"/>
        <v>EDIS MOREIRA</v>
      </c>
    </row>
    <row r="319" spans="1:14" x14ac:dyDescent="0.3">
      <c r="A319" s="1">
        <v>702589</v>
      </c>
      <c r="B319" s="1" t="s">
        <v>367</v>
      </c>
      <c r="C319" s="5" t="s">
        <v>15</v>
      </c>
      <c r="D319" s="2">
        <v>44487</v>
      </c>
      <c r="E319" s="1" t="s">
        <v>60</v>
      </c>
      <c r="F319" s="1">
        <v>22102</v>
      </c>
      <c r="G319" s="1" t="s">
        <v>68</v>
      </c>
      <c r="H319" s="1" t="s">
        <v>18</v>
      </c>
      <c r="J319" s="1" t="s">
        <v>142</v>
      </c>
      <c r="K319" s="1" t="str">
        <f>VLOOKUP(J319,'[1]Base SCA 02 2026'!V:X,3,0)</f>
        <v>PAULO BONIFÁCIO</v>
      </c>
      <c r="L319" s="1" t="str">
        <f>VLOOKUP(J319,'[1]Base SCA 02 2026'!V:Y,4,0)</f>
        <v>MAURICIO SANTOS</v>
      </c>
      <c r="M319" s="1" t="str">
        <f>VLOOKUP(J319,'[1]Base SCA 02 2026'!V:Z,5,0)</f>
        <v>EDIS MOREIRA</v>
      </c>
      <c r="N319" s="1" t="str">
        <f t="shared" si="4"/>
        <v>EDIS MOREIRA</v>
      </c>
    </row>
    <row r="320" spans="1:14" x14ac:dyDescent="0.3">
      <c r="A320" s="1">
        <v>705560</v>
      </c>
      <c r="B320" s="1" t="s">
        <v>1317</v>
      </c>
      <c r="C320" s="5" t="s">
        <v>15</v>
      </c>
      <c r="D320" s="2">
        <v>45874</v>
      </c>
      <c r="E320" s="1" t="s">
        <v>31</v>
      </c>
      <c r="F320" s="1">
        <v>52104</v>
      </c>
      <c r="G320" s="1" t="s">
        <v>17</v>
      </c>
      <c r="H320" s="1" t="s">
        <v>18</v>
      </c>
      <c r="J320" s="1" t="s">
        <v>19</v>
      </c>
      <c r="K320" s="1" t="str">
        <f>VLOOKUP(J320,'[1]Base SCA 02 2026'!V:X,3,0)</f>
        <v>JOSÉ GOUVEA</v>
      </c>
      <c r="L320" s="1" t="str">
        <f>VLOOKUP(J320,'[1]Base SCA 02 2026'!V:Y,4,0)</f>
        <v>ALEX DIAS</v>
      </c>
      <c r="N320" s="1" t="str">
        <f t="shared" si="4"/>
        <v>ALEX DIAS</v>
      </c>
    </row>
    <row r="321" spans="1:14" x14ac:dyDescent="0.3">
      <c r="A321" s="1">
        <v>705885</v>
      </c>
      <c r="B321" s="1" t="s">
        <v>1545</v>
      </c>
      <c r="C321" s="5" t="s">
        <v>15</v>
      </c>
      <c r="D321" s="2">
        <v>46063</v>
      </c>
      <c r="E321" s="1" t="s">
        <v>230</v>
      </c>
      <c r="F321" s="1">
        <v>38101</v>
      </c>
      <c r="G321" s="1" t="s">
        <v>35</v>
      </c>
      <c r="H321" s="1" t="s">
        <v>18</v>
      </c>
      <c r="J321" s="1" t="s">
        <v>36</v>
      </c>
      <c r="K321" s="1" t="str">
        <f>VLOOKUP(J321,'[1]Base SCA 02 2026'!V:X,3,0)</f>
        <v xml:space="preserve">LEIDJANE MARTINS </v>
      </c>
      <c r="L321" s="1" t="str">
        <f>VLOOKUP(J321,'[1]Base SCA 02 2026'!V:Y,4,0)</f>
        <v xml:space="preserve">LEIDJANE MARTINS </v>
      </c>
      <c r="M321" s="1" t="str">
        <f>VLOOKUP(J321,'[1]Base SCA 02 2026'!V:Z,5,0)</f>
        <v>DENIS ACASSIO</v>
      </c>
      <c r="N321" s="1" t="str">
        <f t="shared" si="4"/>
        <v>DENIS ACASSIO</v>
      </c>
    </row>
    <row r="322" spans="1:14" x14ac:dyDescent="0.3">
      <c r="A322" s="1">
        <v>701393</v>
      </c>
      <c r="B322" s="1" t="s">
        <v>369</v>
      </c>
      <c r="C322" s="5" t="s">
        <v>15</v>
      </c>
      <c r="D322" s="2">
        <v>40364</v>
      </c>
      <c r="E322" s="1" t="s">
        <v>166</v>
      </c>
      <c r="F322" s="1">
        <v>52104</v>
      </c>
      <c r="G322" s="1" t="s">
        <v>17</v>
      </c>
      <c r="H322" s="1" t="s">
        <v>18</v>
      </c>
      <c r="J322" s="1" t="s">
        <v>19</v>
      </c>
      <c r="K322" s="1" t="str">
        <f>VLOOKUP(J322,'[1]Base SCA 02 2026'!V:X,3,0)</f>
        <v>JOSÉ GOUVEA</v>
      </c>
      <c r="L322" s="1" t="str">
        <f>VLOOKUP(J322,'[1]Base SCA 02 2026'!V:Y,4,0)</f>
        <v>ALEX DIAS</v>
      </c>
      <c r="N322" s="1" t="str">
        <f t="shared" si="4"/>
        <v>ALEX DIAS</v>
      </c>
    </row>
    <row r="323" spans="1:14" x14ac:dyDescent="0.3">
      <c r="A323" s="1">
        <v>703420</v>
      </c>
      <c r="B323" s="1" t="s">
        <v>370</v>
      </c>
      <c r="C323" s="5" t="s">
        <v>15</v>
      </c>
      <c r="D323" s="2">
        <v>44873</v>
      </c>
      <c r="E323" s="1" t="s">
        <v>371</v>
      </c>
      <c r="F323" s="1">
        <v>39301</v>
      </c>
      <c r="G323" s="1" t="s">
        <v>73</v>
      </c>
      <c r="H323" s="1" t="s">
        <v>18</v>
      </c>
      <c r="J323" s="1" t="s">
        <v>74</v>
      </c>
      <c r="K323" s="1" t="str">
        <f>VLOOKUP(J323,'[1]Base SCA 02 2026'!V:X,3,0)</f>
        <v>PAULO BONIFÁCIO</v>
      </c>
      <c r="L323" s="1" t="str">
        <f>VLOOKUP(J323,'[1]Base SCA 02 2026'!V:Y,4,0)</f>
        <v>ALDAIR BORGES</v>
      </c>
      <c r="M323" s="1" t="str">
        <f>VLOOKUP(J323,'[1]Base SCA 02 2026'!V:Z,5,0)</f>
        <v>ISAC NONATO</v>
      </c>
      <c r="N323" s="1" t="str">
        <f t="shared" ref="N323:N386" si="5">IF(M323&lt;&gt;"", M323, IF(L323&lt;&gt;"", L323, K323))</f>
        <v>ISAC NONATO</v>
      </c>
    </row>
    <row r="324" spans="1:14" x14ac:dyDescent="0.3">
      <c r="A324" s="1">
        <v>704222</v>
      </c>
      <c r="B324" s="1" t="s">
        <v>372</v>
      </c>
      <c r="C324" s="5" t="s">
        <v>15</v>
      </c>
      <c r="D324" s="2">
        <v>45328</v>
      </c>
      <c r="E324" s="1" t="s">
        <v>31</v>
      </c>
      <c r="F324" s="1">
        <v>25201</v>
      </c>
      <c r="G324" s="1" t="s">
        <v>89</v>
      </c>
      <c r="H324" s="1" t="s">
        <v>18</v>
      </c>
      <c r="J324" s="1" t="s">
        <v>19</v>
      </c>
      <c r="K324" s="1" t="str">
        <f>VLOOKUP(J324,'[1]Base SCA 02 2026'!V:X,3,0)</f>
        <v>JOSÉ GOUVEA</v>
      </c>
      <c r="L324" s="1" t="str">
        <f>VLOOKUP(J324,'[1]Base SCA 02 2026'!V:Y,4,0)</f>
        <v>ALEX DIAS</v>
      </c>
      <c r="N324" s="1" t="str">
        <f t="shared" si="5"/>
        <v>ALEX DIAS</v>
      </c>
    </row>
    <row r="325" spans="1:14" x14ac:dyDescent="0.3">
      <c r="A325" s="1">
        <v>705092</v>
      </c>
      <c r="B325" s="1" t="s">
        <v>373</v>
      </c>
      <c r="C325" s="5" t="s">
        <v>15</v>
      </c>
      <c r="D325" s="2">
        <v>45670</v>
      </c>
      <c r="E325" s="1" t="s">
        <v>40</v>
      </c>
      <c r="F325" s="1">
        <v>41504</v>
      </c>
      <c r="G325" s="1" t="s">
        <v>1275</v>
      </c>
      <c r="H325" s="1" t="s">
        <v>18</v>
      </c>
      <c r="J325" s="1" t="s">
        <v>19</v>
      </c>
      <c r="K325" s="1" t="str">
        <f>VLOOKUP(J325,'[1]Base SCA 02 2026'!V:X,3,0)</f>
        <v>JOSÉ GOUVEA</v>
      </c>
      <c r="L325" s="1" t="str">
        <f>VLOOKUP(J325,'[1]Base SCA 02 2026'!V:Y,4,0)</f>
        <v>ALEX DIAS</v>
      </c>
      <c r="N325" s="1" t="str">
        <f t="shared" si="5"/>
        <v>ALEX DIAS</v>
      </c>
    </row>
    <row r="326" spans="1:14" x14ac:dyDescent="0.3">
      <c r="A326" s="1">
        <v>705065</v>
      </c>
      <c r="B326" s="1" t="s">
        <v>374</v>
      </c>
      <c r="C326" s="5" t="s">
        <v>15</v>
      </c>
      <c r="D326" s="2">
        <v>45670</v>
      </c>
      <c r="E326" s="1" t="s">
        <v>362</v>
      </c>
      <c r="F326" s="1">
        <v>25201</v>
      </c>
      <c r="G326" s="1" t="s">
        <v>89</v>
      </c>
      <c r="H326" s="1" t="s">
        <v>18</v>
      </c>
      <c r="J326" s="1" t="s">
        <v>37</v>
      </c>
      <c r="K326" s="1" t="str">
        <f>VLOOKUP(J326,'[1]Base SCA 02 2026'!V:X,3,0)</f>
        <v>JOSÉ GOUVEA</v>
      </c>
      <c r="L326" s="1" t="str">
        <f>VLOOKUP(J326,'[1]Base SCA 02 2026'!V:Y,4,0)</f>
        <v>ALEX DIAS</v>
      </c>
      <c r="N326" s="1" t="str">
        <f t="shared" si="5"/>
        <v>ALEX DIAS</v>
      </c>
    </row>
    <row r="327" spans="1:14" x14ac:dyDescent="0.3">
      <c r="A327" s="1">
        <v>705688</v>
      </c>
      <c r="B327" s="1" t="s">
        <v>1407</v>
      </c>
      <c r="C327" s="5" t="s">
        <v>15</v>
      </c>
      <c r="D327" s="2">
        <v>45945</v>
      </c>
      <c r="E327" s="1" t="s">
        <v>230</v>
      </c>
      <c r="F327" s="1">
        <v>38101</v>
      </c>
      <c r="G327" s="1" t="s">
        <v>35</v>
      </c>
      <c r="H327" s="1" t="s">
        <v>18</v>
      </c>
      <c r="J327" s="1" t="s">
        <v>36</v>
      </c>
      <c r="K327" s="1" t="str">
        <f>VLOOKUP(J327,'[1]Base SCA 02 2026'!V:X,3,0)</f>
        <v xml:space="preserve">LEIDJANE MARTINS </v>
      </c>
      <c r="L327" s="1" t="str">
        <f>VLOOKUP(J327,'[1]Base SCA 02 2026'!V:Y,4,0)</f>
        <v xml:space="preserve">LEIDJANE MARTINS </v>
      </c>
      <c r="M327" s="1" t="str">
        <f>VLOOKUP(J327,'[1]Base SCA 02 2026'!V:Z,5,0)</f>
        <v>DENIS ACASSIO</v>
      </c>
      <c r="N327" s="1" t="str">
        <f t="shared" si="5"/>
        <v>DENIS ACASSIO</v>
      </c>
    </row>
    <row r="328" spans="1:14" x14ac:dyDescent="0.3">
      <c r="A328" s="1">
        <v>100760</v>
      </c>
      <c r="B328" s="1" t="s">
        <v>375</v>
      </c>
      <c r="C328" s="5" t="s">
        <v>15</v>
      </c>
      <c r="D328" s="2">
        <v>42198</v>
      </c>
      <c r="E328" s="1" t="s">
        <v>368</v>
      </c>
      <c r="F328" s="1">
        <v>32101</v>
      </c>
      <c r="G328" s="1" t="s">
        <v>23</v>
      </c>
      <c r="H328" s="1" t="s">
        <v>18</v>
      </c>
      <c r="J328" s="1" t="s">
        <v>24</v>
      </c>
      <c r="K328" s="1" t="str">
        <f>VLOOKUP(J328,'[1]Base SCA 02 2026'!V:X,3,0)</f>
        <v>RAFAEL XAVIER</v>
      </c>
      <c r="L328" s="1" t="str">
        <f>VLOOKUP(J328,'[1]Base SCA 02 2026'!V:Y,4,0)</f>
        <v>FERNANDO GUILHERME</v>
      </c>
      <c r="M328" s="1" t="str">
        <f>VLOOKUP(J328,'[1]Base SCA 02 2026'!V:Z,5,0)</f>
        <v>JUNIO COSTA</v>
      </c>
      <c r="N328" s="1" t="str">
        <f t="shared" si="5"/>
        <v>JUNIO COSTA</v>
      </c>
    </row>
    <row r="329" spans="1:14" x14ac:dyDescent="0.3">
      <c r="A329" s="1">
        <v>701127</v>
      </c>
      <c r="B329" s="1" t="s">
        <v>376</v>
      </c>
      <c r="C329" s="5" t="s">
        <v>15</v>
      </c>
      <c r="D329" s="2">
        <v>42381</v>
      </c>
      <c r="E329" s="1" t="s">
        <v>116</v>
      </c>
      <c r="F329" s="1">
        <v>34201</v>
      </c>
      <c r="G329" s="1" t="s">
        <v>84</v>
      </c>
      <c r="H329" s="1" t="s">
        <v>18</v>
      </c>
      <c r="J329" s="1" t="s">
        <v>85</v>
      </c>
      <c r="K329" s="1" t="str">
        <f>VLOOKUP(J329,'[1]Base SCA 02 2026'!V:X,3,0)</f>
        <v>PAULO BONIFÁCIO</v>
      </c>
      <c r="L329" s="1" t="str">
        <f>VLOOKUP(J329,'[1]Base SCA 02 2026'!V:Y,4,0)</f>
        <v>PAULO BONIFÁCIO</v>
      </c>
      <c r="M329" s="1" t="str">
        <f>VLOOKUP(J329,'[1]Base SCA 02 2026'!V:Z,5,0)</f>
        <v xml:space="preserve">LEONARDO SANTOS </v>
      </c>
      <c r="N329" s="1" t="str">
        <f t="shared" si="5"/>
        <v xml:space="preserve">LEONARDO SANTOS </v>
      </c>
    </row>
    <row r="330" spans="1:14" x14ac:dyDescent="0.3">
      <c r="A330" s="1">
        <v>101518</v>
      </c>
      <c r="B330" s="1" t="s">
        <v>377</v>
      </c>
      <c r="C330" s="5" t="s">
        <v>15</v>
      </c>
      <c r="D330" s="2">
        <v>42982</v>
      </c>
      <c r="E330" s="1" t="s">
        <v>1221</v>
      </c>
      <c r="F330" s="1">
        <v>34201</v>
      </c>
      <c r="G330" s="1" t="s">
        <v>84</v>
      </c>
      <c r="H330" s="1" t="s">
        <v>18</v>
      </c>
      <c r="J330" s="1" t="s">
        <v>85</v>
      </c>
      <c r="K330" s="1" t="str">
        <f>VLOOKUP(J330,'[1]Base SCA 02 2026'!V:X,3,0)</f>
        <v>PAULO BONIFÁCIO</v>
      </c>
      <c r="L330" s="1" t="str">
        <f>VLOOKUP(J330,'[1]Base SCA 02 2026'!V:Y,4,0)</f>
        <v>PAULO BONIFÁCIO</v>
      </c>
      <c r="M330" s="1" t="str">
        <f>VLOOKUP(J330,'[1]Base SCA 02 2026'!V:Z,5,0)</f>
        <v xml:space="preserve">LEONARDO SANTOS </v>
      </c>
      <c r="N330" s="1" t="str">
        <f t="shared" si="5"/>
        <v xml:space="preserve">LEONARDO SANTOS </v>
      </c>
    </row>
    <row r="331" spans="1:14" x14ac:dyDescent="0.3">
      <c r="A331" s="1">
        <v>704965</v>
      </c>
      <c r="B331" s="1" t="s">
        <v>378</v>
      </c>
      <c r="C331" s="5" t="s">
        <v>15</v>
      </c>
      <c r="D331" s="2">
        <v>45629</v>
      </c>
      <c r="E331" s="1" t="s">
        <v>91</v>
      </c>
      <c r="F331" s="1">
        <v>34201</v>
      </c>
      <c r="G331" s="1" t="s">
        <v>84</v>
      </c>
      <c r="H331" s="1" t="s">
        <v>18</v>
      </c>
      <c r="J331" s="1" t="s">
        <v>85</v>
      </c>
      <c r="K331" s="1" t="str">
        <f>VLOOKUP(J331,'[1]Base SCA 02 2026'!V:X,3,0)</f>
        <v>PAULO BONIFÁCIO</v>
      </c>
      <c r="L331" s="1" t="str">
        <f>VLOOKUP(J331,'[1]Base SCA 02 2026'!V:Y,4,0)</f>
        <v>PAULO BONIFÁCIO</v>
      </c>
      <c r="M331" s="1" t="str">
        <f>VLOOKUP(J331,'[1]Base SCA 02 2026'!V:Z,5,0)</f>
        <v xml:space="preserve">LEONARDO SANTOS </v>
      </c>
      <c r="N331" s="1" t="str">
        <f t="shared" si="5"/>
        <v xml:space="preserve">LEONARDO SANTOS </v>
      </c>
    </row>
    <row r="332" spans="1:14" x14ac:dyDescent="0.3">
      <c r="A332" s="1">
        <v>705095</v>
      </c>
      <c r="B332" s="1" t="s">
        <v>379</v>
      </c>
      <c r="C332" s="5" t="s">
        <v>15</v>
      </c>
      <c r="D332" s="2">
        <v>45670</v>
      </c>
      <c r="E332" s="1" t="s">
        <v>31</v>
      </c>
      <c r="F332" s="1">
        <v>25201</v>
      </c>
      <c r="G332" s="1" t="s">
        <v>89</v>
      </c>
      <c r="H332" s="1" t="s">
        <v>18</v>
      </c>
      <c r="J332" s="1" t="s">
        <v>19</v>
      </c>
      <c r="K332" s="1" t="str">
        <f>VLOOKUP(J332,'[1]Base SCA 02 2026'!V:X,3,0)</f>
        <v>JOSÉ GOUVEA</v>
      </c>
      <c r="L332" s="1" t="str">
        <f>VLOOKUP(J332,'[1]Base SCA 02 2026'!V:Y,4,0)</f>
        <v>ALEX DIAS</v>
      </c>
      <c r="N332" s="1" t="str">
        <f t="shared" si="5"/>
        <v>ALEX DIAS</v>
      </c>
    </row>
    <row r="333" spans="1:14" x14ac:dyDescent="0.3">
      <c r="A333" s="1">
        <v>704964</v>
      </c>
      <c r="B333" s="1" t="s">
        <v>380</v>
      </c>
      <c r="C333" s="5" t="s">
        <v>15</v>
      </c>
      <c r="D333" s="2">
        <v>45629</v>
      </c>
      <c r="E333" s="1" t="s">
        <v>381</v>
      </c>
      <c r="F333" s="1">
        <v>39302</v>
      </c>
      <c r="G333" s="1" t="s">
        <v>102</v>
      </c>
      <c r="H333" s="1" t="s">
        <v>18</v>
      </c>
      <c r="J333" s="1" t="s">
        <v>57</v>
      </c>
      <c r="K333" s="1" t="str">
        <f>VLOOKUP(J333,'[1]Base SCA 02 2026'!V:X,3,0)</f>
        <v>PAULO BONIFÁCIO</v>
      </c>
      <c r="L333" s="1" t="str">
        <f>VLOOKUP(J333,'[1]Base SCA 02 2026'!V:Y,4,0)</f>
        <v>ALDAIR BORGES</v>
      </c>
      <c r="M333" s="1" t="str">
        <f>VLOOKUP(J333,'[1]Base SCA 02 2026'!V:Z,5,0)</f>
        <v>WARLEY RIBEIRO</v>
      </c>
      <c r="N333" s="1" t="str">
        <f t="shared" si="5"/>
        <v>WARLEY RIBEIRO</v>
      </c>
    </row>
    <row r="334" spans="1:14" x14ac:dyDescent="0.3">
      <c r="A334" s="1">
        <v>705719</v>
      </c>
      <c r="B334" s="1" t="s">
        <v>382</v>
      </c>
      <c r="C334" s="5" t="s">
        <v>15</v>
      </c>
      <c r="D334" s="2">
        <v>45972</v>
      </c>
      <c r="E334" s="1" t="s">
        <v>31</v>
      </c>
      <c r="F334" s="1">
        <v>25201</v>
      </c>
      <c r="G334" s="1" t="s">
        <v>89</v>
      </c>
      <c r="H334" s="1" t="s">
        <v>18</v>
      </c>
      <c r="J334" s="1" t="s">
        <v>19</v>
      </c>
      <c r="K334" s="1" t="str">
        <f>VLOOKUP(J334,'[1]Base SCA 02 2026'!V:X,3,0)</f>
        <v>JOSÉ GOUVEA</v>
      </c>
      <c r="L334" s="1" t="str">
        <f>VLOOKUP(J334,'[1]Base SCA 02 2026'!V:Y,4,0)</f>
        <v>ALEX DIAS</v>
      </c>
      <c r="N334" s="1" t="str">
        <f t="shared" si="5"/>
        <v>ALEX DIAS</v>
      </c>
    </row>
    <row r="335" spans="1:14" x14ac:dyDescent="0.3">
      <c r="A335" s="1">
        <v>703421</v>
      </c>
      <c r="B335" s="1" t="s">
        <v>383</v>
      </c>
      <c r="C335" s="5" t="s">
        <v>15</v>
      </c>
      <c r="D335" s="2">
        <v>44873</v>
      </c>
      <c r="E335" s="1" t="s">
        <v>31</v>
      </c>
      <c r="F335" s="1">
        <v>34201</v>
      </c>
      <c r="G335" s="1" t="s">
        <v>84</v>
      </c>
      <c r="H335" s="1" t="s">
        <v>18</v>
      </c>
      <c r="J335" s="1" t="s">
        <v>85</v>
      </c>
      <c r="K335" s="1" t="str">
        <f>VLOOKUP(J335,'[1]Base SCA 02 2026'!V:X,3,0)</f>
        <v>PAULO BONIFÁCIO</v>
      </c>
      <c r="L335" s="1" t="str">
        <f>VLOOKUP(J335,'[1]Base SCA 02 2026'!V:Y,4,0)</f>
        <v>PAULO BONIFÁCIO</v>
      </c>
      <c r="M335" s="1" t="str">
        <f>VLOOKUP(J335,'[1]Base SCA 02 2026'!V:Z,5,0)</f>
        <v xml:space="preserve">LEONARDO SANTOS </v>
      </c>
      <c r="N335" s="1" t="str">
        <f t="shared" si="5"/>
        <v xml:space="preserve">LEONARDO SANTOS </v>
      </c>
    </row>
    <row r="336" spans="1:14" x14ac:dyDescent="0.3">
      <c r="A336" s="1">
        <v>705758</v>
      </c>
      <c r="B336" s="1" t="s">
        <v>1485</v>
      </c>
      <c r="C336" s="5" t="s">
        <v>15</v>
      </c>
      <c r="D336" s="2">
        <v>45993</v>
      </c>
      <c r="E336" s="1" t="s">
        <v>238</v>
      </c>
      <c r="F336" s="1">
        <v>37101</v>
      </c>
      <c r="G336" s="1" t="s">
        <v>214</v>
      </c>
      <c r="H336" s="1" t="s">
        <v>18</v>
      </c>
      <c r="J336" s="1" t="s">
        <v>239</v>
      </c>
      <c r="K336" s="1" t="str">
        <f>VLOOKUP(J336,'[1]Base SCA 02 2026'!V:X,3,0)</f>
        <v>CARSON NEVES</v>
      </c>
      <c r="L336" s="1" t="str">
        <f>VLOOKUP(J336,'[1]Base SCA 02 2026'!V:Y,4,0)</f>
        <v>CARSON NEVES</v>
      </c>
      <c r="N336" s="1" t="str">
        <f t="shared" si="5"/>
        <v>CARSON NEVES</v>
      </c>
    </row>
    <row r="337" spans="1:14" x14ac:dyDescent="0.3">
      <c r="A337" s="1">
        <v>705890</v>
      </c>
      <c r="B337" s="1" t="s">
        <v>1546</v>
      </c>
      <c r="C337" s="5" t="s">
        <v>15</v>
      </c>
      <c r="D337" s="2">
        <v>46063</v>
      </c>
      <c r="E337" s="1" t="s">
        <v>31</v>
      </c>
      <c r="F337" s="1">
        <v>52104</v>
      </c>
      <c r="G337" s="1" t="s">
        <v>17</v>
      </c>
      <c r="H337" s="1" t="s">
        <v>18</v>
      </c>
      <c r="J337" s="1" t="s">
        <v>19</v>
      </c>
      <c r="K337" s="1" t="str">
        <f>VLOOKUP(J337,'[1]Base SCA 02 2026'!V:X,3,0)</f>
        <v>JOSÉ GOUVEA</v>
      </c>
      <c r="L337" s="1" t="str">
        <f>VLOOKUP(J337,'[1]Base SCA 02 2026'!V:Y,4,0)</f>
        <v>ALEX DIAS</v>
      </c>
      <c r="N337" s="1" t="str">
        <f t="shared" si="5"/>
        <v>ALEX DIAS</v>
      </c>
    </row>
    <row r="338" spans="1:14" x14ac:dyDescent="0.3">
      <c r="A338" s="1">
        <v>701993</v>
      </c>
      <c r="B338" s="1" t="s">
        <v>384</v>
      </c>
      <c r="C338" s="5" t="s">
        <v>15</v>
      </c>
      <c r="D338" s="2">
        <v>44214</v>
      </c>
      <c r="E338" s="1" t="s">
        <v>282</v>
      </c>
      <c r="F338" s="1">
        <v>32101</v>
      </c>
      <c r="G338" s="1" t="s">
        <v>23</v>
      </c>
      <c r="H338" s="1" t="s">
        <v>18</v>
      </c>
      <c r="J338" s="1" t="s">
        <v>24</v>
      </c>
      <c r="K338" s="1" t="str">
        <f>VLOOKUP(J338,'[1]Base SCA 02 2026'!V:X,3,0)</f>
        <v>RAFAEL XAVIER</v>
      </c>
      <c r="L338" s="1" t="str">
        <f>VLOOKUP(J338,'[1]Base SCA 02 2026'!V:Y,4,0)</f>
        <v>FERNANDO GUILHERME</v>
      </c>
      <c r="M338" s="1" t="str">
        <f>VLOOKUP(J338,'[1]Base SCA 02 2026'!V:Z,5,0)</f>
        <v>JUNIO COSTA</v>
      </c>
      <c r="N338" s="1" t="str">
        <f t="shared" si="5"/>
        <v>JUNIO COSTA</v>
      </c>
    </row>
    <row r="339" spans="1:14" x14ac:dyDescent="0.3">
      <c r="A339" s="1">
        <v>702853</v>
      </c>
      <c r="B339" s="1" t="s">
        <v>386</v>
      </c>
      <c r="C339" s="5" t="s">
        <v>15</v>
      </c>
      <c r="D339" s="2">
        <v>44628</v>
      </c>
      <c r="E339" s="1" t="s">
        <v>387</v>
      </c>
      <c r="F339" s="1">
        <v>37101</v>
      </c>
      <c r="G339" s="1" t="s">
        <v>214</v>
      </c>
      <c r="H339" s="1" t="s">
        <v>18</v>
      </c>
      <c r="J339" s="1" t="s">
        <v>239</v>
      </c>
      <c r="K339" s="1" t="str">
        <f>VLOOKUP(J339,'[1]Base SCA 02 2026'!V:X,3,0)</f>
        <v>CARSON NEVES</v>
      </c>
      <c r="L339" s="1" t="str">
        <f>VLOOKUP(J339,'[1]Base SCA 02 2026'!V:Y,4,0)</f>
        <v>CARSON NEVES</v>
      </c>
      <c r="N339" s="1" t="str">
        <f t="shared" si="5"/>
        <v>CARSON NEVES</v>
      </c>
    </row>
    <row r="340" spans="1:14" x14ac:dyDescent="0.3">
      <c r="A340" s="1">
        <v>703018</v>
      </c>
      <c r="B340" s="1" t="s">
        <v>388</v>
      </c>
      <c r="C340" s="5" t="s">
        <v>15</v>
      </c>
      <c r="D340" s="2">
        <v>44692</v>
      </c>
      <c r="E340" s="1" t="s">
        <v>146</v>
      </c>
      <c r="F340" s="1">
        <v>39304</v>
      </c>
      <c r="G340" s="1" t="s">
        <v>56</v>
      </c>
      <c r="H340" s="1" t="s">
        <v>18</v>
      </c>
      <c r="J340" s="1" t="s">
        <v>57</v>
      </c>
      <c r="K340" s="1" t="str">
        <f>VLOOKUP(J340,'[1]Base SCA 02 2026'!V:X,3,0)</f>
        <v>PAULO BONIFÁCIO</v>
      </c>
      <c r="L340" s="1" t="str">
        <f>VLOOKUP(J340,'[1]Base SCA 02 2026'!V:Y,4,0)</f>
        <v>ALDAIR BORGES</v>
      </c>
      <c r="M340" s="1" t="str">
        <f>VLOOKUP(J340,'[1]Base SCA 02 2026'!V:Z,5,0)</f>
        <v>WARLEY RIBEIRO</v>
      </c>
      <c r="N340" s="1" t="str">
        <f t="shared" si="5"/>
        <v>WARLEY RIBEIRO</v>
      </c>
    </row>
    <row r="341" spans="1:14" x14ac:dyDescent="0.3">
      <c r="A341" s="1">
        <v>704224</v>
      </c>
      <c r="B341" s="1" t="s">
        <v>389</v>
      </c>
      <c r="C341" s="5" t="s">
        <v>15</v>
      </c>
      <c r="D341" s="2">
        <v>45328</v>
      </c>
      <c r="E341" s="1" t="s">
        <v>138</v>
      </c>
      <c r="F341" s="1">
        <v>22102</v>
      </c>
      <c r="G341" s="1" t="s">
        <v>68</v>
      </c>
      <c r="H341" s="1" t="s">
        <v>18</v>
      </c>
      <c r="J341" s="1" t="s">
        <v>69</v>
      </c>
      <c r="K341" s="1" t="str">
        <f>VLOOKUP(J341,'[1]Base SCA 02 2026'!V:X,3,0)</f>
        <v>PAULO BONIFÁCIO</v>
      </c>
      <c r="L341" s="1" t="str">
        <f>VLOOKUP(J341,'[1]Base SCA 02 2026'!V:Y,4,0)</f>
        <v xml:space="preserve">JOÃO KOMURA </v>
      </c>
      <c r="N341" s="1" t="str">
        <f t="shared" si="5"/>
        <v xml:space="preserve">JOÃO KOMURA </v>
      </c>
    </row>
    <row r="342" spans="1:14" x14ac:dyDescent="0.3">
      <c r="A342" s="1">
        <v>705738</v>
      </c>
      <c r="B342" s="1" t="s">
        <v>390</v>
      </c>
      <c r="C342" s="5" t="s">
        <v>15</v>
      </c>
      <c r="D342" s="2">
        <v>45993</v>
      </c>
      <c r="E342" s="1" t="s">
        <v>446</v>
      </c>
      <c r="F342" s="1">
        <v>22101</v>
      </c>
      <c r="G342" s="1" t="s">
        <v>122</v>
      </c>
      <c r="H342" s="1" t="s">
        <v>18</v>
      </c>
      <c r="J342" s="1" t="s">
        <v>123</v>
      </c>
      <c r="K342" s="1" t="str">
        <f>VLOOKUP(J342,'[1]Base SCA 02 2026'!V:X,3,0)</f>
        <v>MATHEUS FERNANDES</v>
      </c>
      <c r="L342" s="1" t="str">
        <f>VLOOKUP(J342,'[1]Base SCA 02 2026'!V:Y,4,0)</f>
        <v>MATHEUS FERNANDES</v>
      </c>
      <c r="N342" s="1" t="str">
        <f t="shared" si="5"/>
        <v>MATHEUS FERNANDES</v>
      </c>
    </row>
    <row r="343" spans="1:14" x14ac:dyDescent="0.3">
      <c r="A343" s="1">
        <v>705237</v>
      </c>
      <c r="B343" s="1" t="s">
        <v>1183</v>
      </c>
      <c r="C343" s="5" t="s">
        <v>15</v>
      </c>
      <c r="D343" s="2">
        <v>45754</v>
      </c>
      <c r="E343" s="1" t="s">
        <v>31</v>
      </c>
      <c r="F343" s="1">
        <v>52104</v>
      </c>
      <c r="G343" s="1" t="s">
        <v>17</v>
      </c>
      <c r="H343" s="1" t="s">
        <v>18</v>
      </c>
      <c r="J343" s="1" t="s">
        <v>19</v>
      </c>
      <c r="K343" s="1" t="str">
        <f>VLOOKUP(J343,'[1]Base SCA 02 2026'!V:X,3,0)</f>
        <v>JOSÉ GOUVEA</v>
      </c>
      <c r="L343" s="1" t="str">
        <f>VLOOKUP(J343,'[1]Base SCA 02 2026'!V:Y,4,0)</f>
        <v>ALEX DIAS</v>
      </c>
      <c r="N343" s="1" t="str">
        <f t="shared" si="5"/>
        <v>ALEX DIAS</v>
      </c>
    </row>
    <row r="344" spans="1:14" x14ac:dyDescent="0.3">
      <c r="A344" s="1">
        <v>704167</v>
      </c>
      <c r="B344" s="1" t="s">
        <v>391</v>
      </c>
      <c r="C344" s="5" t="s">
        <v>15</v>
      </c>
      <c r="D344" s="2">
        <v>45271</v>
      </c>
      <c r="E344" s="1" t="s">
        <v>406</v>
      </c>
      <c r="F344" s="1">
        <v>12105</v>
      </c>
      <c r="G344" s="1" t="s">
        <v>393</v>
      </c>
      <c r="H344" s="1" t="s">
        <v>18</v>
      </c>
      <c r="J344" s="1" t="s">
        <v>394</v>
      </c>
      <c r="K344" s="1" t="str">
        <f>VLOOKUP(J344,'[1]Base SCA 02 2026'!V:X,3,0)</f>
        <v>JOÃO GORGULHO</v>
      </c>
      <c r="L344" s="1" t="str">
        <f>VLOOKUP(J344,'[1]Base SCA 02 2026'!V:Y,4,0)</f>
        <v>JOÃO GORGULHO</v>
      </c>
      <c r="N344" s="1" t="str">
        <f t="shared" si="5"/>
        <v>JOÃO GORGULHO</v>
      </c>
    </row>
    <row r="345" spans="1:14" x14ac:dyDescent="0.3">
      <c r="A345" s="1">
        <v>705637</v>
      </c>
      <c r="B345" s="1" t="s">
        <v>1408</v>
      </c>
      <c r="C345" s="5" t="s">
        <v>15</v>
      </c>
      <c r="D345" s="2">
        <v>45937</v>
      </c>
      <c r="E345" s="1" t="s">
        <v>31</v>
      </c>
      <c r="F345" s="1">
        <v>52104</v>
      </c>
      <c r="G345" s="1" t="s">
        <v>17</v>
      </c>
      <c r="H345" s="1" t="s">
        <v>18</v>
      </c>
      <c r="J345" s="1" t="s">
        <v>19</v>
      </c>
      <c r="K345" s="1" t="str">
        <f>VLOOKUP(J345,'[1]Base SCA 02 2026'!V:X,3,0)</f>
        <v>JOSÉ GOUVEA</v>
      </c>
      <c r="L345" s="1" t="str">
        <f>VLOOKUP(J345,'[1]Base SCA 02 2026'!V:Y,4,0)</f>
        <v>ALEX DIAS</v>
      </c>
      <c r="N345" s="1" t="str">
        <f t="shared" si="5"/>
        <v>ALEX DIAS</v>
      </c>
    </row>
    <row r="346" spans="1:14" x14ac:dyDescent="0.3">
      <c r="A346" s="1">
        <v>705093</v>
      </c>
      <c r="B346" s="1" t="s">
        <v>395</v>
      </c>
      <c r="C346" s="5" t="s">
        <v>15</v>
      </c>
      <c r="D346" s="2">
        <v>45670</v>
      </c>
      <c r="E346" s="1" t="s">
        <v>40</v>
      </c>
      <c r="F346" s="1">
        <v>51219</v>
      </c>
      <c r="G346" s="1" t="s">
        <v>61</v>
      </c>
      <c r="H346" s="1" t="s">
        <v>18</v>
      </c>
      <c r="J346" s="1" t="s">
        <v>19</v>
      </c>
      <c r="K346" s="1" t="str">
        <f>VLOOKUP(J346,'[1]Base SCA 02 2026'!V:X,3,0)</f>
        <v>JOSÉ GOUVEA</v>
      </c>
      <c r="L346" s="1" t="str">
        <f>VLOOKUP(J346,'[1]Base SCA 02 2026'!V:Y,4,0)</f>
        <v>ALEX DIAS</v>
      </c>
      <c r="N346" s="1" t="str">
        <f t="shared" si="5"/>
        <v>ALEX DIAS</v>
      </c>
    </row>
    <row r="347" spans="1:14" x14ac:dyDescent="0.3">
      <c r="A347" s="1">
        <v>704156</v>
      </c>
      <c r="B347" s="1" t="s">
        <v>396</v>
      </c>
      <c r="C347" s="5" t="s">
        <v>15</v>
      </c>
      <c r="D347" s="2">
        <v>45264</v>
      </c>
      <c r="E347" s="1" t="s">
        <v>336</v>
      </c>
      <c r="F347" s="1">
        <v>38107</v>
      </c>
      <c r="G347" s="1" t="s">
        <v>1503</v>
      </c>
      <c r="H347" s="1" t="s">
        <v>18</v>
      </c>
      <c r="J347" s="1" t="s">
        <v>78</v>
      </c>
      <c r="K347" s="1" t="str">
        <f>VLOOKUP(J347,'[1]Base SCA 02 2026'!V:X,3,0)</f>
        <v xml:space="preserve">LEIDJANE MARTINS </v>
      </c>
      <c r="L347" s="1" t="str">
        <f>VLOOKUP(J347,'[1]Base SCA 02 2026'!V:Y,4,0)</f>
        <v xml:space="preserve">LEIDJANE MARTINS </v>
      </c>
      <c r="N347" s="1" t="str">
        <f t="shared" si="5"/>
        <v xml:space="preserve">LEIDJANE MARTINS </v>
      </c>
    </row>
    <row r="348" spans="1:14" x14ac:dyDescent="0.3">
      <c r="A348" s="1">
        <v>701616</v>
      </c>
      <c r="B348" s="1" t="s">
        <v>397</v>
      </c>
      <c r="C348" s="5" t="s">
        <v>15</v>
      </c>
      <c r="D348" s="2">
        <v>43998</v>
      </c>
      <c r="E348" s="1" t="s">
        <v>160</v>
      </c>
      <c r="F348" s="1">
        <v>32101</v>
      </c>
      <c r="G348" s="1" t="s">
        <v>23</v>
      </c>
      <c r="H348" s="1" t="s">
        <v>18</v>
      </c>
      <c r="J348" s="1" t="s">
        <v>24</v>
      </c>
      <c r="K348" s="1" t="str">
        <f>VLOOKUP(J348,'[1]Base SCA 02 2026'!V:X,3,0)</f>
        <v>RAFAEL XAVIER</v>
      </c>
      <c r="L348" s="1" t="str">
        <f>VLOOKUP(J348,'[1]Base SCA 02 2026'!V:Y,4,0)</f>
        <v>FERNANDO GUILHERME</v>
      </c>
      <c r="M348" s="1" t="str">
        <f>VLOOKUP(J348,'[1]Base SCA 02 2026'!V:Z,5,0)</f>
        <v>JUNIO COSTA</v>
      </c>
      <c r="N348" s="1" t="str">
        <f t="shared" si="5"/>
        <v>JUNIO COSTA</v>
      </c>
    </row>
    <row r="349" spans="1:14" x14ac:dyDescent="0.3">
      <c r="A349" s="1">
        <v>700483</v>
      </c>
      <c r="B349" s="1" t="s">
        <v>398</v>
      </c>
      <c r="C349" s="5" t="s">
        <v>15</v>
      </c>
      <c r="D349" s="2">
        <v>43346</v>
      </c>
      <c r="E349" s="1" t="s">
        <v>127</v>
      </c>
      <c r="F349" s="1">
        <v>22102</v>
      </c>
      <c r="G349" s="1" t="s">
        <v>68</v>
      </c>
      <c r="H349" s="1" t="s">
        <v>18</v>
      </c>
      <c r="J349" s="1" t="s">
        <v>81</v>
      </c>
      <c r="K349" s="1" t="str">
        <f>VLOOKUP(J349,'[1]Base SCA 02 2026'!V:X,3,0)</f>
        <v>PAULO BONIFÁCIO</v>
      </c>
      <c r="L349" s="1" t="str">
        <f>VLOOKUP(J349,'[1]Base SCA 02 2026'!V:Y,4,0)</f>
        <v>MAURICIO SANTOS</v>
      </c>
      <c r="M349" s="1" t="str">
        <f>VLOOKUP(J349,'[1]Base SCA 02 2026'!V:Z,5,0)</f>
        <v xml:space="preserve">EDSON/MARCELO LIMA </v>
      </c>
      <c r="N349" s="1" t="str">
        <f t="shared" si="5"/>
        <v xml:space="preserve">EDSON/MARCELO LIMA </v>
      </c>
    </row>
    <row r="350" spans="1:14" x14ac:dyDescent="0.3">
      <c r="A350" s="1">
        <v>704191</v>
      </c>
      <c r="B350" s="1" t="s">
        <v>399</v>
      </c>
      <c r="C350" s="5" t="s">
        <v>15</v>
      </c>
      <c r="D350" s="2">
        <v>45300</v>
      </c>
      <c r="E350" s="1" t="s">
        <v>67</v>
      </c>
      <c r="F350" s="1">
        <v>22102</v>
      </c>
      <c r="G350" s="1" t="s">
        <v>68</v>
      </c>
      <c r="H350" s="1" t="s">
        <v>18</v>
      </c>
      <c r="J350" s="1" t="s">
        <v>94</v>
      </c>
      <c r="K350" s="1" t="str">
        <f>VLOOKUP(J350,'[1]Base SCA 02 2026'!V:X,3,0)</f>
        <v>PAULO BONIFÁCIO</v>
      </c>
      <c r="L350" s="1" t="str">
        <f>VLOOKUP(J350,'[1]Base SCA 02 2026'!V:Y,4,0)</f>
        <v xml:space="preserve">JOÃO KOMURA </v>
      </c>
      <c r="M350" s="1" t="str">
        <f>VLOOKUP(J350,'[1]Base SCA 02 2026'!V:Z,5,0)</f>
        <v>LUAN ABADIA</v>
      </c>
      <c r="N350" s="1" t="str">
        <f t="shared" si="5"/>
        <v>LUAN ABADIA</v>
      </c>
    </row>
    <row r="351" spans="1:14" x14ac:dyDescent="0.3">
      <c r="A351" s="1">
        <v>705718</v>
      </c>
      <c r="B351" s="1" t="s">
        <v>1451</v>
      </c>
      <c r="C351" s="5" t="s">
        <v>15</v>
      </c>
      <c r="D351" s="2">
        <v>45971</v>
      </c>
      <c r="E351" s="1" t="s">
        <v>31</v>
      </c>
      <c r="F351" s="1">
        <v>25201</v>
      </c>
      <c r="G351" s="1" t="s">
        <v>89</v>
      </c>
      <c r="H351" s="1" t="s">
        <v>18</v>
      </c>
      <c r="J351" s="1" t="s">
        <v>19</v>
      </c>
      <c r="K351" s="1" t="str">
        <f>VLOOKUP(J351,'[1]Base SCA 02 2026'!V:X,3,0)</f>
        <v>JOSÉ GOUVEA</v>
      </c>
      <c r="L351" s="1" t="str">
        <f>VLOOKUP(J351,'[1]Base SCA 02 2026'!V:Y,4,0)</f>
        <v>ALEX DIAS</v>
      </c>
      <c r="N351" s="1" t="str">
        <f t="shared" si="5"/>
        <v>ALEX DIAS</v>
      </c>
    </row>
    <row r="352" spans="1:14" x14ac:dyDescent="0.3">
      <c r="A352" s="1">
        <v>705015</v>
      </c>
      <c r="B352" s="1" t="s">
        <v>934</v>
      </c>
      <c r="C352" s="5" t="s">
        <v>15</v>
      </c>
      <c r="D352" s="2">
        <v>45635</v>
      </c>
      <c r="E352" s="1" t="s">
        <v>328</v>
      </c>
      <c r="F352" s="1">
        <v>37101</v>
      </c>
      <c r="G352" s="1" t="s">
        <v>214</v>
      </c>
      <c r="H352" s="1" t="s">
        <v>18</v>
      </c>
      <c r="J352" s="1" t="s">
        <v>239</v>
      </c>
      <c r="K352" s="1" t="str">
        <f>VLOOKUP(J352,'[1]Base SCA 02 2026'!V:X,3,0)</f>
        <v>CARSON NEVES</v>
      </c>
      <c r="L352" s="1" t="str">
        <f>VLOOKUP(J352,'[1]Base SCA 02 2026'!V:Y,4,0)</f>
        <v>CARSON NEVES</v>
      </c>
      <c r="N352" s="1" t="str">
        <f t="shared" si="5"/>
        <v>CARSON NEVES</v>
      </c>
    </row>
    <row r="353" spans="1:14" x14ac:dyDescent="0.3">
      <c r="A353" s="1">
        <v>705045</v>
      </c>
      <c r="B353" s="1" t="s">
        <v>400</v>
      </c>
      <c r="C353" s="5" t="s">
        <v>15</v>
      </c>
      <c r="D353" s="2">
        <v>45635</v>
      </c>
      <c r="E353" s="1" t="s">
        <v>1352</v>
      </c>
      <c r="F353" s="1">
        <v>31102</v>
      </c>
      <c r="G353" s="1" t="s">
        <v>135</v>
      </c>
      <c r="H353" s="1" t="s">
        <v>18</v>
      </c>
      <c r="J353" s="1" t="s">
        <v>136</v>
      </c>
      <c r="K353" s="1" t="str">
        <f>VLOOKUP(J353,'[1]Base SCA 02 2026'!V:X,3,0)</f>
        <v>ANDREZA LARDO</v>
      </c>
      <c r="L353" s="1" t="str">
        <f>VLOOKUP(J353,'[1]Base SCA 02 2026'!V:Y,4,0)</f>
        <v>ANDREZA LARDO</v>
      </c>
      <c r="M353" s="1" t="str">
        <f>VLOOKUP(J353,'[1]Base SCA 02 2026'!V:Z,5,0)</f>
        <v>ADENILTON RODRIGUES</v>
      </c>
      <c r="N353" s="1" t="str">
        <f t="shared" si="5"/>
        <v>ADENILTON RODRIGUES</v>
      </c>
    </row>
    <row r="354" spans="1:14" x14ac:dyDescent="0.3">
      <c r="A354" s="1">
        <v>703237</v>
      </c>
      <c r="B354" s="1" t="s">
        <v>401</v>
      </c>
      <c r="C354" s="5" t="s">
        <v>15</v>
      </c>
      <c r="D354" s="2">
        <v>44760</v>
      </c>
      <c r="E354" s="1" t="s">
        <v>1353</v>
      </c>
      <c r="F354" s="1">
        <v>31102</v>
      </c>
      <c r="G354" s="1" t="s">
        <v>135</v>
      </c>
      <c r="H354" s="1" t="s">
        <v>18</v>
      </c>
      <c r="J354" s="1" t="s">
        <v>136</v>
      </c>
      <c r="K354" s="1" t="str">
        <f>VLOOKUP(J354,'[1]Base SCA 02 2026'!V:X,3,0)</f>
        <v>ANDREZA LARDO</v>
      </c>
      <c r="L354" s="1" t="str">
        <f>VLOOKUP(J354,'[1]Base SCA 02 2026'!V:Y,4,0)</f>
        <v>ANDREZA LARDO</v>
      </c>
      <c r="M354" s="1" t="str">
        <f>VLOOKUP(J354,'[1]Base SCA 02 2026'!V:Z,5,0)</f>
        <v>ADENILTON RODRIGUES</v>
      </c>
      <c r="N354" s="1" t="str">
        <f t="shared" si="5"/>
        <v>ADENILTON RODRIGUES</v>
      </c>
    </row>
    <row r="355" spans="1:14" x14ac:dyDescent="0.3">
      <c r="A355" s="1">
        <v>704130</v>
      </c>
      <c r="B355" s="1" t="s">
        <v>402</v>
      </c>
      <c r="C355" s="5" t="s">
        <v>15</v>
      </c>
      <c r="D355" s="2">
        <v>45244</v>
      </c>
      <c r="E355" s="1" t="s">
        <v>31</v>
      </c>
      <c r="F355" s="1">
        <v>25201</v>
      </c>
      <c r="G355" s="1" t="s">
        <v>89</v>
      </c>
      <c r="H355" s="1" t="s">
        <v>18</v>
      </c>
      <c r="J355" s="1" t="s">
        <v>19</v>
      </c>
      <c r="K355" s="1" t="str">
        <f>VLOOKUP(J355,'[1]Base SCA 02 2026'!V:X,3,0)</f>
        <v>JOSÉ GOUVEA</v>
      </c>
      <c r="L355" s="1" t="str">
        <f>VLOOKUP(J355,'[1]Base SCA 02 2026'!V:Y,4,0)</f>
        <v>ALEX DIAS</v>
      </c>
      <c r="N355" s="1" t="str">
        <f t="shared" si="5"/>
        <v>ALEX DIAS</v>
      </c>
    </row>
    <row r="356" spans="1:14" x14ac:dyDescent="0.3">
      <c r="A356" s="1">
        <v>705239</v>
      </c>
      <c r="B356" s="1" t="s">
        <v>1184</v>
      </c>
      <c r="C356" s="5" t="s">
        <v>15</v>
      </c>
      <c r="D356" s="2">
        <v>45754</v>
      </c>
      <c r="E356" s="1" t="s">
        <v>31</v>
      </c>
      <c r="F356" s="1">
        <v>52104</v>
      </c>
      <c r="G356" s="1" t="s">
        <v>17</v>
      </c>
      <c r="H356" s="1" t="s">
        <v>18</v>
      </c>
      <c r="J356" s="1" t="s">
        <v>19</v>
      </c>
      <c r="K356" s="1" t="str">
        <f>VLOOKUP(J356,'[1]Base SCA 02 2026'!V:X,3,0)</f>
        <v>JOSÉ GOUVEA</v>
      </c>
      <c r="L356" s="1" t="str">
        <f>VLOOKUP(J356,'[1]Base SCA 02 2026'!V:Y,4,0)</f>
        <v>ALEX DIAS</v>
      </c>
      <c r="N356" s="1" t="str">
        <f t="shared" si="5"/>
        <v>ALEX DIAS</v>
      </c>
    </row>
    <row r="357" spans="1:14" x14ac:dyDescent="0.3">
      <c r="A357" s="1">
        <v>705447</v>
      </c>
      <c r="B357" s="1" t="s">
        <v>1262</v>
      </c>
      <c r="C357" s="5" t="s">
        <v>15</v>
      </c>
      <c r="D357" s="2">
        <v>45797</v>
      </c>
      <c r="E357" s="1" t="s">
        <v>138</v>
      </c>
      <c r="F357" s="1">
        <v>22102</v>
      </c>
      <c r="G357" s="1" t="s">
        <v>68</v>
      </c>
      <c r="H357" s="1" t="s">
        <v>18</v>
      </c>
      <c r="J357" s="1" t="s">
        <v>81</v>
      </c>
      <c r="K357" s="1" t="str">
        <f>VLOOKUP(J357,'[1]Base SCA 02 2026'!V:X,3,0)</f>
        <v>PAULO BONIFÁCIO</v>
      </c>
      <c r="L357" s="1" t="str">
        <f>VLOOKUP(J357,'[1]Base SCA 02 2026'!V:Y,4,0)</f>
        <v>MAURICIO SANTOS</v>
      </c>
      <c r="M357" s="1" t="str">
        <f>VLOOKUP(J357,'[1]Base SCA 02 2026'!V:Z,5,0)</f>
        <v xml:space="preserve">EDSON/MARCELO LIMA </v>
      </c>
      <c r="N357" s="1" t="str">
        <f t="shared" si="5"/>
        <v xml:space="preserve">EDSON/MARCELO LIMA </v>
      </c>
    </row>
    <row r="358" spans="1:14" x14ac:dyDescent="0.3">
      <c r="A358" s="1">
        <v>705411</v>
      </c>
      <c r="B358" s="1" t="s">
        <v>1225</v>
      </c>
      <c r="C358" s="5" t="s">
        <v>15</v>
      </c>
      <c r="D358" s="2">
        <v>45790</v>
      </c>
      <c r="E358" s="1" t="s">
        <v>72</v>
      </c>
      <c r="F358" s="1">
        <v>39304</v>
      </c>
      <c r="G358" s="1" t="s">
        <v>56</v>
      </c>
      <c r="H358" s="1" t="s">
        <v>18</v>
      </c>
      <c r="J358" s="1" t="s">
        <v>57</v>
      </c>
      <c r="K358" s="1" t="str">
        <f>VLOOKUP(J358,'[1]Base SCA 02 2026'!V:X,3,0)</f>
        <v>PAULO BONIFÁCIO</v>
      </c>
      <c r="L358" s="1" t="str">
        <f>VLOOKUP(J358,'[1]Base SCA 02 2026'!V:Y,4,0)</f>
        <v>ALDAIR BORGES</v>
      </c>
      <c r="M358" s="1" t="str">
        <f>VLOOKUP(J358,'[1]Base SCA 02 2026'!V:Z,5,0)</f>
        <v>WARLEY RIBEIRO</v>
      </c>
      <c r="N358" s="1" t="str">
        <f t="shared" si="5"/>
        <v>WARLEY RIBEIRO</v>
      </c>
    </row>
    <row r="359" spans="1:14" x14ac:dyDescent="0.3">
      <c r="A359" s="1">
        <v>702400</v>
      </c>
      <c r="B359" s="1" t="s">
        <v>403</v>
      </c>
      <c r="C359" s="5" t="s">
        <v>15</v>
      </c>
      <c r="D359" s="2">
        <v>44383</v>
      </c>
      <c r="E359" s="1" t="s">
        <v>60</v>
      </c>
      <c r="F359" s="1">
        <v>22102</v>
      </c>
      <c r="G359" s="1" t="s">
        <v>68</v>
      </c>
      <c r="H359" s="1" t="s">
        <v>18</v>
      </c>
      <c r="J359" s="1" t="s">
        <v>167</v>
      </c>
      <c r="K359" s="1" t="str">
        <f>VLOOKUP(J359,'[1]Base SCA 02 2026'!V:X,3,0)</f>
        <v>PAULO BONIFÁCIO</v>
      </c>
      <c r="L359" s="1" t="str">
        <f>VLOOKUP(J359,'[1]Base SCA 02 2026'!V:Y,4,0)</f>
        <v>MAURICIO SANTOS</v>
      </c>
      <c r="M359" s="1" t="str">
        <f>VLOOKUP(J359,'[1]Base SCA 02 2026'!V:Z,5,0)</f>
        <v>FABIANO</v>
      </c>
      <c r="N359" s="1" t="str">
        <f t="shared" si="5"/>
        <v>FABIANO</v>
      </c>
    </row>
    <row r="360" spans="1:14" x14ac:dyDescent="0.3">
      <c r="A360" s="1">
        <v>702921</v>
      </c>
      <c r="B360" s="1" t="s">
        <v>404</v>
      </c>
      <c r="C360" s="5" t="s">
        <v>15</v>
      </c>
      <c r="D360" s="2">
        <v>44656</v>
      </c>
      <c r="E360" s="1" t="s">
        <v>219</v>
      </c>
      <c r="F360" s="1">
        <v>32101</v>
      </c>
      <c r="G360" s="1" t="s">
        <v>23</v>
      </c>
      <c r="H360" s="1" t="s">
        <v>18</v>
      </c>
      <c r="J360" s="1" t="s">
        <v>24</v>
      </c>
      <c r="K360" s="1" t="str">
        <f>VLOOKUP(J360,'[1]Base SCA 02 2026'!V:X,3,0)</f>
        <v>RAFAEL XAVIER</v>
      </c>
      <c r="L360" s="1" t="str">
        <f>VLOOKUP(J360,'[1]Base SCA 02 2026'!V:Y,4,0)</f>
        <v>FERNANDO GUILHERME</v>
      </c>
      <c r="M360" s="1" t="str">
        <f>VLOOKUP(J360,'[1]Base SCA 02 2026'!V:Z,5,0)</f>
        <v>JUNIO COSTA</v>
      </c>
      <c r="N360" s="1" t="str">
        <f t="shared" si="5"/>
        <v>JUNIO COSTA</v>
      </c>
    </row>
    <row r="361" spans="1:14" x14ac:dyDescent="0.3">
      <c r="A361" s="1">
        <v>702172</v>
      </c>
      <c r="B361" s="1" t="s">
        <v>405</v>
      </c>
      <c r="C361" s="5" t="s">
        <v>15</v>
      </c>
      <c r="D361" s="2">
        <v>44320</v>
      </c>
      <c r="E361" s="1" t="s">
        <v>105</v>
      </c>
      <c r="F361" s="1">
        <v>22102</v>
      </c>
      <c r="G361" s="1" t="s">
        <v>68</v>
      </c>
      <c r="H361" s="1" t="s">
        <v>18</v>
      </c>
      <c r="J361" s="1" t="s">
        <v>167</v>
      </c>
      <c r="K361" s="1" t="str">
        <f>VLOOKUP(J361,'[1]Base SCA 02 2026'!V:X,3,0)</f>
        <v>PAULO BONIFÁCIO</v>
      </c>
      <c r="L361" s="1" t="str">
        <f>VLOOKUP(J361,'[1]Base SCA 02 2026'!V:Y,4,0)</f>
        <v>MAURICIO SANTOS</v>
      </c>
      <c r="M361" s="1" t="str">
        <f>VLOOKUP(J361,'[1]Base SCA 02 2026'!V:Z,5,0)</f>
        <v>FABIANO</v>
      </c>
      <c r="N361" s="1" t="str">
        <f t="shared" si="5"/>
        <v>FABIANO</v>
      </c>
    </row>
    <row r="362" spans="1:14" x14ac:dyDescent="0.3">
      <c r="A362" s="1">
        <v>701299</v>
      </c>
      <c r="B362" s="1" t="s">
        <v>407</v>
      </c>
      <c r="C362" s="5" t="s">
        <v>15</v>
      </c>
      <c r="D362" s="2">
        <v>43724</v>
      </c>
      <c r="E362" s="1" t="s">
        <v>408</v>
      </c>
      <c r="F362" s="1">
        <v>37101</v>
      </c>
      <c r="G362" s="1" t="s">
        <v>214</v>
      </c>
      <c r="H362" s="1" t="s">
        <v>18</v>
      </c>
      <c r="J362" s="1" t="s">
        <v>239</v>
      </c>
      <c r="K362" s="1" t="str">
        <f>VLOOKUP(J362,'[1]Base SCA 02 2026'!V:X,3,0)</f>
        <v>CARSON NEVES</v>
      </c>
      <c r="L362" s="1" t="str">
        <f>VLOOKUP(J362,'[1]Base SCA 02 2026'!V:Y,4,0)</f>
        <v>CARSON NEVES</v>
      </c>
      <c r="N362" s="1" t="str">
        <f t="shared" si="5"/>
        <v>CARSON NEVES</v>
      </c>
    </row>
    <row r="363" spans="1:14" x14ac:dyDescent="0.3">
      <c r="A363" s="1">
        <v>705541</v>
      </c>
      <c r="B363" s="1" t="s">
        <v>1298</v>
      </c>
      <c r="C363" s="5" t="s">
        <v>15</v>
      </c>
      <c r="D363" s="2">
        <v>45847</v>
      </c>
      <c r="E363" s="1" t="s">
        <v>567</v>
      </c>
      <c r="F363" s="1">
        <v>33301</v>
      </c>
      <c r="G363" s="1" t="s">
        <v>64</v>
      </c>
      <c r="H363" s="1" t="s">
        <v>18</v>
      </c>
      <c r="J363" s="1" t="s">
        <v>65</v>
      </c>
      <c r="K363" s="1" t="str">
        <f>VLOOKUP(J363,'[1]Base SCA 02 2026'!V:X,3,0)</f>
        <v>RAFAEL XAVIER</v>
      </c>
      <c r="L363" s="1" t="str">
        <f>VLOOKUP(J363,'[1]Base SCA 02 2026'!V:Y,4,0)</f>
        <v>IVONEI CAMPOS</v>
      </c>
      <c r="M363" s="1" t="str">
        <f>VLOOKUP(J363,'[1]Base SCA 02 2026'!V:Z,5,0)</f>
        <v>ANDRÉ CUBA</v>
      </c>
      <c r="N363" s="1" t="str">
        <f t="shared" si="5"/>
        <v>ANDRÉ CUBA</v>
      </c>
    </row>
    <row r="364" spans="1:14" x14ac:dyDescent="0.3">
      <c r="A364" s="1">
        <v>101308</v>
      </c>
      <c r="B364" s="1" t="s">
        <v>409</v>
      </c>
      <c r="C364" s="5" t="s">
        <v>15</v>
      </c>
      <c r="D364" s="2">
        <v>42857</v>
      </c>
      <c r="E364" s="1" t="s">
        <v>410</v>
      </c>
      <c r="F364" s="1">
        <v>14101</v>
      </c>
      <c r="G364" s="1" t="s">
        <v>277</v>
      </c>
      <c r="H364" s="1" t="s">
        <v>18</v>
      </c>
      <c r="J364" s="1" t="s">
        <v>411</v>
      </c>
      <c r="K364" s="1" t="str">
        <f>VLOOKUP(J364,'[1]Base SCA 02 2026'!V:X,3,0)</f>
        <v xml:space="preserve">GISELE NASCENTE </v>
      </c>
      <c r="N364" s="1" t="str">
        <f t="shared" si="5"/>
        <v xml:space="preserve">GISELE NASCENTE </v>
      </c>
    </row>
    <row r="365" spans="1:14" x14ac:dyDescent="0.3">
      <c r="A365" s="1">
        <v>705112</v>
      </c>
      <c r="B365" s="1" t="s">
        <v>412</v>
      </c>
      <c r="C365" s="5" t="s">
        <v>15</v>
      </c>
      <c r="D365" s="2">
        <v>45678</v>
      </c>
      <c r="E365" s="1" t="s">
        <v>31</v>
      </c>
      <c r="F365" s="1">
        <v>52104</v>
      </c>
      <c r="G365" s="1" t="s">
        <v>17</v>
      </c>
      <c r="H365" s="1" t="s">
        <v>18</v>
      </c>
      <c r="J365" s="1" t="s">
        <v>19</v>
      </c>
      <c r="K365" s="1" t="str">
        <f>VLOOKUP(J365,'[1]Base SCA 02 2026'!V:X,3,0)</f>
        <v>JOSÉ GOUVEA</v>
      </c>
      <c r="L365" s="1" t="str">
        <f>VLOOKUP(J365,'[1]Base SCA 02 2026'!V:Y,4,0)</f>
        <v>ALEX DIAS</v>
      </c>
      <c r="N365" s="1" t="str">
        <f t="shared" si="5"/>
        <v>ALEX DIAS</v>
      </c>
    </row>
    <row r="366" spans="1:14" x14ac:dyDescent="0.3">
      <c r="A366" s="1">
        <v>101621</v>
      </c>
      <c r="B366" s="1" t="s">
        <v>413</v>
      </c>
      <c r="C366" s="5" t="s">
        <v>15</v>
      </c>
      <c r="D366" s="2">
        <v>43010</v>
      </c>
      <c r="E366" s="1" t="s">
        <v>414</v>
      </c>
      <c r="F366" s="1">
        <v>34201</v>
      </c>
      <c r="G366" s="1" t="s">
        <v>84</v>
      </c>
      <c r="H366" s="1" t="s">
        <v>18</v>
      </c>
      <c r="J366" s="1" t="s">
        <v>85</v>
      </c>
      <c r="K366" s="1" t="str">
        <f>VLOOKUP(J366,'[1]Base SCA 02 2026'!V:X,3,0)</f>
        <v>PAULO BONIFÁCIO</v>
      </c>
      <c r="L366" s="1" t="str">
        <f>VLOOKUP(J366,'[1]Base SCA 02 2026'!V:Y,4,0)</f>
        <v>PAULO BONIFÁCIO</v>
      </c>
      <c r="M366" s="1" t="str">
        <f>VLOOKUP(J366,'[1]Base SCA 02 2026'!V:Z,5,0)</f>
        <v xml:space="preserve">LEONARDO SANTOS </v>
      </c>
      <c r="N366" s="1" t="str">
        <f t="shared" si="5"/>
        <v xml:space="preserve">LEONARDO SANTOS </v>
      </c>
    </row>
    <row r="367" spans="1:14" x14ac:dyDescent="0.3">
      <c r="A367" s="1">
        <v>701218</v>
      </c>
      <c r="B367" s="1" t="s">
        <v>415</v>
      </c>
      <c r="C367" s="5" t="s">
        <v>15</v>
      </c>
      <c r="D367" s="2">
        <v>42887</v>
      </c>
      <c r="E367" s="1" t="s">
        <v>127</v>
      </c>
      <c r="F367" s="1">
        <v>22102</v>
      </c>
      <c r="G367" s="1" t="s">
        <v>68</v>
      </c>
      <c r="H367" s="1" t="s">
        <v>18</v>
      </c>
      <c r="J367" s="1" t="s">
        <v>81</v>
      </c>
      <c r="K367" s="1" t="str">
        <f>VLOOKUP(J367,'[1]Base SCA 02 2026'!V:X,3,0)</f>
        <v>PAULO BONIFÁCIO</v>
      </c>
      <c r="L367" s="1" t="str">
        <f>VLOOKUP(J367,'[1]Base SCA 02 2026'!V:Y,4,0)</f>
        <v>MAURICIO SANTOS</v>
      </c>
      <c r="M367" s="1" t="str">
        <f>VLOOKUP(J367,'[1]Base SCA 02 2026'!V:Z,5,0)</f>
        <v xml:space="preserve">EDSON/MARCELO LIMA </v>
      </c>
      <c r="N367" s="1" t="str">
        <f t="shared" si="5"/>
        <v xml:space="preserve">EDSON/MARCELO LIMA </v>
      </c>
    </row>
    <row r="368" spans="1:14" x14ac:dyDescent="0.3">
      <c r="A368" s="1">
        <v>705782</v>
      </c>
      <c r="B368" s="1" t="s">
        <v>1548</v>
      </c>
      <c r="C368" s="5" t="s">
        <v>15</v>
      </c>
      <c r="D368" s="2">
        <v>46063</v>
      </c>
      <c r="E368" s="1" t="s">
        <v>31</v>
      </c>
      <c r="F368" s="1">
        <v>52104</v>
      </c>
      <c r="G368" s="1" t="s">
        <v>17</v>
      </c>
      <c r="H368" s="1" t="s">
        <v>18</v>
      </c>
      <c r="J368" s="1" t="s">
        <v>19</v>
      </c>
      <c r="K368" s="1" t="str">
        <f>VLOOKUP(J368,'[1]Base SCA 02 2026'!V:X,3,0)</f>
        <v>JOSÉ GOUVEA</v>
      </c>
      <c r="L368" s="1" t="str">
        <f>VLOOKUP(J368,'[1]Base SCA 02 2026'!V:Y,4,0)</f>
        <v>ALEX DIAS</v>
      </c>
      <c r="N368" s="1" t="str">
        <f t="shared" si="5"/>
        <v>ALEX DIAS</v>
      </c>
    </row>
    <row r="369" spans="1:14" x14ac:dyDescent="0.3">
      <c r="A369" s="1">
        <v>106037</v>
      </c>
      <c r="B369" s="1" t="s">
        <v>417</v>
      </c>
      <c r="C369" s="5" t="s">
        <v>15</v>
      </c>
      <c r="D369" s="2">
        <v>43577</v>
      </c>
      <c r="E369" s="1" t="s">
        <v>371</v>
      </c>
      <c r="F369" s="1">
        <v>39301</v>
      </c>
      <c r="G369" s="1" t="s">
        <v>73</v>
      </c>
      <c r="H369" s="1" t="s">
        <v>18</v>
      </c>
      <c r="J369" s="1" t="s">
        <v>74</v>
      </c>
      <c r="K369" s="1" t="str">
        <f>VLOOKUP(J369,'[1]Base SCA 02 2026'!V:X,3,0)</f>
        <v>PAULO BONIFÁCIO</v>
      </c>
      <c r="L369" s="1" t="str">
        <f>VLOOKUP(J369,'[1]Base SCA 02 2026'!V:Y,4,0)</f>
        <v>ALDAIR BORGES</v>
      </c>
      <c r="M369" s="1" t="str">
        <f>VLOOKUP(J369,'[1]Base SCA 02 2026'!V:Z,5,0)</f>
        <v>ISAC NONATO</v>
      </c>
      <c r="N369" s="1" t="str">
        <f t="shared" si="5"/>
        <v>ISAC NONATO</v>
      </c>
    </row>
    <row r="370" spans="1:14" x14ac:dyDescent="0.3">
      <c r="A370" s="1">
        <v>704436</v>
      </c>
      <c r="B370" s="1" t="s">
        <v>419</v>
      </c>
      <c r="C370" s="5" t="s">
        <v>15</v>
      </c>
      <c r="D370" s="2">
        <v>45398</v>
      </c>
      <c r="E370" s="1" t="s">
        <v>1354</v>
      </c>
      <c r="F370" s="1">
        <v>37101</v>
      </c>
      <c r="G370" s="1" t="s">
        <v>214</v>
      </c>
      <c r="H370" s="1" t="s">
        <v>18</v>
      </c>
      <c r="J370" s="1" t="s">
        <v>239</v>
      </c>
      <c r="K370" s="1" t="str">
        <f>VLOOKUP(J370,'[1]Base SCA 02 2026'!V:X,3,0)</f>
        <v>CARSON NEVES</v>
      </c>
      <c r="L370" s="1" t="str">
        <f>VLOOKUP(J370,'[1]Base SCA 02 2026'!V:Y,4,0)</f>
        <v>CARSON NEVES</v>
      </c>
      <c r="N370" s="1" t="str">
        <f t="shared" si="5"/>
        <v>CARSON NEVES</v>
      </c>
    </row>
    <row r="371" spans="1:14" x14ac:dyDescent="0.3">
      <c r="A371" s="1">
        <v>705566</v>
      </c>
      <c r="B371" s="1" t="s">
        <v>1318</v>
      </c>
      <c r="C371" s="5" t="s">
        <v>15</v>
      </c>
      <c r="D371" s="2">
        <v>45874</v>
      </c>
      <c r="E371" s="1" t="s">
        <v>31</v>
      </c>
      <c r="F371" s="1">
        <v>25201</v>
      </c>
      <c r="G371" s="1" t="s">
        <v>89</v>
      </c>
      <c r="H371" s="1" t="s">
        <v>18</v>
      </c>
      <c r="J371" s="1" t="s">
        <v>19</v>
      </c>
      <c r="K371" s="1" t="str">
        <f>VLOOKUP(J371,'[1]Base SCA 02 2026'!V:X,3,0)</f>
        <v>JOSÉ GOUVEA</v>
      </c>
      <c r="L371" s="1" t="str">
        <f>VLOOKUP(J371,'[1]Base SCA 02 2026'!V:Y,4,0)</f>
        <v>ALEX DIAS</v>
      </c>
      <c r="N371" s="1" t="str">
        <f t="shared" si="5"/>
        <v>ALEX DIAS</v>
      </c>
    </row>
    <row r="372" spans="1:14" x14ac:dyDescent="0.3">
      <c r="A372" s="1">
        <v>705469</v>
      </c>
      <c r="B372" s="1" t="s">
        <v>1279</v>
      </c>
      <c r="C372" s="5" t="s">
        <v>15</v>
      </c>
      <c r="D372" s="2">
        <v>45812</v>
      </c>
      <c r="E372" s="1" t="s">
        <v>31</v>
      </c>
      <c r="F372" s="1">
        <v>39301</v>
      </c>
      <c r="G372" s="1" t="s">
        <v>73</v>
      </c>
      <c r="H372" s="1" t="s">
        <v>18</v>
      </c>
      <c r="J372" s="1" t="s">
        <v>74</v>
      </c>
      <c r="K372" s="1" t="str">
        <f>VLOOKUP(J372,'[1]Base SCA 02 2026'!V:X,3,0)</f>
        <v>PAULO BONIFÁCIO</v>
      </c>
      <c r="L372" s="1" t="str">
        <f>VLOOKUP(J372,'[1]Base SCA 02 2026'!V:Y,4,0)</f>
        <v>ALDAIR BORGES</v>
      </c>
      <c r="M372" s="1" t="str">
        <f>VLOOKUP(J372,'[1]Base SCA 02 2026'!V:Z,5,0)</f>
        <v>ISAC NONATO</v>
      </c>
      <c r="N372" s="1" t="str">
        <f t="shared" si="5"/>
        <v>ISAC NONATO</v>
      </c>
    </row>
    <row r="373" spans="1:14" x14ac:dyDescent="0.3">
      <c r="A373" s="1">
        <v>100888</v>
      </c>
      <c r="B373" s="1" t="s">
        <v>420</v>
      </c>
      <c r="C373" s="5" t="s">
        <v>15</v>
      </c>
      <c r="D373" s="2">
        <v>42458</v>
      </c>
      <c r="E373" s="1" t="s">
        <v>127</v>
      </c>
      <c r="F373" s="1">
        <v>22102</v>
      </c>
      <c r="G373" s="1" t="s">
        <v>68</v>
      </c>
      <c r="H373" s="1" t="s">
        <v>18</v>
      </c>
      <c r="J373" s="1" t="s">
        <v>81</v>
      </c>
      <c r="K373" s="1" t="str">
        <f>VLOOKUP(J373,'[1]Base SCA 02 2026'!V:X,3,0)</f>
        <v>PAULO BONIFÁCIO</v>
      </c>
      <c r="L373" s="1" t="str">
        <f>VLOOKUP(J373,'[1]Base SCA 02 2026'!V:Y,4,0)</f>
        <v>MAURICIO SANTOS</v>
      </c>
      <c r="M373" s="1" t="str">
        <f>VLOOKUP(J373,'[1]Base SCA 02 2026'!V:Z,5,0)</f>
        <v xml:space="preserve">EDSON/MARCELO LIMA </v>
      </c>
      <c r="N373" s="1" t="str">
        <f t="shared" si="5"/>
        <v xml:space="preserve">EDSON/MARCELO LIMA </v>
      </c>
    </row>
    <row r="374" spans="1:14" x14ac:dyDescent="0.3">
      <c r="A374" s="1">
        <v>701496</v>
      </c>
      <c r="B374" s="1" t="s">
        <v>421</v>
      </c>
      <c r="C374" s="5" t="s">
        <v>15</v>
      </c>
      <c r="D374" s="2">
        <v>43881</v>
      </c>
      <c r="E374" s="1" t="s">
        <v>199</v>
      </c>
      <c r="F374" s="1">
        <v>22102</v>
      </c>
      <c r="G374" s="1" t="s">
        <v>68</v>
      </c>
      <c r="H374" s="1" t="s">
        <v>18</v>
      </c>
      <c r="J374" s="1" t="s">
        <v>94</v>
      </c>
      <c r="K374" s="1" t="str">
        <f>VLOOKUP(J374,'[1]Base SCA 02 2026'!V:X,3,0)</f>
        <v>PAULO BONIFÁCIO</v>
      </c>
      <c r="L374" s="1" t="str">
        <f>VLOOKUP(J374,'[1]Base SCA 02 2026'!V:Y,4,0)</f>
        <v xml:space="preserve">JOÃO KOMURA </v>
      </c>
      <c r="M374" s="1" t="str">
        <f>VLOOKUP(J374,'[1]Base SCA 02 2026'!V:Z,5,0)</f>
        <v>LUAN ABADIA</v>
      </c>
      <c r="N374" s="1" t="str">
        <f t="shared" si="5"/>
        <v>LUAN ABADIA</v>
      </c>
    </row>
    <row r="375" spans="1:14" x14ac:dyDescent="0.3">
      <c r="A375" s="1">
        <v>705746</v>
      </c>
      <c r="B375" s="1" t="s">
        <v>947</v>
      </c>
      <c r="C375" s="5" t="s">
        <v>15</v>
      </c>
      <c r="D375" s="2">
        <v>45993</v>
      </c>
      <c r="E375" s="1" t="s">
        <v>31</v>
      </c>
      <c r="F375" s="1">
        <v>22102</v>
      </c>
      <c r="G375" s="1" t="s">
        <v>68</v>
      </c>
      <c r="H375" s="1" t="s">
        <v>18</v>
      </c>
      <c r="J375" s="1" t="s">
        <v>81</v>
      </c>
      <c r="K375" s="1" t="str">
        <f>VLOOKUP(J375,'[1]Base SCA 02 2026'!V:X,3,0)</f>
        <v>PAULO BONIFÁCIO</v>
      </c>
      <c r="L375" s="1" t="str">
        <f>VLOOKUP(J375,'[1]Base SCA 02 2026'!V:Y,4,0)</f>
        <v>MAURICIO SANTOS</v>
      </c>
      <c r="M375" s="1" t="str">
        <f>VLOOKUP(J375,'[1]Base SCA 02 2026'!V:Z,5,0)</f>
        <v xml:space="preserve">EDSON/MARCELO LIMA </v>
      </c>
      <c r="N375" s="1" t="str">
        <f t="shared" si="5"/>
        <v xml:space="preserve">EDSON/MARCELO LIMA </v>
      </c>
    </row>
    <row r="376" spans="1:14" x14ac:dyDescent="0.3">
      <c r="A376" s="1">
        <v>705698</v>
      </c>
      <c r="B376" s="1" t="s">
        <v>424</v>
      </c>
      <c r="C376" s="5" t="s">
        <v>15</v>
      </c>
      <c r="D376" s="2">
        <v>45971</v>
      </c>
      <c r="E376" s="1" t="s">
        <v>91</v>
      </c>
      <c r="F376" s="1">
        <v>34201</v>
      </c>
      <c r="G376" s="1" t="s">
        <v>84</v>
      </c>
      <c r="H376" s="1" t="s">
        <v>18</v>
      </c>
      <c r="J376" s="1" t="s">
        <v>85</v>
      </c>
      <c r="K376" s="1" t="str">
        <f>VLOOKUP(J376,'[1]Base SCA 02 2026'!V:X,3,0)</f>
        <v>PAULO BONIFÁCIO</v>
      </c>
      <c r="L376" s="1" t="str">
        <f>VLOOKUP(J376,'[1]Base SCA 02 2026'!V:Y,4,0)</f>
        <v>PAULO BONIFÁCIO</v>
      </c>
      <c r="M376" s="1" t="str">
        <f>VLOOKUP(J376,'[1]Base SCA 02 2026'!V:Z,5,0)</f>
        <v xml:space="preserve">LEONARDO SANTOS </v>
      </c>
      <c r="N376" s="1" t="str">
        <f t="shared" si="5"/>
        <v xml:space="preserve">LEONARDO SANTOS </v>
      </c>
    </row>
    <row r="377" spans="1:14" x14ac:dyDescent="0.3">
      <c r="A377" s="1">
        <v>705600</v>
      </c>
      <c r="B377" s="1" t="s">
        <v>1319</v>
      </c>
      <c r="C377" s="5" t="s">
        <v>15</v>
      </c>
      <c r="D377" s="2">
        <v>45888</v>
      </c>
      <c r="E377" s="1" t="s">
        <v>31</v>
      </c>
      <c r="F377" s="1">
        <v>39301</v>
      </c>
      <c r="G377" s="1" t="s">
        <v>73</v>
      </c>
      <c r="H377" s="1" t="s">
        <v>18</v>
      </c>
      <c r="J377" s="1" t="s">
        <v>74</v>
      </c>
      <c r="K377" s="1" t="str">
        <f>VLOOKUP(J377,'[1]Base SCA 02 2026'!V:X,3,0)</f>
        <v>PAULO BONIFÁCIO</v>
      </c>
      <c r="L377" s="1" t="str">
        <f>VLOOKUP(J377,'[1]Base SCA 02 2026'!V:Y,4,0)</f>
        <v>ALDAIR BORGES</v>
      </c>
      <c r="M377" s="1" t="str">
        <f>VLOOKUP(J377,'[1]Base SCA 02 2026'!V:Z,5,0)</f>
        <v>ISAC NONATO</v>
      </c>
      <c r="N377" s="1" t="str">
        <f t="shared" si="5"/>
        <v>ISAC NONATO</v>
      </c>
    </row>
    <row r="378" spans="1:14" x14ac:dyDescent="0.3">
      <c r="A378" s="1">
        <v>705763</v>
      </c>
      <c r="B378" s="1" t="s">
        <v>1486</v>
      </c>
      <c r="C378" s="5" t="s">
        <v>15</v>
      </c>
      <c r="D378" s="2">
        <v>45993</v>
      </c>
      <c r="E378" s="1" t="s">
        <v>31</v>
      </c>
      <c r="F378" s="1">
        <v>52104</v>
      </c>
      <c r="G378" s="1" t="s">
        <v>17</v>
      </c>
      <c r="H378" s="1" t="s">
        <v>18</v>
      </c>
      <c r="J378" s="1" t="s">
        <v>19</v>
      </c>
      <c r="K378" s="1" t="str">
        <f>VLOOKUP(J378,'[1]Base SCA 02 2026'!V:X,3,0)</f>
        <v>JOSÉ GOUVEA</v>
      </c>
      <c r="L378" s="1" t="str">
        <f>VLOOKUP(J378,'[1]Base SCA 02 2026'!V:Y,4,0)</f>
        <v>ALEX DIAS</v>
      </c>
      <c r="N378" s="1" t="str">
        <f t="shared" si="5"/>
        <v>ALEX DIAS</v>
      </c>
    </row>
    <row r="379" spans="1:14" x14ac:dyDescent="0.3">
      <c r="A379" s="1">
        <v>704358</v>
      </c>
      <c r="B379" s="1" t="s">
        <v>425</v>
      </c>
      <c r="C379" s="5" t="s">
        <v>15</v>
      </c>
      <c r="D379" s="2">
        <v>45384</v>
      </c>
      <c r="E379" s="1" t="s">
        <v>1215</v>
      </c>
      <c r="F379" s="1">
        <v>33101</v>
      </c>
      <c r="G379" s="1" t="s">
        <v>186</v>
      </c>
      <c r="H379" s="1" t="s">
        <v>18</v>
      </c>
      <c r="J379" s="1" t="s">
        <v>44</v>
      </c>
      <c r="K379" s="1" t="str">
        <f>VLOOKUP(J379,'[1]Base SCA 02 2026'!V:X,3,0)</f>
        <v>RAFAEL XAVIER</v>
      </c>
      <c r="L379" s="1" t="str">
        <f>VLOOKUP(J379,'[1]Base SCA 02 2026'!V:Y,4,0)</f>
        <v>IVONEI CAMPOS</v>
      </c>
      <c r="M379" s="1" t="str">
        <f>VLOOKUP(J379,'[1]Base SCA 02 2026'!V:Z,5,0)</f>
        <v>TALLES RYAN</v>
      </c>
      <c r="N379" s="1" t="str">
        <f t="shared" si="5"/>
        <v>TALLES RYAN</v>
      </c>
    </row>
    <row r="380" spans="1:14" x14ac:dyDescent="0.3">
      <c r="A380" s="1">
        <v>705760</v>
      </c>
      <c r="B380" s="1" t="s">
        <v>1487</v>
      </c>
      <c r="C380" s="5" t="s">
        <v>15</v>
      </c>
      <c r="D380" s="2">
        <v>45993</v>
      </c>
      <c r="E380" s="1" t="s">
        <v>31</v>
      </c>
      <c r="F380" s="1">
        <v>52104</v>
      </c>
      <c r="G380" s="1" t="s">
        <v>17</v>
      </c>
      <c r="H380" s="1" t="s">
        <v>18</v>
      </c>
      <c r="J380" s="1" t="s">
        <v>19</v>
      </c>
      <c r="K380" s="1" t="str">
        <f>VLOOKUP(J380,'[1]Base SCA 02 2026'!V:X,3,0)</f>
        <v>JOSÉ GOUVEA</v>
      </c>
      <c r="L380" s="1" t="str">
        <f>VLOOKUP(J380,'[1]Base SCA 02 2026'!V:Y,4,0)</f>
        <v>ALEX DIAS</v>
      </c>
      <c r="N380" s="1" t="str">
        <f t="shared" si="5"/>
        <v>ALEX DIAS</v>
      </c>
    </row>
    <row r="381" spans="1:14" x14ac:dyDescent="0.3">
      <c r="A381" s="1">
        <v>702915</v>
      </c>
      <c r="B381" s="1" t="s">
        <v>426</v>
      </c>
      <c r="C381" s="5" t="s">
        <v>15</v>
      </c>
      <c r="D381" s="2">
        <v>44656</v>
      </c>
      <c r="E381" s="1" t="s">
        <v>427</v>
      </c>
      <c r="F381" s="1">
        <v>39302</v>
      </c>
      <c r="G381" s="1" t="s">
        <v>102</v>
      </c>
      <c r="H381" s="1" t="s">
        <v>18</v>
      </c>
      <c r="J381" s="1" t="s">
        <v>57</v>
      </c>
      <c r="K381" s="1" t="str">
        <f>VLOOKUP(J381,'[1]Base SCA 02 2026'!V:X,3,0)</f>
        <v>PAULO BONIFÁCIO</v>
      </c>
      <c r="L381" s="1" t="str">
        <f>VLOOKUP(J381,'[1]Base SCA 02 2026'!V:Y,4,0)</f>
        <v>ALDAIR BORGES</v>
      </c>
      <c r="M381" s="1" t="str">
        <f>VLOOKUP(J381,'[1]Base SCA 02 2026'!V:Z,5,0)</f>
        <v>WARLEY RIBEIRO</v>
      </c>
      <c r="N381" s="1" t="str">
        <f t="shared" si="5"/>
        <v>WARLEY RIBEIRO</v>
      </c>
    </row>
    <row r="382" spans="1:14" x14ac:dyDescent="0.3">
      <c r="A382" s="1">
        <v>705194</v>
      </c>
      <c r="B382" s="1" t="s">
        <v>1162</v>
      </c>
      <c r="C382" s="5" t="s">
        <v>15</v>
      </c>
      <c r="D382" s="2">
        <v>45727</v>
      </c>
      <c r="E382" s="1" t="s">
        <v>166</v>
      </c>
      <c r="F382" s="1">
        <v>22102</v>
      </c>
      <c r="G382" s="1" t="s">
        <v>68</v>
      </c>
      <c r="H382" s="1" t="s">
        <v>18</v>
      </c>
      <c r="J382" s="1" t="s">
        <v>94</v>
      </c>
      <c r="K382" s="1" t="str">
        <f>VLOOKUP(J382,'[1]Base SCA 02 2026'!V:X,3,0)</f>
        <v>PAULO BONIFÁCIO</v>
      </c>
      <c r="L382" s="1" t="str">
        <f>VLOOKUP(J382,'[1]Base SCA 02 2026'!V:Y,4,0)</f>
        <v xml:space="preserve">JOÃO KOMURA </v>
      </c>
      <c r="M382" s="1" t="str">
        <f>VLOOKUP(J382,'[1]Base SCA 02 2026'!V:Z,5,0)</f>
        <v>LUAN ABADIA</v>
      </c>
      <c r="N382" s="1" t="str">
        <f t="shared" si="5"/>
        <v>LUAN ABADIA</v>
      </c>
    </row>
    <row r="383" spans="1:14" x14ac:dyDescent="0.3">
      <c r="A383" s="1">
        <v>705790</v>
      </c>
      <c r="B383" s="1" t="s">
        <v>1523</v>
      </c>
      <c r="C383" s="5" t="s">
        <v>15</v>
      </c>
      <c r="D383" s="2">
        <v>46029</v>
      </c>
      <c r="E383" s="1" t="s">
        <v>31</v>
      </c>
      <c r="F383" s="1">
        <v>52104</v>
      </c>
      <c r="G383" s="1" t="s">
        <v>17</v>
      </c>
      <c r="H383" s="1" t="s">
        <v>18</v>
      </c>
      <c r="J383" s="1" t="s">
        <v>19</v>
      </c>
      <c r="K383" s="1" t="str">
        <f>VLOOKUP(J383,'[1]Base SCA 02 2026'!V:X,3,0)</f>
        <v>JOSÉ GOUVEA</v>
      </c>
      <c r="L383" s="1" t="str">
        <f>VLOOKUP(J383,'[1]Base SCA 02 2026'!V:Y,4,0)</f>
        <v>ALEX DIAS</v>
      </c>
      <c r="N383" s="1" t="str">
        <f t="shared" si="5"/>
        <v>ALEX DIAS</v>
      </c>
    </row>
    <row r="384" spans="1:14" x14ac:dyDescent="0.3">
      <c r="A384" s="1">
        <v>705893</v>
      </c>
      <c r="B384" s="1" t="s">
        <v>1549</v>
      </c>
      <c r="C384" s="5" t="s">
        <v>15</v>
      </c>
      <c r="D384" s="2">
        <v>46063</v>
      </c>
      <c r="E384" s="1" t="s">
        <v>31</v>
      </c>
      <c r="F384" s="1">
        <v>34201</v>
      </c>
      <c r="G384" s="1" t="s">
        <v>84</v>
      </c>
      <c r="H384" s="1" t="s">
        <v>18</v>
      </c>
      <c r="J384" s="1" t="s">
        <v>85</v>
      </c>
      <c r="K384" s="1" t="str">
        <f>VLOOKUP(J384,'[1]Base SCA 02 2026'!V:X,3,0)</f>
        <v>PAULO BONIFÁCIO</v>
      </c>
      <c r="L384" s="1" t="str">
        <f>VLOOKUP(J384,'[1]Base SCA 02 2026'!V:Y,4,0)</f>
        <v>PAULO BONIFÁCIO</v>
      </c>
      <c r="M384" s="1" t="str">
        <f>VLOOKUP(J384,'[1]Base SCA 02 2026'!V:Z,5,0)</f>
        <v xml:space="preserve">LEONARDO SANTOS </v>
      </c>
      <c r="N384" s="1" t="str">
        <f t="shared" si="5"/>
        <v xml:space="preserve">LEONARDO SANTOS </v>
      </c>
    </row>
    <row r="385" spans="1:14" x14ac:dyDescent="0.3">
      <c r="A385" s="1">
        <v>703615</v>
      </c>
      <c r="B385" s="1" t="s">
        <v>429</v>
      </c>
      <c r="C385" s="5" t="s">
        <v>15</v>
      </c>
      <c r="D385" s="2">
        <v>44991</v>
      </c>
      <c r="E385" s="1" t="s">
        <v>31</v>
      </c>
      <c r="F385" s="1">
        <v>22102</v>
      </c>
      <c r="G385" s="1" t="s">
        <v>68</v>
      </c>
      <c r="H385" s="1" t="s">
        <v>18</v>
      </c>
      <c r="J385" s="1" t="s">
        <v>167</v>
      </c>
      <c r="K385" s="1" t="str">
        <f>VLOOKUP(J385,'[1]Base SCA 02 2026'!V:X,3,0)</f>
        <v>PAULO BONIFÁCIO</v>
      </c>
      <c r="L385" s="1" t="str">
        <f>VLOOKUP(J385,'[1]Base SCA 02 2026'!V:Y,4,0)</f>
        <v>MAURICIO SANTOS</v>
      </c>
      <c r="M385" s="1" t="str">
        <f>VLOOKUP(J385,'[1]Base SCA 02 2026'!V:Z,5,0)</f>
        <v>FABIANO</v>
      </c>
      <c r="N385" s="1" t="str">
        <f t="shared" si="5"/>
        <v>FABIANO</v>
      </c>
    </row>
    <row r="386" spans="1:14" x14ac:dyDescent="0.3">
      <c r="A386" s="1">
        <v>701407</v>
      </c>
      <c r="B386" s="1" t="s">
        <v>430</v>
      </c>
      <c r="C386" s="5" t="s">
        <v>15</v>
      </c>
      <c r="D386" s="2">
        <v>43773</v>
      </c>
      <c r="E386" s="1" t="s">
        <v>105</v>
      </c>
      <c r="F386" s="1">
        <v>22102</v>
      </c>
      <c r="G386" s="1" t="s">
        <v>68</v>
      </c>
      <c r="H386" s="1" t="s">
        <v>18</v>
      </c>
      <c r="J386" s="1" t="s">
        <v>142</v>
      </c>
      <c r="K386" s="1" t="str">
        <f>VLOOKUP(J386,'[1]Base SCA 02 2026'!V:X,3,0)</f>
        <v>PAULO BONIFÁCIO</v>
      </c>
      <c r="L386" s="1" t="str">
        <f>VLOOKUP(J386,'[1]Base SCA 02 2026'!V:Y,4,0)</f>
        <v>MAURICIO SANTOS</v>
      </c>
      <c r="M386" s="1" t="str">
        <f>VLOOKUP(J386,'[1]Base SCA 02 2026'!V:Z,5,0)</f>
        <v>EDIS MOREIRA</v>
      </c>
      <c r="N386" s="1" t="str">
        <f t="shared" si="5"/>
        <v>EDIS MOREIRA</v>
      </c>
    </row>
    <row r="387" spans="1:14" x14ac:dyDescent="0.3">
      <c r="A387" s="1">
        <v>703541</v>
      </c>
      <c r="B387" s="1" t="s">
        <v>431</v>
      </c>
      <c r="C387" s="5" t="s">
        <v>15</v>
      </c>
      <c r="D387" s="2">
        <v>44907</v>
      </c>
      <c r="E387" s="1" t="s">
        <v>138</v>
      </c>
      <c r="F387" s="1">
        <v>22102</v>
      </c>
      <c r="G387" s="1" t="s">
        <v>68</v>
      </c>
      <c r="H387" s="1" t="s">
        <v>18</v>
      </c>
      <c r="J387" s="1" t="s">
        <v>94</v>
      </c>
      <c r="K387" s="1" t="str">
        <f>VLOOKUP(J387,'[1]Base SCA 02 2026'!V:X,3,0)</f>
        <v>PAULO BONIFÁCIO</v>
      </c>
      <c r="L387" s="1" t="str">
        <f>VLOOKUP(J387,'[1]Base SCA 02 2026'!V:Y,4,0)</f>
        <v xml:space="preserve">JOÃO KOMURA </v>
      </c>
      <c r="M387" s="1" t="str">
        <f>VLOOKUP(J387,'[1]Base SCA 02 2026'!V:Z,5,0)</f>
        <v>LUAN ABADIA</v>
      </c>
      <c r="N387" s="1" t="str">
        <f t="shared" ref="N387:N450" si="6">IF(M387&lt;&gt;"", M387, IF(L387&lt;&gt;"", L387, K387))</f>
        <v>LUAN ABADIA</v>
      </c>
    </row>
    <row r="388" spans="1:14" x14ac:dyDescent="0.3">
      <c r="A388" s="1">
        <v>705058</v>
      </c>
      <c r="B388" s="1" t="s">
        <v>1163</v>
      </c>
      <c r="C388" s="5" t="s">
        <v>15</v>
      </c>
      <c r="D388" s="2">
        <v>45643</v>
      </c>
      <c r="E388" s="1" t="s">
        <v>93</v>
      </c>
      <c r="F388" s="1">
        <v>22102</v>
      </c>
      <c r="G388" s="1" t="s">
        <v>68</v>
      </c>
      <c r="H388" s="1" t="s">
        <v>18</v>
      </c>
      <c r="J388" s="1" t="s">
        <v>94</v>
      </c>
      <c r="K388" s="1" t="str">
        <f>VLOOKUP(J388,'[1]Base SCA 02 2026'!V:X,3,0)</f>
        <v>PAULO BONIFÁCIO</v>
      </c>
      <c r="L388" s="1" t="str">
        <f>VLOOKUP(J388,'[1]Base SCA 02 2026'!V:Y,4,0)</f>
        <v xml:space="preserve">JOÃO KOMURA </v>
      </c>
      <c r="M388" s="1" t="str">
        <f>VLOOKUP(J388,'[1]Base SCA 02 2026'!V:Z,5,0)</f>
        <v>LUAN ABADIA</v>
      </c>
      <c r="N388" s="1" t="str">
        <f t="shared" si="6"/>
        <v>LUAN ABADIA</v>
      </c>
    </row>
    <row r="389" spans="1:14" x14ac:dyDescent="0.3">
      <c r="A389" s="1">
        <v>703316</v>
      </c>
      <c r="B389" s="1" t="s">
        <v>432</v>
      </c>
      <c r="C389" s="5" t="s">
        <v>15</v>
      </c>
      <c r="D389" s="2">
        <v>44824</v>
      </c>
      <c r="E389" s="1" t="s">
        <v>138</v>
      </c>
      <c r="F389" s="1">
        <v>22102</v>
      </c>
      <c r="G389" s="1" t="s">
        <v>68</v>
      </c>
      <c r="H389" s="1" t="s">
        <v>18</v>
      </c>
      <c r="J389" s="1" t="s">
        <v>81</v>
      </c>
      <c r="K389" s="1" t="str">
        <f>VLOOKUP(J389,'[1]Base SCA 02 2026'!V:X,3,0)</f>
        <v>PAULO BONIFÁCIO</v>
      </c>
      <c r="L389" s="1" t="str">
        <f>VLOOKUP(J389,'[1]Base SCA 02 2026'!V:Y,4,0)</f>
        <v>MAURICIO SANTOS</v>
      </c>
      <c r="M389" s="1" t="str">
        <f>VLOOKUP(J389,'[1]Base SCA 02 2026'!V:Z,5,0)</f>
        <v xml:space="preserve">EDSON/MARCELO LIMA </v>
      </c>
      <c r="N389" s="1" t="str">
        <f t="shared" si="6"/>
        <v xml:space="preserve">EDSON/MARCELO LIMA </v>
      </c>
    </row>
    <row r="390" spans="1:14" x14ac:dyDescent="0.3">
      <c r="A390" s="1">
        <v>705742</v>
      </c>
      <c r="B390" s="1" t="s">
        <v>1488</v>
      </c>
      <c r="C390" s="5" t="s">
        <v>15</v>
      </c>
      <c r="D390" s="2">
        <v>45993</v>
      </c>
      <c r="E390" s="1" t="s">
        <v>16</v>
      </c>
      <c r="F390" s="1">
        <v>22102</v>
      </c>
      <c r="G390" s="1" t="s">
        <v>68</v>
      </c>
      <c r="H390" s="1" t="s">
        <v>18</v>
      </c>
      <c r="J390" s="1" t="s">
        <v>94</v>
      </c>
      <c r="K390" s="1" t="str">
        <f>VLOOKUP(J390,'[1]Base SCA 02 2026'!V:X,3,0)</f>
        <v>PAULO BONIFÁCIO</v>
      </c>
      <c r="L390" s="1" t="str">
        <f>VLOOKUP(J390,'[1]Base SCA 02 2026'!V:Y,4,0)</f>
        <v xml:space="preserve">JOÃO KOMURA </v>
      </c>
      <c r="M390" s="1" t="str">
        <f>VLOOKUP(J390,'[1]Base SCA 02 2026'!V:Z,5,0)</f>
        <v>LUAN ABADIA</v>
      </c>
      <c r="N390" s="1" t="str">
        <f t="shared" si="6"/>
        <v>LUAN ABADIA</v>
      </c>
    </row>
    <row r="391" spans="1:14" x14ac:dyDescent="0.3">
      <c r="A391" s="1">
        <v>702544</v>
      </c>
      <c r="B391" s="1" t="s">
        <v>434</v>
      </c>
      <c r="C391" s="5" t="s">
        <v>15</v>
      </c>
      <c r="D391" s="2">
        <v>44452</v>
      </c>
      <c r="E391" s="1" t="s">
        <v>109</v>
      </c>
      <c r="F391" s="1">
        <v>32101</v>
      </c>
      <c r="G391" s="1" t="s">
        <v>23</v>
      </c>
      <c r="H391" s="1" t="s">
        <v>18</v>
      </c>
      <c r="J391" s="1" t="s">
        <v>24</v>
      </c>
      <c r="K391" s="1" t="str">
        <f>VLOOKUP(J391,'[1]Base SCA 02 2026'!V:X,3,0)</f>
        <v>RAFAEL XAVIER</v>
      </c>
      <c r="L391" s="1" t="str">
        <f>VLOOKUP(J391,'[1]Base SCA 02 2026'!V:Y,4,0)</f>
        <v>FERNANDO GUILHERME</v>
      </c>
      <c r="M391" s="1" t="str">
        <f>VLOOKUP(J391,'[1]Base SCA 02 2026'!V:Z,5,0)</f>
        <v>JUNIO COSTA</v>
      </c>
      <c r="N391" s="1" t="str">
        <f t="shared" si="6"/>
        <v>JUNIO COSTA</v>
      </c>
    </row>
    <row r="392" spans="1:14" x14ac:dyDescent="0.3">
      <c r="A392" s="1">
        <v>701017</v>
      </c>
      <c r="B392" s="1" t="s">
        <v>435</v>
      </c>
      <c r="C392" s="5" t="s">
        <v>15</v>
      </c>
      <c r="D392" s="2">
        <v>42500</v>
      </c>
      <c r="E392" s="1" t="s">
        <v>105</v>
      </c>
      <c r="F392" s="1">
        <v>22102</v>
      </c>
      <c r="G392" s="1" t="s">
        <v>68</v>
      </c>
      <c r="H392" s="1" t="s">
        <v>18</v>
      </c>
      <c r="J392" s="1" t="s">
        <v>81</v>
      </c>
      <c r="K392" s="1" t="str">
        <f>VLOOKUP(J392,'[1]Base SCA 02 2026'!V:X,3,0)</f>
        <v>PAULO BONIFÁCIO</v>
      </c>
      <c r="L392" s="1" t="str">
        <f>VLOOKUP(J392,'[1]Base SCA 02 2026'!V:Y,4,0)</f>
        <v>MAURICIO SANTOS</v>
      </c>
      <c r="M392" s="1" t="str">
        <f>VLOOKUP(J392,'[1]Base SCA 02 2026'!V:Z,5,0)</f>
        <v xml:space="preserve">EDSON/MARCELO LIMA </v>
      </c>
      <c r="N392" s="1" t="str">
        <f t="shared" si="6"/>
        <v xml:space="preserve">EDSON/MARCELO LIMA </v>
      </c>
    </row>
    <row r="393" spans="1:14" x14ac:dyDescent="0.3">
      <c r="A393" s="1">
        <v>703946</v>
      </c>
      <c r="B393" s="1" t="s">
        <v>436</v>
      </c>
      <c r="C393" s="5" t="s">
        <v>15</v>
      </c>
      <c r="D393" s="2">
        <v>45089</v>
      </c>
      <c r="E393" s="1" t="s">
        <v>16</v>
      </c>
      <c r="F393" s="1">
        <v>37101</v>
      </c>
      <c r="G393" s="1" t="s">
        <v>214</v>
      </c>
      <c r="H393" s="1" t="s">
        <v>18</v>
      </c>
      <c r="J393" s="1" t="s">
        <v>239</v>
      </c>
      <c r="K393" s="1" t="str">
        <f>VLOOKUP(J393,'[1]Base SCA 02 2026'!V:X,3,0)</f>
        <v>CARSON NEVES</v>
      </c>
      <c r="L393" s="1" t="str">
        <f>VLOOKUP(J393,'[1]Base SCA 02 2026'!V:Y,4,0)</f>
        <v>CARSON NEVES</v>
      </c>
      <c r="N393" s="1" t="str">
        <f t="shared" si="6"/>
        <v>CARSON NEVES</v>
      </c>
    </row>
    <row r="394" spans="1:14" x14ac:dyDescent="0.3">
      <c r="A394" s="1">
        <v>705622</v>
      </c>
      <c r="B394" s="1" t="s">
        <v>1355</v>
      </c>
      <c r="C394" s="5" t="s">
        <v>15</v>
      </c>
      <c r="D394" s="2">
        <v>45916</v>
      </c>
      <c r="E394" s="1" t="s">
        <v>1356</v>
      </c>
      <c r="F394" s="1">
        <v>39308</v>
      </c>
      <c r="G394" s="1" t="s">
        <v>256</v>
      </c>
      <c r="H394" s="1" t="s">
        <v>18</v>
      </c>
      <c r="J394" s="1" t="s">
        <v>257</v>
      </c>
      <c r="K394" s="1" t="str">
        <f>VLOOKUP(J394,'[1]Base SCA 02 2026'!V:X,3,0)</f>
        <v>CRISOSTOMO CASTRO</v>
      </c>
      <c r="L394" s="1" t="str">
        <f>VLOOKUP(J394,'[1]Base SCA 02 2026'!V:Y,4,0)</f>
        <v>MATHEUS ALMEIDA</v>
      </c>
      <c r="N394" s="1" t="str">
        <f t="shared" si="6"/>
        <v>MATHEUS ALMEIDA</v>
      </c>
    </row>
    <row r="395" spans="1:14" x14ac:dyDescent="0.3">
      <c r="A395" s="1">
        <v>704845</v>
      </c>
      <c r="B395" s="1" t="s">
        <v>437</v>
      </c>
      <c r="C395" s="5" t="s">
        <v>15</v>
      </c>
      <c r="D395" s="2">
        <v>45573</v>
      </c>
      <c r="E395" s="1" t="s">
        <v>16</v>
      </c>
      <c r="F395" s="1">
        <v>22102</v>
      </c>
      <c r="G395" s="1" t="s">
        <v>68</v>
      </c>
      <c r="H395" s="1" t="s">
        <v>18</v>
      </c>
      <c r="J395" s="1" t="s">
        <v>81</v>
      </c>
      <c r="K395" s="1" t="str">
        <f>VLOOKUP(J395,'[1]Base SCA 02 2026'!V:X,3,0)</f>
        <v>PAULO BONIFÁCIO</v>
      </c>
      <c r="L395" s="1" t="str">
        <f>VLOOKUP(J395,'[1]Base SCA 02 2026'!V:Y,4,0)</f>
        <v>MAURICIO SANTOS</v>
      </c>
      <c r="M395" s="1" t="str">
        <f>VLOOKUP(J395,'[1]Base SCA 02 2026'!V:Z,5,0)</f>
        <v xml:space="preserve">EDSON/MARCELO LIMA </v>
      </c>
      <c r="N395" s="1" t="str">
        <f t="shared" si="6"/>
        <v xml:space="preserve">EDSON/MARCELO LIMA </v>
      </c>
    </row>
    <row r="396" spans="1:14" x14ac:dyDescent="0.3">
      <c r="A396" s="1">
        <v>1718</v>
      </c>
      <c r="B396" s="1" t="s">
        <v>438</v>
      </c>
      <c r="C396" s="5" t="s">
        <v>15</v>
      </c>
      <c r="D396" s="2">
        <v>40555</v>
      </c>
      <c r="E396" s="1" t="s">
        <v>166</v>
      </c>
      <c r="F396" s="1">
        <v>51219</v>
      </c>
      <c r="G396" s="1" t="s">
        <v>61</v>
      </c>
      <c r="H396" s="1" t="s">
        <v>18</v>
      </c>
      <c r="J396" s="1" t="s">
        <v>19</v>
      </c>
      <c r="K396" s="1" t="str">
        <f>VLOOKUP(J396,'[1]Base SCA 02 2026'!V:X,3,0)</f>
        <v>JOSÉ GOUVEA</v>
      </c>
      <c r="L396" s="1" t="str">
        <f>VLOOKUP(J396,'[1]Base SCA 02 2026'!V:Y,4,0)</f>
        <v>ALEX DIAS</v>
      </c>
      <c r="N396" s="1" t="str">
        <f t="shared" si="6"/>
        <v>ALEX DIAS</v>
      </c>
    </row>
    <row r="397" spans="1:14" x14ac:dyDescent="0.3">
      <c r="A397" s="1">
        <v>700877</v>
      </c>
      <c r="B397" s="1" t="s">
        <v>439</v>
      </c>
      <c r="C397" s="5" t="s">
        <v>15</v>
      </c>
      <c r="D397" s="2">
        <v>43529</v>
      </c>
      <c r="E397" s="1" t="s">
        <v>146</v>
      </c>
      <c r="F397" s="1">
        <v>39304</v>
      </c>
      <c r="G397" s="1" t="s">
        <v>56</v>
      </c>
      <c r="H397" s="1" t="s">
        <v>18</v>
      </c>
      <c r="J397" s="1" t="s">
        <v>57</v>
      </c>
      <c r="K397" s="1" t="str">
        <f>VLOOKUP(J397,'[1]Base SCA 02 2026'!V:X,3,0)</f>
        <v>PAULO BONIFÁCIO</v>
      </c>
      <c r="L397" s="1" t="str">
        <f>VLOOKUP(J397,'[1]Base SCA 02 2026'!V:Y,4,0)</f>
        <v>ALDAIR BORGES</v>
      </c>
      <c r="M397" s="1" t="str">
        <f>VLOOKUP(J397,'[1]Base SCA 02 2026'!V:Z,5,0)</f>
        <v>WARLEY RIBEIRO</v>
      </c>
      <c r="N397" s="1" t="str">
        <f t="shared" si="6"/>
        <v>WARLEY RIBEIRO</v>
      </c>
    </row>
    <row r="398" spans="1:14" x14ac:dyDescent="0.3">
      <c r="A398" s="1">
        <v>705581</v>
      </c>
      <c r="B398" s="1" t="s">
        <v>1320</v>
      </c>
      <c r="C398" s="5" t="s">
        <v>92</v>
      </c>
      <c r="D398" s="2">
        <v>45881</v>
      </c>
      <c r="E398" s="1" t="s">
        <v>270</v>
      </c>
      <c r="F398" s="1">
        <v>39302</v>
      </c>
      <c r="G398" s="1" t="s">
        <v>102</v>
      </c>
      <c r="H398" s="1" t="s">
        <v>18</v>
      </c>
      <c r="I398" s="2">
        <v>46073</v>
      </c>
      <c r="J398" s="1" t="s">
        <v>57</v>
      </c>
      <c r="K398" s="1" t="str">
        <f>VLOOKUP(J398,'[1]Base SCA 02 2026'!V:X,3,0)</f>
        <v>PAULO BONIFÁCIO</v>
      </c>
      <c r="L398" s="1" t="str">
        <f>VLOOKUP(J398,'[1]Base SCA 02 2026'!V:Y,4,0)</f>
        <v>ALDAIR BORGES</v>
      </c>
      <c r="M398" s="1" t="str">
        <f>VLOOKUP(J398,'[1]Base SCA 02 2026'!V:Z,5,0)</f>
        <v>WARLEY RIBEIRO</v>
      </c>
      <c r="N398" s="1" t="str">
        <f t="shared" si="6"/>
        <v>WARLEY RIBEIRO</v>
      </c>
    </row>
    <row r="399" spans="1:14" x14ac:dyDescent="0.3">
      <c r="A399" s="1">
        <v>704237</v>
      </c>
      <c r="B399" s="1" t="s">
        <v>440</v>
      </c>
      <c r="C399" s="5" t="s">
        <v>15</v>
      </c>
      <c r="D399" s="2">
        <v>45328</v>
      </c>
      <c r="E399" s="1" t="s">
        <v>80</v>
      </c>
      <c r="F399" s="1">
        <v>22102</v>
      </c>
      <c r="G399" s="1" t="s">
        <v>68</v>
      </c>
      <c r="H399" s="1" t="s">
        <v>18</v>
      </c>
      <c r="J399" s="1" t="s">
        <v>81</v>
      </c>
      <c r="K399" s="1" t="str">
        <f>VLOOKUP(J399,'[1]Base SCA 02 2026'!V:X,3,0)</f>
        <v>PAULO BONIFÁCIO</v>
      </c>
      <c r="L399" s="1" t="str">
        <f>VLOOKUP(J399,'[1]Base SCA 02 2026'!V:Y,4,0)</f>
        <v>MAURICIO SANTOS</v>
      </c>
      <c r="M399" s="1" t="str">
        <f>VLOOKUP(J399,'[1]Base SCA 02 2026'!V:Z,5,0)</f>
        <v xml:space="preserve">EDSON/MARCELO LIMA </v>
      </c>
      <c r="N399" s="1" t="str">
        <f t="shared" si="6"/>
        <v xml:space="preserve">EDSON/MARCELO LIMA </v>
      </c>
    </row>
    <row r="400" spans="1:14" x14ac:dyDescent="0.3">
      <c r="A400" s="1">
        <v>705153</v>
      </c>
      <c r="B400" s="1" t="s">
        <v>1150</v>
      </c>
      <c r="C400" s="5" t="s">
        <v>15</v>
      </c>
      <c r="D400" s="2">
        <v>45705</v>
      </c>
      <c r="E400" s="1" t="s">
        <v>91</v>
      </c>
      <c r="F400" s="1">
        <v>34201</v>
      </c>
      <c r="G400" s="1" t="s">
        <v>84</v>
      </c>
      <c r="H400" s="1" t="s">
        <v>18</v>
      </c>
      <c r="J400" s="1" t="s">
        <v>85</v>
      </c>
      <c r="K400" s="1" t="str">
        <f>VLOOKUP(J400,'[1]Base SCA 02 2026'!V:X,3,0)</f>
        <v>PAULO BONIFÁCIO</v>
      </c>
      <c r="L400" s="1" t="str">
        <f>VLOOKUP(J400,'[1]Base SCA 02 2026'!V:Y,4,0)</f>
        <v>PAULO BONIFÁCIO</v>
      </c>
      <c r="M400" s="1" t="str">
        <f>VLOOKUP(J400,'[1]Base SCA 02 2026'!V:Z,5,0)</f>
        <v xml:space="preserve">LEONARDO SANTOS </v>
      </c>
      <c r="N400" s="1" t="str">
        <f t="shared" si="6"/>
        <v xml:space="preserve">LEONARDO SANTOS </v>
      </c>
    </row>
    <row r="401" spans="1:14" x14ac:dyDescent="0.3">
      <c r="A401" s="1">
        <v>705645</v>
      </c>
      <c r="B401" s="1" t="s">
        <v>1409</v>
      </c>
      <c r="C401" s="5" t="s">
        <v>15</v>
      </c>
      <c r="D401" s="2">
        <v>45937</v>
      </c>
      <c r="E401" s="1" t="s">
        <v>31</v>
      </c>
      <c r="F401" s="1">
        <v>52104</v>
      </c>
      <c r="G401" s="1" t="s">
        <v>17</v>
      </c>
      <c r="H401" s="1" t="s">
        <v>18</v>
      </c>
      <c r="J401" s="1" t="s">
        <v>19</v>
      </c>
      <c r="K401" s="1" t="str">
        <f>VLOOKUP(J401,'[1]Base SCA 02 2026'!V:X,3,0)</f>
        <v>JOSÉ GOUVEA</v>
      </c>
      <c r="L401" s="1" t="str">
        <f>VLOOKUP(J401,'[1]Base SCA 02 2026'!V:Y,4,0)</f>
        <v>ALEX DIAS</v>
      </c>
      <c r="N401" s="1" t="str">
        <f t="shared" si="6"/>
        <v>ALEX DIAS</v>
      </c>
    </row>
    <row r="402" spans="1:14" x14ac:dyDescent="0.3">
      <c r="A402" s="1">
        <v>702658</v>
      </c>
      <c r="B402" s="1" t="s">
        <v>441</v>
      </c>
      <c r="C402" s="5" t="s">
        <v>15</v>
      </c>
      <c r="D402" s="2">
        <v>44509</v>
      </c>
      <c r="E402" s="1" t="s">
        <v>188</v>
      </c>
      <c r="F402" s="1">
        <v>22102</v>
      </c>
      <c r="G402" s="1" t="s">
        <v>68</v>
      </c>
      <c r="H402" s="1" t="s">
        <v>18</v>
      </c>
      <c r="J402" s="1" t="s">
        <v>81</v>
      </c>
      <c r="K402" s="1" t="str">
        <f>VLOOKUP(J402,'[1]Base SCA 02 2026'!V:X,3,0)</f>
        <v>PAULO BONIFÁCIO</v>
      </c>
      <c r="L402" s="1" t="str">
        <f>VLOOKUP(J402,'[1]Base SCA 02 2026'!V:Y,4,0)</f>
        <v>MAURICIO SANTOS</v>
      </c>
      <c r="M402" s="1" t="str">
        <f>VLOOKUP(J402,'[1]Base SCA 02 2026'!V:Z,5,0)</f>
        <v xml:space="preserve">EDSON/MARCELO LIMA </v>
      </c>
      <c r="N402" s="1" t="str">
        <f t="shared" si="6"/>
        <v xml:space="preserve">EDSON/MARCELO LIMA </v>
      </c>
    </row>
    <row r="403" spans="1:14" x14ac:dyDescent="0.3">
      <c r="A403" s="1">
        <v>702838</v>
      </c>
      <c r="B403" s="1" t="s">
        <v>442</v>
      </c>
      <c r="C403" s="5" t="s">
        <v>15</v>
      </c>
      <c r="D403" s="2">
        <v>44628</v>
      </c>
      <c r="E403" s="1" t="s">
        <v>31</v>
      </c>
      <c r="F403" s="1">
        <v>22102</v>
      </c>
      <c r="G403" s="1" t="s">
        <v>68</v>
      </c>
      <c r="H403" s="1" t="s">
        <v>18</v>
      </c>
      <c r="J403" s="1" t="s">
        <v>167</v>
      </c>
      <c r="K403" s="1" t="str">
        <f>VLOOKUP(J403,'[1]Base SCA 02 2026'!V:X,3,0)</f>
        <v>PAULO BONIFÁCIO</v>
      </c>
      <c r="L403" s="1" t="str">
        <f>VLOOKUP(J403,'[1]Base SCA 02 2026'!V:Y,4,0)</f>
        <v>MAURICIO SANTOS</v>
      </c>
      <c r="M403" s="1" t="str">
        <f>VLOOKUP(J403,'[1]Base SCA 02 2026'!V:Z,5,0)</f>
        <v>FABIANO</v>
      </c>
      <c r="N403" s="1" t="str">
        <f t="shared" si="6"/>
        <v>FABIANO</v>
      </c>
    </row>
    <row r="404" spans="1:14" x14ac:dyDescent="0.3">
      <c r="A404" s="1">
        <v>702839</v>
      </c>
      <c r="B404" s="1" t="s">
        <v>443</v>
      </c>
      <c r="C404" s="5" t="s">
        <v>15</v>
      </c>
      <c r="D404" s="2">
        <v>44628</v>
      </c>
      <c r="E404" s="1" t="s">
        <v>31</v>
      </c>
      <c r="F404" s="1">
        <v>22102</v>
      </c>
      <c r="G404" s="1" t="s">
        <v>68</v>
      </c>
      <c r="H404" s="1" t="s">
        <v>18</v>
      </c>
      <c r="J404" s="1" t="s">
        <v>167</v>
      </c>
      <c r="K404" s="1" t="str">
        <f>VLOOKUP(J404,'[1]Base SCA 02 2026'!V:X,3,0)</f>
        <v>PAULO BONIFÁCIO</v>
      </c>
      <c r="L404" s="1" t="str">
        <f>VLOOKUP(J404,'[1]Base SCA 02 2026'!V:Y,4,0)</f>
        <v>MAURICIO SANTOS</v>
      </c>
      <c r="M404" s="1" t="str">
        <f>VLOOKUP(J404,'[1]Base SCA 02 2026'!V:Z,5,0)</f>
        <v>FABIANO</v>
      </c>
      <c r="N404" s="1" t="str">
        <f t="shared" si="6"/>
        <v>FABIANO</v>
      </c>
    </row>
    <row r="405" spans="1:14" x14ac:dyDescent="0.3">
      <c r="A405" s="1">
        <v>705104</v>
      </c>
      <c r="B405" s="1" t="s">
        <v>444</v>
      </c>
      <c r="C405" s="5" t="s">
        <v>92</v>
      </c>
      <c r="D405" s="2">
        <v>45678</v>
      </c>
      <c r="E405" s="1" t="s">
        <v>31</v>
      </c>
      <c r="F405" s="1">
        <v>52104</v>
      </c>
      <c r="G405" s="1" t="s">
        <v>17</v>
      </c>
      <c r="H405" s="1" t="s">
        <v>18</v>
      </c>
      <c r="I405" s="2">
        <v>46058</v>
      </c>
      <c r="J405" s="1" t="s">
        <v>19</v>
      </c>
      <c r="K405" s="1" t="str">
        <f>VLOOKUP(J405,'[1]Base SCA 02 2026'!V:X,3,0)</f>
        <v>JOSÉ GOUVEA</v>
      </c>
      <c r="L405" s="1" t="str">
        <f>VLOOKUP(J405,'[1]Base SCA 02 2026'!V:Y,4,0)</f>
        <v>ALEX DIAS</v>
      </c>
      <c r="N405" s="1" t="str">
        <f t="shared" si="6"/>
        <v>ALEX DIAS</v>
      </c>
    </row>
    <row r="406" spans="1:14" x14ac:dyDescent="0.3">
      <c r="A406" s="1">
        <v>705130</v>
      </c>
      <c r="B406" s="1" t="s">
        <v>1144</v>
      </c>
      <c r="C406" s="5" t="s">
        <v>15</v>
      </c>
      <c r="D406" s="2">
        <v>45698</v>
      </c>
      <c r="E406" s="1" t="s">
        <v>31</v>
      </c>
      <c r="F406" s="1">
        <v>22102</v>
      </c>
      <c r="G406" s="1" t="s">
        <v>68</v>
      </c>
      <c r="H406" s="1" t="s">
        <v>18</v>
      </c>
      <c r="J406" s="1" t="s">
        <v>94</v>
      </c>
      <c r="K406" s="1" t="str">
        <f>VLOOKUP(J406,'[1]Base SCA 02 2026'!V:X,3,0)</f>
        <v>PAULO BONIFÁCIO</v>
      </c>
      <c r="L406" s="1" t="str">
        <f>VLOOKUP(J406,'[1]Base SCA 02 2026'!V:Y,4,0)</f>
        <v xml:space="preserve">JOÃO KOMURA </v>
      </c>
      <c r="M406" s="1" t="str">
        <f>VLOOKUP(J406,'[1]Base SCA 02 2026'!V:Z,5,0)</f>
        <v>LUAN ABADIA</v>
      </c>
      <c r="N406" s="1" t="str">
        <f t="shared" si="6"/>
        <v>LUAN ABADIA</v>
      </c>
    </row>
    <row r="407" spans="1:14" x14ac:dyDescent="0.3">
      <c r="A407" s="1">
        <v>705845</v>
      </c>
      <c r="B407" s="1" t="s">
        <v>1550</v>
      </c>
      <c r="C407" s="5" t="s">
        <v>15</v>
      </c>
      <c r="D407" s="2">
        <v>46063</v>
      </c>
      <c r="E407" s="1" t="s">
        <v>31</v>
      </c>
      <c r="F407" s="1">
        <v>52104</v>
      </c>
      <c r="G407" s="1" t="s">
        <v>17</v>
      </c>
      <c r="H407" s="1" t="s">
        <v>18</v>
      </c>
      <c r="J407" s="1" t="s">
        <v>19</v>
      </c>
      <c r="K407" s="1" t="str">
        <f>VLOOKUP(J407,'[1]Base SCA 02 2026'!V:X,3,0)</f>
        <v>JOSÉ GOUVEA</v>
      </c>
      <c r="L407" s="1" t="str">
        <f>VLOOKUP(J407,'[1]Base SCA 02 2026'!V:Y,4,0)</f>
        <v>ALEX DIAS</v>
      </c>
      <c r="N407" s="1" t="str">
        <f t="shared" si="6"/>
        <v>ALEX DIAS</v>
      </c>
    </row>
    <row r="408" spans="1:14" x14ac:dyDescent="0.3">
      <c r="A408" s="1">
        <v>702903</v>
      </c>
      <c r="B408" s="1" t="s">
        <v>445</v>
      </c>
      <c r="C408" s="5" t="s">
        <v>15</v>
      </c>
      <c r="D408" s="2">
        <v>44656</v>
      </c>
      <c r="E408" s="1" t="s">
        <v>199</v>
      </c>
      <c r="F408" s="1">
        <v>22102</v>
      </c>
      <c r="G408" s="1" t="s">
        <v>68</v>
      </c>
      <c r="H408" s="1" t="s">
        <v>18</v>
      </c>
      <c r="J408" s="1" t="s">
        <v>81</v>
      </c>
      <c r="K408" s="1" t="str">
        <f>VLOOKUP(J408,'[1]Base SCA 02 2026'!V:X,3,0)</f>
        <v>PAULO BONIFÁCIO</v>
      </c>
      <c r="L408" s="1" t="str">
        <f>VLOOKUP(J408,'[1]Base SCA 02 2026'!V:Y,4,0)</f>
        <v>MAURICIO SANTOS</v>
      </c>
      <c r="M408" s="1" t="str">
        <f>VLOOKUP(J408,'[1]Base SCA 02 2026'!V:Z,5,0)</f>
        <v xml:space="preserve">EDSON/MARCELO LIMA </v>
      </c>
      <c r="N408" s="1" t="str">
        <f t="shared" si="6"/>
        <v xml:space="preserve">EDSON/MARCELO LIMA </v>
      </c>
    </row>
    <row r="409" spans="1:14" x14ac:dyDescent="0.3">
      <c r="A409" s="1">
        <v>701982</v>
      </c>
      <c r="B409" s="1" t="s">
        <v>1504</v>
      </c>
      <c r="C409" s="5" t="s">
        <v>15</v>
      </c>
      <c r="D409" s="2">
        <v>44172</v>
      </c>
      <c r="E409" s="1" t="s">
        <v>446</v>
      </c>
      <c r="F409" s="1">
        <v>15101</v>
      </c>
      <c r="G409" s="1" t="s">
        <v>447</v>
      </c>
      <c r="H409" s="1" t="s">
        <v>18</v>
      </c>
      <c r="J409" s="1" t="s">
        <v>448</v>
      </c>
      <c r="K409" s="1" t="str">
        <f>VLOOKUP(J409,'[1]Base SCA 02 2026'!V:X,3,0)</f>
        <v xml:space="preserve">RAFAEL VIRGENS </v>
      </c>
      <c r="L409" s="1" t="str">
        <f>VLOOKUP(J409,'[1]Base SCA 02 2026'!V:Y,4,0)</f>
        <v xml:space="preserve">RAFAEL VIRGENS </v>
      </c>
      <c r="N409" s="1" t="str">
        <f t="shared" si="6"/>
        <v xml:space="preserve">RAFAEL VIRGENS </v>
      </c>
    </row>
    <row r="410" spans="1:14" x14ac:dyDescent="0.3">
      <c r="A410" s="1">
        <v>704953</v>
      </c>
      <c r="B410" s="1" t="s">
        <v>450</v>
      </c>
      <c r="C410" s="5" t="s">
        <v>15</v>
      </c>
      <c r="D410" s="2">
        <v>45607</v>
      </c>
      <c r="E410" s="1" t="s">
        <v>138</v>
      </c>
      <c r="F410" s="1">
        <v>22102</v>
      </c>
      <c r="G410" s="1" t="s">
        <v>68</v>
      </c>
      <c r="H410" s="1" t="s">
        <v>18</v>
      </c>
      <c r="J410" s="1" t="s">
        <v>81</v>
      </c>
      <c r="K410" s="1" t="str">
        <f>VLOOKUP(J410,'[1]Base SCA 02 2026'!V:X,3,0)</f>
        <v>PAULO BONIFÁCIO</v>
      </c>
      <c r="L410" s="1" t="str">
        <f>VLOOKUP(J410,'[1]Base SCA 02 2026'!V:Y,4,0)</f>
        <v>MAURICIO SANTOS</v>
      </c>
      <c r="M410" s="1" t="str">
        <f>VLOOKUP(J410,'[1]Base SCA 02 2026'!V:Z,5,0)</f>
        <v xml:space="preserve">EDSON/MARCELO LIMA </v>
      </c>
      <c r="N410" s="1" t="str">
        <f t="shared" si="6"/>
        <v xml:space="preserve">EDSON/MARCELO LIMA </v>
      </c>
    </row>
    <row r="411" spans="1:14" x14ac:dyDescent="0.3">
      <c r="A411" s="1">
        <v>702980</v>
      </c>
      <c r="B411" s="1" t="s">
        <v>451</v>
      </c>
      <c r="C411" s="5" t="s">
        <v>15</v>
      </c>
      <c r="D411" s="2">
        <v>44684</v>
      </c>
      <c r="E411" s="1" t="s">
        <v>109</v>
      </c>
      <c r="F411" s="1">
        <v>32101</v>
      </c>
      <c r="G411" s="1" t="s">
        <v>23</v>
      </c>
      <c r="H411" s="1" t="s">
        <v>18</v>
      </c>
      <c r="J411" s="1" t="s">
        <v>24</v>
      </c>
      <c r="K411" s="1" t="str">
        <f>VLOOKUP(J411,'[1]Base SCA 02 2026'!V:X,3,0)</f>
        <v>RAFAEL XAVIER</v>
      </c>
      <c r="L411" s="1" t="str">
        <f>VLOOKUP(J411,'[1]Base SCA 02 2026'!V:Y,4,0)</f>
        <v>FERNANDO GUILHERME</v>
      </c>
      <c r="M411" s="1" t="str">
        <f>VLOOKUP(J411,'[1]Base SCA 02 2026'!V:Z,5,0)</f>
        <v>JUNIO COSTA</v>
      </c>
      <c r="N411" s="1" t="str">
        <f t="shared" si="6"/>
        <v>JUNIO COSTA</v>
      </c>
    </row>
    <row r="412" spans="1:14" x14ac:dyDescent="0.3">
      <c r="A412" s="1">
        <v>704187</v>
      </c>
      <c r="B412" s="1" t="s">
        <v>452</v>
      </c>
      <c r="C412" s="5" t="s">
        <v>15</v>
      </c>
      <c r="D412" s="2">
        <v>45300</v>
      </c>
      <c r="E412" s="1" t="s">
        <v>67</v>
      </c>
      <c r="F412" s="1">
        <v>22102</v>
      </c>
      <c r="G412" s="1" t="s">
        <v>68</v>
      </c>
      <c r="H412" s="1" t="s">
        <v>18</v>
      </c>
      <c r="J412" s="1" t="s">
        <v>94</v>
      </c>
      <c r="K412" s="1" t="str">
        <f>VLOOKUP(J412,'[1]Base SCA 02 2026'!V:X,3,0)</f>
        <v>PAULO BONIFÁCIO</v>
      </c>
      <c r="L412" s="1" t="str">
        <f>VLOOKUP(J412,'[1]Base SCA 02 2026'!V:Y,4,0)</f>
        <v xml:space="preserve">JOÃO KOMURA </v>
      </c>
      <c r="M412" s="1" t="str">
        <f>VLOOKUP(J412,'[1]Base SCA 02 2026'!V:Z,5,0)</f>
        <v>LUAN ABADIA</v>
      </c>
      <c r="N412" s="1" t="str">
        <f t="shared" si="6"/>
        <v>LUAN ABADIA</v>
      </c>
    </row>
    <row r="413" spans="1:14" x14ac:dyDescent="0.3">
      <c r="A413" s="1">
        <v>705016</v>
      </c>
      <c r="B413" s="1" t="s">
        <v>453</v>
      </c>
      <c r="C413" s="5" t="s">
        <v>15</v>
      </c>
      <c r="D413" s="2">
        <v>45635</v>
      </c>
      <c r="E413" s="1" t="s">
        <v>121</v>
      </c>
      <c r="F413" s="1">
        <v>22101</v>
      </c>
      <c r="G413" s="1" t="s">
        <v>122</v>
      </c>
      <c r="H413" s="1" t="s">
        <v>18</v>
      </c>
      <c r="J413" s="1" t="s">
        <v>123</v>
      </c>
      <c r="K413" s="1" t="str">
        <f>VLOOKUP(J413,'[1]Base SCA 02 2026'!V:X,3,0)</f>
        <v>MATHEUS FERNANDES</v>
      </c>
      <c r="L413" s="1" t="str">
        <f>VLOOKUP(J413,'[1]Base SCA 02 2026'!V:Y,4,0)</f>
        <v>MATHEUS FERNANDES</v>
      </c>
      <c r="N413" s="1" t="str">
        <f t="shared" si="6"/>
        <v>MATHEUS FERNANDES</v>
      </c>
    </row>
    <row r="414" spans="1:14" x14ac:dyDescent="0.3">
      <c r="A414" s="1">
        <v>704712</v>
      </c>
      <c r="B414" s="1" t="s">
        <v>977</v>
      </c>
      <c r="C414" s="5" t="s">
        <v>233</v>
      </c>
      <c r="D414" s="2">
        <v>45518</v>
      </c>
      <c r="E414" s="1" t="s">
        <v>138</v>
      </c>
      <c r="F414" s="1">
        <v>22102</v>
      </c>
      <c r="G414" s="1" t="s">
        <v>68</v>
      </c>
      <c r="H414" s="1" t="s">
        <v>18</v>
      </c>
      <c r="J414" s="1" t="s">
        <v>81</v>
      </c>
      <c r="K414" s="1" t="str">
        <f>VLOOKUP(J414,'[1]Base SCA 02 2026'!V:X,3,0)</f>
        <v>PAULO BONIFÁCIO</v>
      </c>
      <c r="L414" s="1" t="str">
        <f>VLOOKUP(J414,'[1]Base SCA 02 2026'!V:Y,4,0)</f>
        <v>MAURICIO SANTOS</v>
      </c>
      <c r="M414" s="1" t="str">
        <f>VLOOKUP(J414,'[1]Base SCA 02 2026'!V:Z,5,0)</f>
        <v xml:space="preserve">EDSON/MARCELO LIMA </v>
      </c>
      <c r="N414" s="1" t="str">
        <f t="shared" si="6"/>
        <v xml:space="preserve">EDSON/MARCELO LIMA </v>
      </c>
    </row>
    <row r="415" spans="1:14" x14ac:dyDescent="0.3">
      <c r="A415" s="1">
        <v>101622</v>
      </c>
      <c r="B415" s="1" t="s">
        <v>455</v>
      </c>
      <c r="C415" s="5" t="s">
        <v>15</v>
      </c>
      <c r="D415" s="2">
        <v>43010</v>
      </c>
      <c r="E415" s="1" t="s">
        <v>146</v>
      </c>
      <c r="F415" s="1">
        <v>52104</v>
      </c>
      <c r="G415" s="1" t="s">
        <v>17</v>
      </c>
      <c r="H415" s="1" t="s">
        <v>18</v>
      </c>
      <c r="J415" s="1" t="s">
        <v>37</v>
      </c>
      <c r="K415" s="1" t="str">
        <f>VLOOKUP(J415,'[1]Base SCA 02 2026'!V:X,3,0)</f>
        <v>JOSÉ GOUVEA</v>
      </c>
      <c r="L415" s="1" t="str">
        <f>VLOOKUP(J415,'[1]Base SCA 02 2026'!V:Y,4,0)</f>
        <v>ALEX DIAS</v>
      </c>
      <c r="N415" s="1" t="str">
        <f t="shared" si="6"/>
        <v>ALEX DIAS</v>
      </c>
    </row>
    <row r="416" spans="1:14" x14ac:dyDescent="0.3">
      <c r="A416" s="1">
        <v>705312</v>
      </c>
      <c r="B416" s="1" t="s">
        <v>1226</v>
      </c>
      <c r="C416" s="5" t="s">
        <v>15</v>
      </c>
      <c r="D416" s="2">
        <v>45784</v>
      </c>
      <c r="E416" s="1" t="s">
        <v>31</v>
      </c>
      <c r="F416" s="1">
        <v>52104</v>
      </c>
      <c r="G416" s="1" t="s">
        <v>17</v>
      </c>
      <c r="H416" s="1" t="s">
        <v>18</v>
      </c>
      <c r="J416" s="1" t="s">
        <v>19</v>
      </c>
      <c r="K416" s="1" t="str">
        <f>VLOOKUP(J416,'[1]Base SCA 02 2026'!V:X,3,0)</f>
        <v>JOSÉ GOUVEA</v>
      </c>
      <c r="L416" s="1" t="str">
        <f>VLOOKUP(J416,'[1]Base SCA 02 2026'!V:Y,4,0)</f>
        <v>ALEX DIAS</v>
      </c>
      <c r="N416" s="1" t="str">
        <f t="shared" si="6"/>
        <v>ALEX DIAS</v>
      </c>
    </row>
    <row r="417" spans="1:14" x14ac:dyDescent="0.3">
      <c r="A417" s="1">
        <v>702936</v>
      </c>
      <c r="B417" s="1" t="s">
        <v>456</v>
      </c>
      <c r="C417" s="5" t="s">
        <v>15</v>
      </c>
      <c r="D417" s="2">
        <v>44663</v>
      </c>
      <c r="E417" s="1" t="s">
        <v>149</v>
      </c>
      <c r="F417" s="1">
        <v>39302</v>
      </c>
      <c r="G417" s="1" t="s">
        <v>102</v>
      </c>
      <c r="H417" s="1" t="s">
        <v>18</v>
      </c>
      <c r="J417" s="1" t="s">
        <v>57</v>
      </c>
      <c r="K417" s="1" t="str">
        <f>VLOOKUP(J417,'[1]Base SCA 02 2026'!V:X,3,0)</f>
        <v>PAULO BONIFÁCIO</v>
      </c>
      <c r="L417" s="1" t="str">
        <f>VLOOKUP(J417,'[1]Base SCA 02 2026'!V:Y,4,0)</f>
        <v>ALDAIR BORGES</v>
      </c>
      <c r="M417" s="1" t="str">
        <f>VLOOKUP(J417,'[1]Base SCA 02 2026'!V:Z,5,0)</f>
        <v>WARLEY RIBEIRO</v>
      </c>
      <c r="N417" s="1" t="str">
        <f t="shared" si="6"/>
        <v>WARLEY RIBEIRO</v>
      </c>
    </row>
    <row r="418" spans="1:14" x14ac:dyDescent="0.3">
      <c r="A418" s="1">
        <v>705608</v>
      </c>
      <c r="B418" s="1" t="s">
        <v>982</v>
      </c>
      <c r="C418" s="5" t="s">
        <v>15</v>
      </c>
      <c r="D418" s="2">
        <v>45902</v>
      </c>
      <c r="E418" s="1" t="s">
        <v>31</v>
      </c>
      <c r="F418" s="1">
        <v>52104</v>
      </c>
      <c r="G418" s="1" t="s">
        <v>17</v>
      </c>
      <c r="H418" s="1" t="s">
        <v>18</v>
      </c>
      <c r="J418" s="1" t="s">
        <v>19</v>
      </c>
      <c r="K418" s="1" t="str">
        <f>VLOOKUP(J418,'[1]Base SCA 02 2026'!V:X,3,0)</f>
        <v>JOSÉ GOUVEA</v>
      </c>
      <c r="L418" s="1" t="str">
        <f>VLOOKUP(J418,'[1]Base SCA 02 2026'!V:Y,4,0)</f>
        <v>ALEX DIAS</v>
      </c>
      <c r="N418" s="1" t="str">
        <f t="shared" si="6"/>
        <v>ALEX DIAS</v>
      </c>
    </row>
    <row r="419" spans="1:14" x14ac:dyDescent="0.3">
      <c r="A419" s="1">
        <v>705625</v>
      </c>
      <c r="B419" s="1" t="s">
        <v>1410</v>
      </c>
      <c r="C419" s="5" t="s">
        <v>15</v>
      </c>
      <c r="D419" s="2">
        <v>45937</v>
      </c>
      <c r="E419" s="1" t="s">
        <v>175</v>
      </c>
      <c r="F419" s="1">
        <v>31102</v>
      </c>
      <c r="G419" s="1" t="s">
        <v>135</v>
      </c>
      <c r="H419" s="1" t="s">
        <v>18</v>
      </c>
      <c r="J419" s="1" t="s">
        <v>136</v>
      </c>
      <c r="K419" s="1" t="str">
        <f>VLOOKUP(J419,'[1]Base SCA 02 2026'!V:X,3,0)</f>
        <v>ANDREZA LARDO</v>
      </c>
      <c r="L419" s="1" t="str">
        <f>VLOOKUP(J419,'[1]Base SCA 02 2026'!V:Y,4,0)</f>
        <v>ANDREZA LARDO</v>
      </c>
      <c r="M419" s="1" t="str">
        <f>VLOOKUP(J419,'[1]Base SCA 02 2026'!V:Z,5,0)</f>
        <v>ADENILTON RODRIGUES</v>
      </c>
      <c r="N419" s="1" t="str">
        <f t="shared" si="6"/>
        <v>ADENILTON RODRIGUES</v>
      </c>
    </row>
    <row r="420" spans="1:14" x14ac:dyDescent="0.3">
      <c r="A420" s="1">
        <v>705379</v>
      </c>
      <c r="B420" s="1" t="s">
        <v>1227</v>
      </c>
      <c r="C420" s="5" t="s">
        <v>15</v>
      </c>
      <c r="D420" s="2">
        <v>45784</v>
      </c>
      <c r="E420" s="1" t="s">
        <v>22</v>
      </c>
      <c r="F420" s="1">
        <v>34101</v>
      </c>
      <c r="G420" s="1" t="s">
        <v>43</v>
      </c>
      <c r="H420" s="1" t="s">
        <v>18</v>
      </c>
      <c r="J420" s="1" t="s">
        <v>237</v>
      </c>
      <c r="K420" s="1" t="str">
        <f>VLOOKUP(J420,'[1]Base SCA 02 2026'!V:X,3,0)</f>
        <v>RAFAEL XAVIER</v>
      </c>
      <c r="L420" s="1" t="str">
        <f>VLOOKUP(J420,'[1]Base SCA 02 2026'!V:Y,4,0)</f>
        <v>IVONEI CAMPOS</v>
      </c>
      <c r="M420" s="1" t="str">
        <f>VLOOKUP(J420,'[1]Base SCA 02 2026'!V:Z,5,0)</f>
        <v xml:space="preserve">MARCOS VINICIUS </v>
      </c>
      <c r="N420" s="1" t="str">
        <f t="shared" si="6"/>
        <v xml:space="preserve">MARCOS VINICIUS </v>
      </c>
    </row>
    <row r="421" spans="1:14" x14ac:dyDescent="0.3">
      <c r="A421" s="1">
        <v>702020</v>
      </c>
      <c r="B421" s="1" t="s">
        <v>458</v>
      </c>
      <c r="C421" s="5" t="s">
        <v>15</v>
      </c>
      <c r="D421" s="2">
        <v>44242</v>
      </c>
      <c r="E421" s="1" t="s">
        <v>459</v>
      </c>
      <c r="F421" s="1">
        <v>34101</v>
      </c>
      <c r="G421" s="1" t="s">
        <v>43</v>
      </c>
      <c r="H421" s="1" t="s">
        <v>18</v>
      </c>
      <c r="J421" s="1" t="s">
        <v>237</v>
      </c>
      <c r="K421" s="1" t="str">
        <f>VLOOKUP(J421,'[1]Base SCA 02 2026'!V:X,3,0)</f>
        <v>RAFAEL XAVIER</v>
      </c>
      <c r="L421" s="1" t="str">
        <f>VLOOKUP(J421,'[1]Base SCA 02 2026'!V:Y,4,0)</f>
        <v>IVONEI CAMPOS</v>
      </c>
      <c r="M421" s="1" t="str">
        <f>VLOOKUP(J421,'[1]Base SCA 02 2026'!V:Z,5,0)</f>
        <v xml:space="preserve">MARCOS VINICIUS </v>
      </c>
      <c r="N421" s="1" t="str">
        <f t="shared" si="6"/>
        <v xml:space="preserve">MARCOS VINICIUS </v>
      </c>
    </row>
    <row r="422" spans="1:14" x14ac:dyDescent="0.3">
      <c r="A422" s="1">
        <v>703719</v>
      </c>
      <c r="B422" s="1" t="s">
        <v>460</v>
      </c>
      <c r="C422" s="5" t="s">
        <v>15</v>
      </c>
      <c r="D422" s="2">
        <v>45026</v>
      </c>
      <c r="E422" s="1" t="s">
        <v>188</v>
      </c>
      <c r="F422" s="1">
        <v>22102</v>
      </c>
      <c r="G422" s="1" t="s">
        <v>68</v>
      </c>
      <c r="H422" s="1" t="s">
        <v>18</v>
      </c>
      <c r="J422" s="1" t="s">
        <v>94</v>
      </c>
      <c r="K422" s="1" t="str">
        <f>VLOOKUP(J422,'[1]Base SCA 02 2026'!V:X,3,0)</f>
        <v>PAULO BONIFÁCIO</v>
      </c>
      <c r="L422" s="1" t="str">
        <f>VLOOKUP(J422,'[1]Base SCA 02 2026'!V:Y,4,0)</f>
        <v xml:space="preserve">JOÃO KOMURA </v>
      </c>
      <c r="M422" s="1" t="str">
        <f>VLOOKUP(J422,'[1]Base SCA 02 2026'!V:Z,5,0)</f>
        <v>LUAN ABADIA</v>
      </c>
      <c r="N422" s="1" t="str">
        <f t="shared" si="6"/>
        <v>LUAN ABADIA</v>
      </c>
    </row>
    <row r="423" spans="1:14" x14ac:dyDescent="0.3">
      <c r="A423" s="1">
        <v>705704</v>
      </c>
      <c r="B423" s="1" t="s">
        <v>1452</v>
      </c>
      <c r="C423" s="5" t="s">
        <v>15</v>
      </c>
      <c r="D423" s="2">
        <v>45971</v>
      </c>
      <c r="E423" s="1" t="s">
        <v>31</v>
      </c>
      <c r="F423" s="1">
        <v>52104</v>
      </c>
      <c r="G423" s="1" t="s">
        <v>17</v>
      </c>
      <c r="H423" s="1" t="s">
        <v>18</v>
      </c>
      <c r="J423" s="1" t="s">
        <v>19</v>
      </c>
      <c r="K423" s="1" t="str">
        <f>VLOOKUP(J423,'[1]Base SCA 02 2026'!V:X,3,0)</f>
        <v>JOSÉ GOUVEA</v>
      </c>
      <c r="L423" s="1" t="str">
        <f>VLOOKUP(J423,'[1]Base SCA 02 2026'!V:Y,4,0)</f>
        <v>ALEX DIAS</v>
      </c>
      <c r="N423" s="1" t="str">
        <f t="shared" si="6"/>
        <v>ALEX DIAS</v>
      </c>
    </row>
    <row r="424" spans="1:14" x14ac:dyDescent="0.3">
      <c r="A424" s="1">
        <v>700440</v>
      </c>
      <c r="B424" s="1" t="s">
        <v>991</v>
      </c>
      <c r="C424" s="5" t="s">
        <v>15</v>
      </c>
      <c r="D424" s="2">
        <v>43326</v>
      </c>
      <c r="E424" s="1" t="s">
        <v>326</v>
      </c>
      <c r="F424" s="1">
        <v>32101</v>
      </c>
      <c r="G424" s="1" t="s">
        <v>23</v>
      </c>
      <c r="H424" s="1" t="s">
        <v>18</v>
      </c>
      <c r="J424" s="1" t="s">
        <v>24</v>
      </c>
      <c r="K424" s="1" t="str">
        <f>VLOOKUP(J424,'[1]Base SCA 02 2026'!V:X,3,0)</f>
        <v>RAFAEL XAVIER</v>
      </c>
      <c r="L424" s="1" t="str">
        <f>VLOOKUP(J424,'[1]Base SCA 02 2026'!V:Y,4,0)</f>
        <v>FERNANDO GUILHERME</v>
      </c>
      <c r="M424" s="1" t="str">
        <f>VLOOKUP(J424,'[1]Base SCA 02 2026'!V:Z,5,0)</f>
        <v>JUNIO COSTA</v>
      </c>
      <c r="N424" s="1" t="str">
        <f t="shared" si="6"/>
        <v>JUNIO COSTA</v>
      </c>
    </row>
    <row r="425" spans="1:14" x14ac:dyDescent="0.3">
      <c r="A425" s="1">
        <v>702394</v>
      </c>
      <c r="B425" s="1" t="s">
        <v>461</v>
      </c>
      <c r="C425" s="5" t="s">
        <v>15</v>
      </c>
      <c r="D425" s="2">
        <v>44383</v>
      </c>
      <c r="E425" s="1" t="s">
        <v>230</v>
      </c>
      <c r="F425" s="1">
        <v>38101</v>
      </c>
      <c r="G425" s="1" t="s">
        <v>35</v>
      </c>
      <c r="H425" s="1" t="s">
        <v>18</v>
      </c>
      <c r="J425" s="1" t="s">
        <v>36</v>
      </c>
      <c r="K425" s="1" t="str">
        <f>VLOOKUP(J425,'[1]Base SCA 02 2026'!V:X,3,0)</f>
        <v xml:space="preserve">LEIDJANE MARTINS </v>
      </c>
      <c r="L425" s="1" t="str">
        <f>VLOOKUP(J425,'[1]Base SCA 02 2026'!V:Y,4,0)</f>
        <v xml:space="preserve">LEIDJANE MARTINS </v>
      </c>
      <c r="M425" s="1" t="str">
        <f>VLOOKUP(J425,'[1]Base SCA 02 2026'!V:Z,5,0)</f>
        <v>DENIS ACASSIO</v>
      </c>
      <c r="N425" s="1" t="str">
        <f t="shared" si="6"/>
        <v>DENIS ACASSIO</v>
      </c>
    </row>
    <row r="426" spans="1:14" x14ac:dyDescent="0.3">
      <c r="A426" s="1">
        <v>100155</v>
      </c>
      <c r="B426" s="1" t="s">
        <v>462</v>
      </c>
      <c r="C426" s="5" t="s">
        <v>15</v>
      </c>
      <c r="D426" s="2">
        <v>41367</v>
      </c>
      <c r="E426" s="1" t="s">
        <v>31</v>
      </c>
      <c r="F426" s="1">
        <v>38101</v>
      </c>
      <c r="G426" s="1" t="s">
        <v>35</v>
      </c>
      <c r="H426" s="1" t="s">
        <v>18</v>
      </c>
      <c r="J426" s="1" t="s">
        <v>36</v>
      </c>
      <c r="K426" s="1" t="str">
        <f>VLOOKUP(J426,'[1]Base SCA 02 2026'!V:X,3,0)</f>
        <v xml:space="preserve">LEIDJANE MARTINS </v>
      </c>
      <c r="L426" s="1" t="str">
        <f>VLOOKUP(J426,'[1]Base SCA 02 2026'!V:Y,4,0)</f>
        <v xml:space="preserve">LEIDJANE MARTINS </v>
      </c>
      <c r="M426" s="1" t="str">
        <f>VLOOKUP(J426,'[1]Base SCA 02 2026'!V:Z,5,0)</f>
        <v>DENIS ACASSIO</v>
      </c>
      <c r="N426" s="1" t="str">
        <f t="shared" si="6"/>
        <v>DENIS ACASSIO</v>
      </c>
    </row>
    <row r="427" spans="1:14" x14ac:dyDescent="0.3">
      <c r="A427" s="1">
        <v>705632</v>
      </c>
      <c r="B427" s="1" t="s">
        <v>1411</v>
      </c>
      <c r="C427" s="5" t="s">
        <v>15</v>
      </c>
      <c r="D427" s="2">
        <v>45937</v>
      </c>
      <c r="E427" s="1" t="s">
        <v>31</v>
      </c>
      <c r="F427" s="1">
        <v>25201</v>
      </c>
      <c r="G427" s="1" t="s">
        <v>89</v>
      </c>
      <c r="H427" s="1" t="s">
        <v>18</v>
      </c>
      <c r="J427" s="1" t="s">
        <v>19</v>
      </c>
      <c r="K427" s="1" t="str">
        <f>VLOOKUP(J427,'[1]Base SCA 02 2026'!V:X,3,0)</f>
        <v>JOSÉ GOUVEA</v>
      </c>
      <c r="L427" s="1" t="str">
        <f>VLOOKUP(J427,'[1]Base SCA 02 2026'!V:Y,4,0)</f>
        <v>ALEX DIAS</v>
      </c>
      <c r="N427" s="1" t="str">
        <f t="shared" si="6"/>
        <v>ALEX DIAS</v>
      </c>
    </row>
    <row r="428" spans="1:14" x14ac:dyDescent="0.3">
      <c r="A428" s="1">
        <v>700862</v>
      </c>
      <c r="B428" s="1" t="s">
        <v>463</v>
      </c>
      <c r="C428" s="5" t="s">
        <v>15</v>
      </c>
      <c r="D428" s="2">
        <v>43507</v>
      </c>
      <c r="E428" s="1" t="s">
        <v>230</v>
      </c>
      <c r="F428" s="1">
        <v>38101</v>
      </c>
      <c r="G428" s="1" t="s">
        <v>35</v>
      </c>
      <c r="H428" s="1" t="s">
        <v>18</v>
      </c>
      <c r="J428" s="1" t="s">
        <v>36</v>
      </c>
      <c r="K428" s="1" t="str">
        <f>VLOOKUP(J428,'[1]Base SCA 02 2026'!V:X,3,0)</f>
        <v xml:space="preserve">LEIDJANE MARTINS </v>
      </c>
      <c r="L428" s="1" t="str">
        <f>VLOOKUP(J428,'[1]Base SCA 02 2026'!V:Y,4,0)</f>
        <v xml:space="preserve">LEIDJANE MARTINS </v>
      </c>
      <c r="M428" s="1" t="str">
        <f>VLOOKUP(J428,'[1]Base SCA 02 2026'!V:Z,5,0)</f>
        <v>DENIS ACASSIO</v>
      </c>
      <c r="N428" s="1" t="str">
        <f t="shared" si="6"/>
        <v>DENIS ACASSIO</v>
      </c>
    </row>
    <row r="429" spans="1:14" x14ac:dyDescent="0.3">
      <c r="A429" s="1">
        <v>704883</v>
      </c>
      <c r="B429" s="1" t="s">
        <v>464</v>
      </c>
      <c r="C429" s="5" t="s">
        <v>15</v>
      </c>
      <c r="D429" s="2">
        <v>45586</v>
      </c>
      <c r="E429" s="1" t="s">
        <v>77</v>
      </c>
      <c r="F429" s="1">
        <v>38107</v>
      </c>
      <c r="G429" s="1" t="s">
        <v>1503</v>
      </c>
      <c r="H429" s="1" t="s">
        <v>18</v>
      </c>
      <c r="J429" s="1" t="s">
        <v>78</v>
      </c>
      <c r="K429" s="1" t="str">
        <f>VLOOKUP(J429,'[1]Base SCA 02 2026'!V:X,3,0)</f>
        <v xml:space="preserve">LEIDJANE MARTINS </v>
      </c>
      <c r="L429" s="1" t="str">
        <f>VLOOKUP(J429,'[1]Base SCA 02 2026'!V:Y,4,0)</f>
        <v xml:space="preserve">LEIDJANE MARTINS </v>
      </c>
      <c r="N429" s="1" t="str">
        <f t="shared" si="6"/>
        <v xml:space="preserve">LEIDJANE MARTINS </v>
      </c>
    </row>
    <row r="430" spans="1:14" x14ac:dyDescent="0.3">
      <c r="A430" s="1">
        <v>704880</v>
      </c>
      <c r="B430" s="1" t="s">
        <v>465</v>
      </c>
      <c r="C430" s="5" t="s">
        <v>15</v>
      </c>
      <c r="D430" s="2">
        <v>45586</v>
      </c>
      <c r="E430" s="1" t="s">
        <v>77</v>
      </c>
      <c r="F430" s="1">
        <v>38107</v>
      </c>
      <c r="G430" s="1" t="s">
        <v>1503</v>
      </c>
      <c r="H430" s="1" t="s">
        <v>18</v>
      </c>
      <c r="J430" s="1" t="s">
        <v>78</v>
      </c>
      <c r="K430" s="1" t="str">
        <f>VLOOKUP(J430,'[1]Base SCA 02 2026'!V:X,3,0)</f>
        <v xml:space="preserve">LEIDJANE MARTINS </v>
      </c>
      <c r="L430" s="1" t="str">
        <f>VLOOKUP(J430,'[1]Base SCA 02 2026'!V:Y,4,0)</f>
        <v xml:space="preserve">LEIDJANE MARTINS </v>
      </c>
      <c r="N430" s="1" t="str">
        <f t="shared" si="6"/>
        <v xml:space="preserve">LEIDJANE MARTINS </v>
      </c>
    </row>
    <row r="431" spans="1:14" x14ac:dyDescent="0.3">
      <c r="A431" s="1">
        <v>704933</v>
      </c>
      <c r="B431" s="1" t="s">
        <v>466</v>
      </c>
      <c r="C431" s="5" t="s">
        <v>15</v>
      </c>
      <c r="D431" s="2">
        <v>45607</v>
      </c>
      <c r="E431" s="1" t="s">
        <v>31</v>
      </c>
      <c r="F431" s="1">
        <v>52202</v>
      </c>
      <c r="G431" s="1" t="s">
        <v>32</v>
      </c>
      <c r="H431" s="1" t="s">
        <v>18</v>
      </c>
      <c r="J431" s="1" t="s">
        <v>33</v>
      </c>
      <c r="K431" s="1" t="str">
        <f>VLOOKUP(J431,'[1]Base SCA 02 2026'!V:X,3,0)</f>
        <v>JOSÉ GOUVEA</v>
      </c>
      <c r="L431" s="1" t="str">
        <f>VLOOKUP(J431,'[1]Base SCA 02 2026'!V:Y,4,0)</f>
        <v>ALEX DIAS</v>
      </c>
      <c r="N431" s="1" t="str">
        <f t="shared" si="6"/>
        <v>ALEX DIAS</v>
      </c>
    </row>
    <row r="432" spans="1:14" x14ac:dyDescent="0.3">
      <c r="A432" s="1">
        <v>702406</v>
      </c>
      <c r="B432" s="1" t="s">
        <v>467</v>
      </c>
      <c r="C432" s="5" t="s">
        <v>15</v>
      </c>
      <c r="D432" s="2">
        <v>44383</v>
      </c>
      <c r="E432" s="1" t="s">
        <v>127</v>
      </c>
      <c r="F432" s="1">
        <v>22102</v>
      </c>
      <c r="G432" s="1" t="s">
        <v>68</v>
      </c>
      <c r="H432" s="1" t="s">
        <v>18</v>
      </c>
      <c r="J432" s="1" t="s">
        <v>81</v>
      </c>
      <c r="K432" s="1" t="str">
        <f>VLOOKUP(J432,'[1]Base SCA 02 2026'!V:X,3,0)</f>
        <v>PAULO BONIFÁCIO</v>
      </c>
      <c r="L432" s="1" t="str">
        <f>VLOOKUP(J432,'[1]Base SCA 02 2026'!V:Y,4,0)</f>
        <v>MAURICIO SANTOS</v>
      </c>
      <c r="M432" s="1" t="str">
        <f>VLOOKUP(J432,'[1]Base SCA 02 2026'!V:Z,5,0)</f>
        <v xml:space="preserve">EDSON/MARCELO LIMA </v>
      </c>
      <c r="N432" s="1" t="str">
        <f t="shared" si="6"/>
        <v xml:space="preserve">EDSON/MARCELO LIMA </v>
      </c>
    </row>
    <row r="433" spans="1:14" x14ac:dyDescent="0.3">
      <c r="A433" s="1">
        <v>701126</v>
      </c>
      <c r="B433" s="1" t="s">
        <v>468</v>
      </c>
      <c r="C433" s="5" t="s">
        <v>15</v>
      </c>
      <c r="D433" s="2">
        <v>42380</v>
      </c>
      <c r="E433" s="1" t="s">
        <v>1299</v>
      </c>
      <c r="F433" s="1">
        <v>33101</v>
      </c>
      <c r="G433" s="1" t="s">
        <v>186</v>
      </c>
      <c r="H433" s="1" t="s">
        <v>18</v>
      </c>
      <c r="J433" s="1" t="s">
        <v>44</v>
      </c>
      <c r="K433" s="1" t="str">
        <f>VLOOKUP(J433,'[1]Base SCA 02 2026'!V:X,3,0)</f>
        <v>RAFAEL XAVIER</v>
      </c>
      <c r="L433" s="1" t="str">
        <f>VLOOKUP(J433,'[1]Base SCA 02 2026'!V:Y,4,0)</f>
        <v>IVONEI CAMPOS</v>
      </c>
      <c r="M433" s="1" t="str">
        <f>VLOOKUP(J433,'[1]Base SCA 02 2026'!V:Z,5,0)</f>
        <v>TALLES RYAN</v>
      </c>
      <c r="N433" s="1" t="str">
        <f t="shared" si="6"/>
        <v>TALLES RYAN</v>
      </c>
    </row>
    <row r="434" spans="1:14" x14ac:dyDescent="0.3">
      <c r="A434" s="1">
        <v>704893</v>
      </c>
      <c r="B434" s="1" t="s">
        <v>469</v>
      </c>
      <c r="C434" s="5" t="s">
        <v>15</v>
      </c>
      <c r="D434" s="2">
        <v>45601</v>
      </c>
      <c r="E434" s="1" t="s">
        <v>31</v>
      </c>
      <c r="F434" s="1">
        <v>52202</v>
      </c>
      <c r="G434" s="1" t="s">
        <v>32</v>
      </c>
      <c r="H434" s="1" t="s">
        <v>18</v>
      </c>
      <c r="J434" s="1" t="s">
        <v>33</v>
      </c>
      <c r="K434" s="1" t="str">
        <f>VLOOKUP(J434,'[1]Base SCA 02 2026'!V:X,3,0)</f>
        <v>JOSÉ GOUVEA</v>
      </c>
      <c r="L434" s="1" t="str">
        <f>VLOOKUP(J434,'[1]Base SCA 02 2026'!V:Y,4,0)</f>
        <v>ALEX DIAS</v>
      </c>
      <c r="N434" s="1" t="str">
        <f t="shared" si="6"/>
        <v>ALEX DIAS</v>
      </c>
    </row>
    <row r="435" spans="1:14" x14ac:dyDescent="0.3">
      <c r="A435" s="1">
        <v>705836</v>
      </c>
      <c r="B435" s="1" t="s">
        <v>1551</v>
      </c>
      <c r="C435" s="5" t="s">
        <v>15</v>
      </c>
      <c r="D435" s="2">
        <v>46063</v>
      </c>
      <c r="E435" s="1" t="s">
        <v>31</v>
      </c>
      <c r="F435" s="1">
        <v>52104</v>
      </c>
      <c r="G435" s="1" t="s">
        <v>17</v>
      </c>
      <c r="H435" s="1" t="s">
        <v>18</v>
      </c>
      <c r="J435" s="1" t="s">
        <v>19</v>
      </c>
      <c r="K435" s="1" t="str">
        <f>VLOOKUP(J435,'[1]Base SCA 02 2026'!V:X,3,0)</f>
        <v>JOSÉ GOUVEA</v>
      </c>
      <c r="L435" s="1" t="str">
        <f>VLOOKUP(J435,'[1]Base SCA 02 2026'!V:Y,4,0)</f>
        <v>ALEX DIAS</v>
      </c>
      <c r="N435" s="1" t="str">
        <f t="shared" si="6"/>
        <v>ALEX DIAS</v>
      </c>
    </row>
    <row r="436" spans="1:14" x14ac:dyDescent="0.3">
      <c r="A436" s="1">
        <v>705116</v>
      </c>
      <c r="B436" s="1" t="s">
        <v>472</v>
      </c>
      <c r="C436" s="5" t="s">
        <v>15</v>
      </c>
      <c r="D436" s="2">
        <v>45678</v>
      </c>
      <c r="E436" s="1" t="s">
        <v>31</v>
      </c>
      <c r="F436" s="1">
        <v>52104</v>
      </c>
      <c r="G436" s="1" t="s">
        <v>17</v>
      </c>
      <c r="H436" s="1" t="s">
        <v>18</v>
      </c>
      <c r="J436" s="1" t="s">
        <v>19</v>
      </c>
      <c r="K436" s="1" t="str">
        <f>VLOOKUP(J436,'[1]Base SCA 02 2026'!V:X,3,0)</f>
        <v>JOSÉ GOUVEA</v>
      </c>
      <c r="L436" s="1" t="str">
        <f>VLOOKUP(J436,'[1]Base SCA 02 2026'!V:Y,4,0)</f>
        <v>ALEX DIAS</v>
      </c>
      <c r="N436" s="1" t="str">
        <f t="shared" si="6"/>
        <v>ALEX DIAS</v>
      </c>
    </row>
    <row r="437" spans="1:14" x14ac:dyDescent="0.3">
      <c r="A437" s="1">
        <v>704936</v>
      </c>
      <c r="B437" s="1" t="s">
        <v>473</v>
      </c>
      <c r="C437" s="5" t="s">
        <v>15</v>
      </c>
      <c r="D437" s="2">
        <v>45608</v>
      </c>
      <c r="E437" s="1" t="s">
        <v>22</v>
      </c>
      <c r="F437" s="1">
        <v>32101</v>
      </c>
      <c r="G437" s="1" t="s">
        <v>23</v>
      </c>
      <c r="H437" s="1" t="s">
        <v>18</v>
      </c>
      <c r="J437" s="1" t="s">
        <v>24</v>
      </c>
      <c r="K437" s="1" t="str">
        <f>VLOOKUP(J437,'[1]Base SCA 02 2026'!V:X,3,0)</f>
        <v>RAFAEL XAVIER</v>
      </c>
      <c r="L437" s="1" t="str">
        <f>VLOOKUP(J437,'[1]Base SCA 02 2026'!V:Y,4,0)</f>
        <v>FERNANDO GUILHERME</v>
      </c>
      <c r="M437" s="1" t="str">
        <f>VLOOKUP(J437,'[1]Base SCA 02 2026'!V:Z,5,0)</f>
        <v>JUNIO COSTA</v>
      </c>
      <c r="N437" s="1" t="str">
        <f t="shared" si="6"/>
        <v>JUNIO COSTA</v>
      </c>
    </row>
    <row r="438" spans="1:14" x14ac:dyDescent="0.3">
      <c r="A438" s="1">
        <v>705638</v>
      </c>
      <c r="B438" s="1" t="s">
        <v>1412</v>
      </c>
      <c r="C438" s="5" t="s">
        <v>15</v>
      </c>
      <c r="D438" s="2">
        <v>45937</v>
      </c>
      <c r="E438" s="1" t="s">
        <v>446</v>
      </c>
      <c r="F438" s="1">
        <v>22101</v>
      </c>
      <c r="G438" s="1" t="s">
        <v>122</v>
      </c>
      <c r="H438" s="1" t="s">
        <v>18</v>
      </c>
      <c r="J438" s="1" t="s">
        <v>123</v>
      </c>
      <c r="K438" s="1" t="str">
        <f>VLOOKUP(J438,'[1]Base SCA 02 2026'!V:X,3,0)</f>
        <v>MATHEUS FERNANDES</v>
      </c>
      <c r="L438" s="1" t="str">
        <f>VLOOKUP(J438,'[1]Base SCA 02 2026'!V:Y,4,0)</f>
        <v>MATHEUS FERNANDES</v>
      </c>
      <c r="N438" s="1" t="str">
        <f t="shared" si="6"/>
        <v>MATHEUS FERNANDES</v>
      </c>
    </row>
    <row r="439" spans="1:14" x14ac:dyDescent="0.3">
      <c r="A439" s="1">
        <v>702887</v>
      </c>
      <c r="B439" s="1" t="s">
        <v>475</v>
      </c>
      <c r="C439" s="5" t="s">
        <v>15</v>
      </c>
      <c r="D439" s="2">
        <v>44634</v>
      </c>
      <c r="E439" s="1" t="s">
        <v>476</v>
      </c>
      <c r="F439" s="1">
        <v>21101</v>
      </c>
      <c r="G439" s="1" t="s">
        <v>196</v>
      </c>
      <c r="H439" s="1" t="s">
        <v>18</v>
      </c>
      <c r="J439" s="1" t="s">
        <v>197</v>
      </c>
      <c r="K439" s="1" t="str">
        <f>VLOOKUP(J439,'[1]Base SCA 02 2026'!V:X,3,0)</f>
        <v xml:space="preserve">CARLOS OLIVEIRA </v>
      </c>
      <c r="L439" s="1" t="str">
        <f>VLOOKUP(J439,'[1]Base SCA 02 2026'!V:Y,4,0)</f>
        <v xml:space="preserve">CARLOS OLIVEIRA </v>
      </c>
      <c r="N439" s="1" t="str">
        <f t="shared" si="6"/>
        <v xml:space="preserve">CARLOS OLIVEIRA </v>
      </c>
    </row>
    <row r="440" spans="1:14" x14ac:dyDescent="0.3">
      <c r="A440" s="1">
        <v>705741</v>
      </c>
      <c r="B440" s="1" t="s">
        <v>1489</v>
      </c>
      <c r="C440" s="5" t="s">
        <v>15</v>
      </c>
      <c r="D440" s="2">
        <v>45993</v>
      </c>
      <c r="E440" s="1" t="s">
        <v>67</v>
      </c>
      <c r="F440" s="1">
        <v>22101</v>
      </c>
      <c r="G440" s="1" t="s">
        <v>122</v>
      </c>
      <c r="H440" s="1" t="s">
        <v>18</v>
      </c>
      <c r="J440" s="1" t="s">
        <v>123</v>
      </c>
      <c r="K440" s="1" t="str">
        <f>VLOOKUP(J440,'[1]Base SCA 02 2026'!V:X,3,0)</f>
        <v>MATHEUS FERNANDES</v>
      </c>
      <c r="L440" s="1" t="str">
        <f>VLOOKUP(J440,'[1]Base SCA 02 2026'!V:Y,4,0)</f>
        <v>MATHEUS FERNANDES</v>
      </c>
      <c r="N440" s="1" t="str">
        <f t="shared" si="6"/>
        <v>MATHEUS FERNANDES</v>
      </c>
    </row>
    <row r="441" spans="1:14" x14ac:dyDescent="0.3">
      <c r="A441" s="1">
        <v>106026</v>
      </c>
      <c r="B441" s="1" t="s">
        <v>477</v>
      </c>
      <c r="C441" s="5" t="s">
        <v>15</v>
      </c>
      <c r="D441" s="2">
        <v>43556</v>
      </c>
      <c r="E441" s="1" t="s">
        <v>179</v>
      </c>
      <c r="F441" s="1">
        <v>32101</v>
      </c>
      <c r="G441" s="1" t="s">
        <v>23</v>
      </c>
      <c r="H441" s="1" t="s">
        <v>18</v>
      </c>
      <c r="J441" s="1" t="s">
        <v>24</v>
      </c>
      <c r="K441" s="1" t="str">
        <f>VLOOKUP(J441,'[1]Base SCA 02 2026'!V:X,3,0)</f>
        <v>RAFAEL XAVIER</v>
      </c>
      <c r="L441" s="1" t="str">
        <f>VLOOKUP(J441,'[1]Base SCA 02 2026'!V:Y,4,0)</f>
        <v>FERNANDO GUILHERME</v>
      </c>
      <c r="M441" s="1" t="str">
        <f>VLOOKUP(J441,'[1]Base SCA 02 2026'!V:Z,5,0)</f>
        <v>JUNIO COSTA</v>
      </c>
      <c r="N441" s="1" t="str">
        <f t="shared" si="6"/>
        <v>JUNIO COSTA</v>
      </c>
    </row>
    <row r="442" spans="1:14" x14ac:dyDescent="0.3">
      <c r="A442" s="1">
        <v>703500</v>
      </c>
      <c r="B442" s="1" t="s">
        <v>478</v>
      </c>
      <c r="C442" s="5" t="s">
        <v>15</v>
      </c>
      <c r="D442" s="2">
        <v>44887</v>
      </c>
      <c r="E442" s="1" t="s">
        <v>97</v>
      </c>
      <c r="F442" s="1">
        <v>32101</v>
      </c>
      <c r="G442" s="1" t="s">
        <v>23</v>
      </c>
      <c r="H442" s="1" t="s">
        <v>18</v>
      </c>
      <c r="J442" s="1" t="s">
        <v>24</v>
      </c>
      <c r="K442" s="1" t="str">
        <f>VLOOKUP(J442,'[1]Base SCA 02 2026'!V:X,3,0)</f>
        <v>RAFAEL XAVIER</v>
      </c>
      <c r="L442" s="1" t="str">
        <f>VLOOKUP(J442,'[1]Base SCA 02 2026'!V:Y,4,0)</f>
        <v>FERNANDO GUILHERME</v>
      </c>
      <c r="M442" s="1" t="str">
        <f>VLOOKUP(J442,'[1]Base SCA 02 2026'!V:Z,5,0)</f>
        <v>JUNIO COSTA</v>
      </c>
      <c r="N442" s="1" t="str">
        <f t="shared" si="6"/>
        <v>JUNIO COSTA</v>
      </c>
    </row>
    <row r="443" spans="1:14" x14ac:dyDescent="0.3">
      <c r="A443" s="1">
        <v>705690</v>
      </c>
      <c r="B443" s="1" t="s">
        <v>1453</v>
      </c>
      <c r="C443" s="5" t="s">
        <v>15</v>
      </c>
      <c r="D443" s="2">
        <v>45966</v>
      </c>
      <c r="E443" s="1" t="s">
        <v>111</v>
      </c>
      <c r="F443" s="1">
        <v>22102</v>
      </c>
      <c r="G443" s="1" t="s">
        <v>68</v>
      </c>
      <c r="H443" s="1" t="s">
        <v>18</v>
      </c>
      <c r="J443" s="1" t="s">
        <v>1547</v>
      </c>
      <c r="K443" s="1" t="str">
        <f>VLOOKUP(J443,'[1]Base SCA 02 2026'!V:X,3,0)</f>
        <v xml:space="preserve">CARLOS OLIVEIRA </v>
      </c>
      <c r="L443" s="1" t="str">
        <f>VLOOKUP(J443,'[1]Base SCA 02 2026'!V:Y,4,0)</f>
        <v xml:space="preserve">CARLOS OLIVEIRA </v>
      </c>
      <c r="N443" s="1" t="str">
        <f t="shared" si="6"/>
        <v xml:space="preserve">CARLOS OLIVEIRA </v>
      </c>
    </row>
    <row r="444" spans="1:14" x14ac:dyDescent="0.3">
      <c r="A444" s="1">
        <v>100318</v>
      </c>
      <c r="B444" s="1" t="s">
        <v>1505</v>
      </c>
      <c r="C444" s="5" t="s">
        <v>15</v>
      </c>
      <c r="D444" s="2">
        <v>41792</v>
      </c>
      <c r="E444" s="1" t="s">
        <v>245</v>
      </c>
      <c r="F444" s="1">
        <v>37101</v>
      </c>
      <c r="G444" s="1" t="s">
        <v>214</v>
      </c>
      <c r="H444" s="1" t="s">
        <v>18</v>
      </c>
      <c r="J444" s="1" t="s">
        <v>215</v>
      </c>
      <c r="K444" s="1" t="str">
        <f>VLOOKUP(J444,'[1]Base SCA 02 2026'!V:X,3,0)</f>
        <v>CARSON NEVES</v>
      </c>
      <c r="L444" s="1" t="str">
        <f>VLOOKUP(J444,'[1]Base SCA 02 2026'!V:Y,4,0)</f>
        <v>CARSON NEVES</v>
      </c>
      <c r="N444" s="1" t="str">
        <f t="shared" si="6"/>
        <v>CARSON NEVES</v>
      </c>
    </row>
    <row r="445" spans="1:14" x14ac:dyDescent="0.3">
      <c r="A445" s="1">
        <v>705825</v>
      </c>
      <c r="B445" s="1" t="s">
        <v>1552</v>
      </c>
      <c r="C445" s="5" t="s">
        <v>15</v>
      </c>
      <c r="D445" s="2">
        <v>46063</v>
      </c>
      <c r="E445" s="1" t="s">
        <v>31</v>
      </c>
      <c r="F445" s="1">
        <v>52104</v>
      </c>
      <c r="G445" s="1" t="s">
        <v>17</v>
      </c>
      <c r="H445" s="1" t="s">
        <v>18</v>
      </c>
      <c r="J445" s="1" t="s">
        <v>19</v>
      </c>
      <c r="K445" s="1" t="str">
        <f>VLOOKUP(J445,'[1]Base SCA 02 2026'!V:X,3,0)</f>
        <v>JOSÉ GOUVEA</v>
      </c>
      <c r="L445" s="1" t="str">
        <f>VLOOKUP(J445,'[1]Base SCA 02 2026'!V:Y,4,0)</f>
        <v>ALEX DIAS</v>
      </c>
      <c r="N445" s="1" t="str">
        <f t="shared" si="6"/>
        <v>ALEX DIAS</v>
      </c>
    </row>
    <row r="446" spans="1:14" x14ac:dyDescent="0.3">
      <c r="A446" s="1">
        <v>703504</v>
      </c>
      <c r="B446" s="1" t="s">
        <v>480</v>
      </c>
      <c r="C446" s="5" t="s">
        <v>15</v>
      </c>
      <c r="D446" s="2">
        <v>44887</v>
      </c>
      <c r="E446" s="1" t="s">
        <v>160</v>
      </c>
      <c r="F446" s="1">
        <v>32101</v>
      </c>
      <c r="G446" s="1" t="s">
        <v>23</v>
      </c>
      <c r="H446" s="1" t="s">
        <v>18</v>
      </c>
      <c r="J446" s="1" t="s">
        <v>24</v>
      </c>
      <c r="K446" s="1" t="str">
        <f>VLOOKUP(J446,'[1]Base SCA 02 2026'!V:X,3,0)</f>
        <v>RAFAEL XAVIER</v>
      </c>
      <c r="L446" s="1" t="str">
        <f>VLOOKUP(J446,'[1]Base SCA 02 2026'!V:Y,4,0)</f>
        <v>FERNANDO GUILHERME</v>
      </c>
      <c r="M446" s="1" t="str">
        <f>VLOOKUP(J446,'[1]Base SCA 02 2026'!V:Z,5,0)</f>
        <v>JUNIO COSTA</v>
      </c>
      <c r="N446" s="1" t="str">
        <f t="shared" si="6"/>
        <v>JUNIO COSTA</v>
      </c>
    </row>
    <row r="447" spans="1:14" x14ac:dyDescent="0.3">
      <c r="A447" s="1">
        <v>705800</v>
      </c>
      <c r="B447" s="1" t="s">
        <v>1524</v>
      </c>
      <c r="C447" s="5" t="s">
        <v>15</v>
      </c>
      <c r="D447" s="2">
        <v>46035</v>
      </c>
      <c r="E447" s="1" t="s">
        <v>31</v>
      </c>
      <c r="F447" s="1">
        <v>52104</v>
      </c>
      <c r="G447" s="1" t="s">
        <v>17</v>
      </c>
      <c r="H447" s="1" t="s">
        <v>18</v>
      </c>
      <c r="J447" s="1" t="s">
        <v>19</v>
      </c>
      <c r="K447" s="1" t="str">
        <f>VLOOKUP(J447,'[1]Base SCA 02 2026'!V:X,3,0)</f>
        <v>JOSÉ GOUVEA</v>
      </c>
      <c r="L447" s="1" t="str">
        <f>VLOOKUP(J447,'[1]Base SCA 02 2026'!V:Y,4,0)</f>
        <v>ALEX DIAS</v>
      </c>
      <c r="N447" s="1" t="str">
        <f t="shared" si="6"/>
        <v>ALEX DIAS</v>
      </c>
    </row>
    <row r="448" spans="1:14" x14ac:dyDescent="0.3">
      <c r="A448" s="1">
        <v>705198</v>
      </c>
      <c r="B448" s="1" t="s">
        <v>1164</v>
      </c>
      <c r="C448" s="5" t="s">
        <v>15</v>
      </c>
      <c r="D448" s="2">
        <v>45727</v>
      </c>
      <c r="E448" s="1" t="s">
        <v>93</v>
      </c>
      <c r="F448" s="1">
        <v>22102</v>
      </c>
      <c r="G448" s="1" t="s">
        <v>68</v>
      </c>
      <c r="H448" s="1" t="s">
        <v>18</v>
      </c>
      <c r="J448" s="1" t="s">
        <v>69</v>
      </c>
      <c r="K448" s="1" t="str">
        <f>VLOOKUP(J448,'[1]Base SCA 02 2026'!V:X,3,0)</f>
        <v>PAULO BONIFÁCIO</v>
      </c>
      <c r="L448" s="1" t="str">
        <f>VLOOKUP(J448,'[1]Base SCA 02 2026'!V:Y,4,0)</f>
        <v xml:space="preserve">JOÃO KOMURA </v>
      </c>
      <c r="N448" s="1" t="str">
        <f t="shared" si="6"/>
        <v xml:space="preserve">JOÃO KOMURA </v>
      </c>
    </row>
    <row r="449" spans="1:14" x14ac:dyDescent="0.3">
      <c r="A449" s="1">
        <v>705605</v>
      </c>
      <c r="B449" s="1" t="s">
        <v>1357</v>
      </c>
      <c r="C449" s="5" t="s">
        <v>15</v>
      </c>
      <c r="D449" s="2">
        <v>45902</v>
      </c>
      <c r="E449" s="1" t="s">
        <v>31</v>
      </c>
      <c r="F449" s="1">
        <v>25201</v>
      </c>
      <c r="G449" s="1" t="s">
        <v>89</v>
      </c>
      <c r="H449" s="1" t="s">
        <v>18</v>
      </c>
      <c r="J449" s="1" t="s">
        <v>19</v>
      </c>
      <c r="K449" s="1" t="str">
        <f>VLOOKUP(J449,'[1]Base SCA 02 2026'!V:X,3,0)</f>
        <v>JOSÉ GOUVEA</v>
      </c>
      <c r="L449" s="1" t="str">
        <f>VLOOKUP(J449,'[1]Base SCA 02 2026'!V:Y,4,0)</f>
        <v>ALEX DIAS</v>
      </c>
      <c r="N449" s="1" t="str">
        <f t="shared" si="6"/>
        <v>ALEX DIAS</v>
      </c>
    </row>
    <row r="450" spans="1:14" x14ac:dyDescent="0.3">
      <c r="A450" s="1">
        <v>705578</v>
      </c>
      <c r="B450" s="1" t="s">
        <v>1321</v>
      </c>
      <c r="C450" s="5" t="s">
        <v>15</v>
      </c>
      <c r="D450" s="2">
        <v>45881</v>
      </c>
      <c r="E450" s="1" t="s">
        <v>31</v>
      </c>
      <c r="F450" s="1">
        <v>39301</v>
      </c>
      <c r="G450" s="1" t="s">
        <v>73</v>
      </c>
      <c r="H450" s="1" t="s">
        <v>18</v>
      </c>
      <c r="J450" s="1" t="s">
        <v>74</v>
      </c>
      <c r="K450" s="1" t="str">
        <f>VLOOKUP(J450,'[1]Base SCA 02 2026'!V:X,3,0)</f>
        <v>PAULO BONIFÁCIO</v>
      </c>
      <c r="L450" s="1" t="str">
        <f>VLOOKUP(J450,'[1]Base SCA 02 2026'!V:Y,4,0)</f>
        <v>ALDAIR BORGES</v>
      </c>
      <c r="M450" s="1" t="str">
        <f>VLOOKUP(J450,'[1]Base SCA 02 2026'!V:Z,5,0)</f>
        <v>ISAC NONATO</v>
      </c>
      <c r="N450" s="1" t="str">
        <f t="shared" si="6"/>
        <v>ISAC NONATO</v>
      </c>
    </row>
    <row r="451" spans="1:14" x14ac:dyDescent="0.3">
      <c r="A451" s="1">
        <v>700691</v>
      </c>
      <c r="B451" s="1" t="s">
        <v>1506</v>
      </c>
      <c r="C451" s="5" t="s">
        <v>15</v>
      </c>
      <c r="D451" s="2">
        <v>43389</v>
      </c>
      <c r="E451" s="1" t="s">
        <v>138</v>
      </c>
      <c r="F451" s="1">
        <v>52104</v>
      </c>
      <c r="G451" s="1" t="s">
        <v>17</v>
      </c>
      <c r="H451" s="1" t="s">
        <v>18</v>
      </c>
      <c r="J451" s="1" t="s">
        <v>37</v>
      </c>
      <c r="K451" s="1" t="str">
        <f>VLOOKUP(J451,'[1]Base SCA 02 2026'!V:X,3,0)</f>
        <v>JOSÉ GOUVEA</v>
      </c>
      <c r="L451" s="1" t="str">
        <f>VLOOKUP(J451,'[1]Base SCA 02 2026'!V:Y,4,0)</f>
        <v>ALEX DIAS</v>
      </c>
      <c r="N451" s="1" t="str">
        <f t="shared" ref="N451:N514" si="7">IF(M451&lt;&gt;"", M451, IF(L451&lt;&gt;"", L451, K451))</f>
        <v>ALEX DIAS</v>
      </c>
    </row>
    <row r="452" spans="1:14" x14ac:dyDescent="0.3">
      <c r="A452" s="1">
        <v>703938</v>
      </c>
      <c r="B452" s="1" t="s">
        <v>481</v>
      </c>
      <c r="C452" s="5" t="s">
        <v>233</v>
      </c>
      <c r="D452" s="2">
        <v>45089</v>
      </c>
      <c r="E452" s="1" t="s">
        <v>60</v>
      </c>
      <c r="F452" s="1">
        <v>52104</v>
      </c>
      <c r="G452" s="1" t="s">
        <v>17</v>
      </c>
      <c r="H452" s="1" t="s">
        <v>18</v>
      </c>
      <c r="J452" s="1" t="s">
        <v>19</v>
      </c>
      <c r="K452" s="1" t="str">
        <f>VLOOKUP(J452,'[1]Base SCA 02 2026'!V:X,3,0)</f>
        <v>JOSÉ GOUVEA</v>
      </c>
      <c r="L452" s="1" t="str">
        <f>VLOOKUP(J452,'[1]Base SCA 02 2026'!V:Y,4,0)</f>
        <v>ALEX DIAS</v>
      </c>
      <c r="N452" s="1" t="str">
        <f t="shared" si="7"/>
        <v>ALEX DIAS</v>
      </c>
    </row>
    <row r="453" spans="1:14" x14ac:dyDescent="0.3">
      <c r="A453" s="1">
        <v>705601</v>
      </c>
      <c r="B453" s="1" t="s">
        <v>1358</v>
      </c>
      <c r="C453" s="5" t="s">
        <v>15</v>
      </c>
      <c r="D453" s="2">
        <v>45902</v>
      </c>
      <c r="E453" s="1" t="s">
        <v>1359</v>
      </c>
      <c r="F453" s="1">
        <v>38101</v>
      </c>
      <c r="G453" s="1" t="s">
        <v>35</v>
      </c>
      <c r="H453" s="1" t="s">
        <v>18</v>
      </c>
      <c r="J453" s="1" t="s">
        <v>36</v>
      </c>
      <c r="K453" s="1" t="str">
        <f>VLOOKUP(J453,'[1]Base SCA 02 2026'!V:X,3,0)</f>
        <v xml:space="preserve">LEIDJANE MARTINS </v>
      </c>
      <c r="L453" s="1" t="str">
        <f>VLOOKUP(J453,'[1]Base SCA 02 2026'!V:Y,4,0)</f>
        <v xml:space="preserve">LEIDJANE MARTINS </v>
      </c>
      <c r="M453" s="1" t="str">
        <f>VLOOKUP(J453,'[1]Base SCA 02 2026'!V:Z,5,0)</f>
        <v>DENIS ACASSIO</v>
      </c>
      <c r="N453" s="1" t="str">
        <f t="shared" si="7"/>
        <v>DENIS ACASSIO</v>
      </c>
    </row>
    <row r="454" spans="1:14" x14ac:dyDescent="0.3">
      <c r="A454" s="1">
        <v>705547</v>
      </c>
      <c r="B454" s="1" t="s">
        <v>1342</v>
      </c>
      <c r="C454" s="5" t="s">
        <v>233</v>
      </c>
      <c r="D454" s="2">
        <v>45881</v>
      </c>
      <c r="E454" s="1" t="s">
        <v>1553</v>
      </c>
      <c r="F454" s="1">
        <v>34201</v>
      </c>
      <c r="G454" s="1" t="s">
        <v>84</v>
      </c>
      <c r="H454" s="1" t="s">
        <v>18</v>
      </c>
      <c r="J454" s="1" t="s">
        <v>85</v>
      </c>
      <c r="K454" s="1" t="str">
        <f>VLOOKUP(J454,'[1]Base SCA 02 2026'!V:X,3,0)</f>
        <v>PAULO BONIFÁCIO</v>
      </c>
      <c r="L454" s="1" t="str">
        <f>VLOOKUP(J454,'[1]Base SCA 02 2026'!V:Y,4,0)</f>
        <v>PAULO BONIFÁCIO</v>
      </c>
      <c r="M454" s="1" t="str">
        <f>VLOOKUP(J454,'[1]Base SCA 02 2026'!V:Z,5,0)</f>
        <v xml:space="preserve">LEONARDO SANTOS </v>
      </c>
      <c r="N454" s="1" t="str">
        <f t="shared" si="7"/>
        <v xml:space="preserve">LEONARDO SANTOS </v>
      </c>
    </row>
    <row r="455" spans="1:14" x14ac:dyDescent="0.3">
      <c r="A455" s="1">
        <v>704872</v>
      </c>
      <c r="B455" s="1" t="s">
        <v>482</v>
      </c>
      <c r="C455" s="5" t="s">
        <v>15</v>
      </c>
      <c r="D455" s="2">
        <v>45573</v>
      </c>
      <c r="E455" s="1" t="s">
        <v>446</v>
      </c>
      <c r="F455" s="1">
        <v>32101</v>
      </c>
      <c r="G455" s="1" t="s">
        <v>23</v>
      </c>
      <c r="H455" s="1" t="s">
        <v>18</v>
      </c>
      <c r="J455" s="1" t="s">
        <v>24</v>
      </c>
      <c r="K455" s="1" t="str">
        <f>VLOOKUP(J455,'[1]Base SCA 02 2026'!V:X,3,0)</f>
        <v>RAFAEL XAVIER</v>
      </c>
      <c r="L455" s="1" t="str">
        <f>VLOOKUP(J455,'[1]Base SCA 02 2026'!V:Y,4,0)</f>
        <v>FERNANDO GUILHERME</v>
      </c>
      <c r="M455" s="1" t="str">
        <f>VLOOKUP(J455,'[1]Base SCA 02 2026'!V:Z,5,0)</f>
        <v>JUNIO COSTA</v>
      </c>
      <c r="N455" s="1" t="str">
        <f t="shared" si="7"/>
        <v>JUNIO COSTA</v>
      </c>
    </row>
    <row r="456" spans="1:14" x14ac:dyDescent="0.3">
      <c r="A456" s="1">
        <v>704836</v>
      </c>
      <c r="B456" s="1" t="s">
        <v>483</v>
      </c>
      <c r="C456" s="5" t="s">
        <v>15</v>
      </c>
      <c r="D456" s="2">
        <v>45566</v>
      </c>
      <c r="E456" s="1" t="s">
        <v>27</v>
      </c>
      <c r="F456" s="1">
        <v>39302</v>
      </c>
      <c r="G456" s="1" t="s">
        <v>102</v>
      </c>
      <c r="H456" s="1" t="s">
        <v>18</v>
      </c>
      <c r="J456" s="1" t="s">
        <v>57</v>
      </c>
      <c r="K456" s="1" t="str">
        <f>VLOOKUP(J456,'[1]Base SCA 02 2026'!V:X,3,0)</f>
        <v>PAULO BONIFÁCIO</v>
      </c>
      <c r="L456" s="1" t="str">
        <f>VLOOKUP(J456,'[1]Base SCA 02 2026'!V:Y,4,0)</f>
        <v>ALDAIR BORGES</v>
      </c>
      <c r="M456" s="1" t="str">
        <f>VLOOKUP(J456,'[1]Base SCA 02 2026'!V:Z,5,0)</f>
        <v>WARLEY RIBEIRO</v>
      </c>
      <c r="N456" s="1" t="str">
        <f t="shared" si="7"/>
        <v>WARLEY RIBEIRO</v>
      </c>
    </row>
    <row r="457" spans="1:14" x14ac:dyDescent="0.3">
      <c r="A457" s="1">
        <v>100753</v>
      </c>
      <c r="B457" s="1" t="s">
        <v>484</v>
      </c>
      <c r="C457" s="5" t="s">
        <v>15</v>
      </c>
      <c r="D457" s="2">
        <v>42179</v>
      </c>
      <c r="E457" s="1" t="s">
        <v>141</v>
      </c>
      <c r="F457" s="1">
        <v>22102</v>
      </c>
      <c r="G457" s="1" t="s">
        <v>68</v>
      </c>
      <c r="H457" s="1" t="s">
        <v>18</v>
      </c>
      <c r="J457" s="1" t="s">
        <v>81</v>
      </c>
      <c r="K457" s="1" t="str">
        <f>VLOOKUP(J457,'[1]Base SCA 02 2026'!V:X,3,0)</f>
        <v>PAULO BONIFÁCIO</v>
      </c>
      <c r="L457" s="1" t="str">
        <f>VLOOKUP(J457,'[1]Base SCA 02 2026'!V:Y,4,0)</f>
        <v>MAURICIO SANTOS</v>
      </c>
      <c r="M457" s="1" t="str">
        <f>VLOOKUP(J457,'[1]Base SCA 02 2026'!V:Z,5,0)</f>
        <v xml:space="preserve">EDSON/MARCELO LIMA </v>
      </c>
      <c r="N457" s="1" t="str">
        <f t="shared" si="7"/>
        <v xml:space="preserve">EDSON/MARCELO LIMA </v>
      </c>
    </row>
    <row r="458" spans="1:14" x14ac:dyDescent="0.3">
      <c r="A458" s="1">
        <v>702692</v>
      </c>
      <c r="B458" s="1" t="s">
        <v>485</v>
      </c>
      <c r="C458" s="5" t="s">
        <v>15</v>
      </c>
      <c r="D458" s="2">
        <v>44537</v>
      </c>
      <c r="E458" s="1" t="s">
        <v>255</v>
      </c>
      <c r="F458" s="1">
        <v>39501</v>
      </c>
      <c r="G458" s="1" t="s">
        <v>28</v>
      </c>
      <c r="H458" s="1" t="s">
        <v>18</v>
      </c>
      <c r="J458" s="1" t="s">
        <v>29</v>
      </c>
      <c r="K458" s="1" t="str">
        <f>VLOOKUP(J458,'[1]Base SCA 02 2026'!V:X,3,0)</f>
        <v>JOSÉ GOUVEA</v>
      </c>
      <c r="L458" s="1" t="str">
        <f>VLOOKUP(J458,'[1]Base SCA 02 2026'!V:Y,4,0)</f>
        <v>JOSÉ GOUVEA</v>
      </c>
      <c r="N458" s="1" t="str">
        <f t="shared" si="7"/>
        <v>JOSÉ GOUVEA</v>
      </c>
    </row>
    <row r="459" spans="1:14" x14ac:dyDescent="0.3">
      <c r="A459" s="1">
        <v>705367</v>
      </c>
      <c r="B459" s="1" t="s">
        <v>1228</v>
      </c>
      <c r="C459" s="5" t="s">
        <v>15</v>
      </c>
      <c r="D459" s="2">
        <v>45784</v>
      </c>
      <c r="E459" s="1" t="s">
        <v>55</v>
      </c>
      <c r="F459" s="1">
        <v>39304</v>
      </c>
      <c r="G459" s="1" t="s">
        <v>56</v>
      </c>
      <c r="H459" s="1" t="s">
        <v>18</v>
      </c>
      <c r="J459" s="1" t="s">
        <v>57</v>
      </c>
      <c r="K459" s="1" t="str">
        <f>VLOOKUP(J459,'[1]Base SCA 02 2026'!V:X,3,0)</f>
        <v>PAULO BONIFÁCIO</v>
      </c>
      <c r="L459" s="1" t="str">
        <f>VLOOKUP(J459,'[1]Base SCA 02 2026'!V:Y,4,0)</f>
        <v>ALDAIR BORGES</v>
      </c>
      <c r="M459" s="1" t="str">
        <f>VLOOKUP(J459,'[1]Base SCA 02 2026'!V:Z,5,0)</f>
        <v>WARLEY RIBEIRO</v>
      </c>
      <c r="N459" s="1" t="str">
        <f t="shared" si="7"/>
        <v>WARLEY RIBEIRO</v>
      </c>
    </row>
    <row r="460" spans="1:14" x14ac:dyDescent="0.3">
      <c r="A460" s="1">
        <v>700067</v>
      </c>
      <c r="B460" s="1" t="s">
        <v>486</v>
      </c>
      <c r="C460" s="5" t="s">
        <v>15</v>
      </c>
      <c r="D460" s="2">
        <v>39114</v>
      </c>
      <c r="E460" s="1" t="s">
        <v>158</v>
      </c>
      <c r="F460" s="1">
        <v>15101</v>
      </c>
      <c r="G460" s="1" t="s">
        <v>447</v>
      </c>
      <c r="H460" s="1" t="s">
        <v>18</v>
      </c>
      <c r="J460" s="1" t="s">
        <v>448</v>
      </c>
      <c r="K460" s="1" t="str">
        <f>VLOOKUP(J460,'[1]Base SCA 02 2026'!V:X,3,0)</f>
        <v xml:space="preserve">RAFAEL VIRGENS </v>
      </c>
      <c r="L460" s="1" t="str">
        <f>VLOOKUP(J460,'[1]Base SCA 02 2026'!V:Y,4,0)</f>
        <v xml:space="preserve">RAFAEL VIRGENS </v>
      </c>
      <c r="N460" s="1" t="str">
        <f t="shared" si="7"/>
        <v xml:space="preserve">RAFAEL VIRGENS </v>
      </c>
    </row>
    <row r="461" spans="1:14" x14ac:dyDescent="0.3">
      <c r="A461" s="1">
        <v>704124</v>
      </c>
      <c r="B461" s="1" t="s">
        <v>487</v>
      </c>
      <c r="C461" s="5" t="s">
        <v>15</v>
      </c>
      <c r="D461" s="2">
        <v>45238</v>
      </c>
      <c r="E461" s="1" t="s">
        <v>31</v>
      </c>
      <c r="F461" s="1">
        <v>52104</v>
      </c>
      <c r="G461" s="1" t="s">
        <v>17</v>
      </c>
      <c r="H461" s="1" t="s">
        <v>18</v>
      </c>
      <c r="J461" s="1" t="s">
        <v>19</v>
      </c>
      <c r="K461" s="1" t="str">
        <f>VLOOKUP(J461,'[1]Base SCA 02 2026'!V:X,3,0)</f>
        <v>JOSÉ GOUVEA</v>
      </c>
      <c r="L461" s="1" t="str">
        <f>VLOOKUP(J461,'[1]Base SCA 02 2026'!V:Y,4,0)</f>
        <v>ALEX DIAS</v>
      </c>
      <c r="N461" s="1" t="str">
        <f t="shared" si="7"/>
        <v>ALEX DIAS</v>
      </c>
    </row>
    <row r="462" spans="1:14" x14ac:dyDescent="0.3">
      <c r="A462" s="1">
        <v>703843</v>
      </c>
      <c r="B462" s="1" t="s">
        <v>488</v>
      </c>
      <c r="C462" s="5" t="s">
        <v>15</v>
      </c>
      <c r="D462" s="2">
        <v>45054</v>
      </c>
      <c r="E462" s="1" t="s">
        <v>446</v>
      </c>
      <c r="F462" s="1">
        <v>22101</v>
      </c>
      <c r="G462" s="1" t="s">
        <v>122</v>
      </c>
      <c r="H462" s="1" t="s">
        <v>18</v>
      </c>
      <c r="J462" s="1" t="s">
        <v>123</v>
      </c>
      <c r="K462" s="1" t="str">
        <f>VLOOKUP(J462,'[1]Base SCA 02 2026'!V:X,3,0)</f>
        <v>MATHEUS FERNANDES</v>
      </c>
      <c r="L462" s="1" t="str">
        <f>VLOOKUP(J462,'[1]Base SCA 02 2026'!V:Y,4,0)</f>
        <v>MATHEUS FERNANDES</v>
      </c>
      <c r="N462" s="1" t="str">
        <f t="shared" si="7"/>
        <v>MATHEUS FERNANDES</v>
      </c>
    </row>
    <row r="463" spans="1:14" x14ac:dyDescent="0.3">
      <c r="A463" s="1">
        <v>700103</v>
      </c>
      <c r="B463" s="1" t="s">
        <v>489</v>
      </c>
      <c r="C463" s="5" t="s">
        <v>15</v>
      </c>
      <c r="D463" s="2">
        <v>43164</v>
      </c>
      <c r="E463" s="1" t="s">
        <v>60</v>
      </c>
      <c r="F463" s="1">
        <v>52104</v>
      </c>
      <c r="G463" s="1" t="s">
        <v>17</v>
      </c>
      <c r="H463" s="1" t="s">
        <v>18</v>
      </c>
      <c r="J463" s="1" t="s">
        <v>37</v>
      </c>
      <c r="K463" s="1" t="str">
        <f>VLOOKUP(J463,'[1]Base SCA 02 2026'!V:X,3,0)</f>
        <v>JOSÉ GOUVEA</v>
      </c>
      <c r="L463" s="1" t="str">
        <f>VLOOKUP(J463,'[1]Base SCA 02 2026'!V:Y,4,0)</f>
        <v>ALEX DIAS</v>
      </c>
      <c r="N463" s="1" t="str">
        <f t="shared" si="7"/>
        <v>ALEX DIAS</v>
      </c>
    </row>
    <row r="464" spans="1:14" x14ac:dyDescent="0.3">
      <c r="A464" s="1">
        <v>702152</v>
      </c>
      <c r="B464" s="1" t="s">
        <v>490</v>
      </c>
      <c r="C464" s="5" t="s">
        <v>15</v>
      </c>
      <c r="D464" s="2">
        <v>44299</v>
      </c>
      <c r="E464" s="1" t="s">
        <v>166</v>
      </c>
      <c r="F464" s="1">
        <v>22102</v>
      </c>
      <c r="G464" s="1" t="s">
        <v>68</v>
      </c>
      <c r="H464" s="1" t="s">
        <v>18</v>
      </c>
      <c r="J464" s="1" t="s">
        <v>167</v>
      </c>
      <c r="K464" s="1" t="str">
        <f>VLOOKUP(J464,'[1]Base SCA 02 2026'!V:X,3,0)</f>
        <v>PAULO BONIFÁCIO</v>
      </c>
      <c r="L464" s="1" t="str">
        <f>VLOOKUP(J464,'[1]Base SCA 02 2026'!V:Y,4,0)</f>
        <v>MAURICIO SANTOS</v>
      </c>
      <c r="M464" s="1" t="str">
        <f>VLOOKUP(J464,'[1]Base SCA 02 2026'!V:Z,5,0)</f>
        <v>FABIANO</v>
      </c>
      <c r="N464" s="1" t="str">
        <f t="shared" si="7"/>
        <v>FABIANO</v>
      </c>
    </row>
    <row r="465" spans="1:14" x14ac:dyDescent="0.3">
      <c r="A465" s="1">
        <v>704377</v>
      </c>
      <c r="B465" s="1" t="s">
        <v>491</v>
      </c>
      <c r="C465" s="5" t="s">
        <v>15</v>
      </c>
      <c r="D465" s="2">
        <v>45384</v>
      </c>
      <c r="E465" s="1" t="s">
        <v>138</v>
      </c>
      <c r="F465" s="1">
        <v>52104</v>
      </c>
      <c r="G465" s="1" t="s">
        <v>17</v>
      </c>
      <c r="H465" s="1" t="s">
        <v>18</v>
      </c>
      <c r="J465" s="1" t="s">
        <v>19</v>
      </c>
      <c r="K465" s="1" t="str">
        <f>VLOOKUP(J465,'[1]Base SCA 02 2026'!V:X,3,0)</f>
        <v>JOSÉ GOUVEA</v>
      </c>
      <c r="L465" s="1" t="str">
        <f>VLOOKUP(J465,'[1]Base SCA 02 2026'!V:Y,4,0)</f>
        <v>ALEX DIAS</v>
      </c>
      <c r="N465" s="1" t="str">
        <f t="shared" si="7"/>
        <v>ALEX DIAS</v>
      </c>
    </row>
    <row r="466" spans="1:14" x14ac:dyDescent="0.3">
      <c r="A466" s="1">
        <v>705781</v>
      </c>
      <c r="B466" s="1" t="s">
        <v>1525</v>
      </c>
      <c r="C466" s="5" t="s">
        <v>15</v>
      </c>
      <c r="D466" s="2">
        <v>46029</v>
      </c>
      <c r="E466" s="1" t="s">
        <v>31</v>
      </c>
      <c r="F466" s="1">
        <v>25201</v>
      </c>
      <c r="G466" s="1" t="s">
        <v>89</v>
      </c>
      <c r="H466" s="1" t="s">
        <v>18</v>
      </c>
      <c r="J466" s="1" t="s">
        <v>19</v>
      </c>
      <c r="K466" s="1" t="str">
        <f>VLOOKUP(J466,'[1]Base SCA 02 2026'!V:X,3,0)</f>
        <v>JOSÉ GOUVEA</v>
      </c>
      <c r="L466" s="1" t="str">
        <f>VLOOKUP(J466,'[1]Base SCA 02 2026'!V:Y,4,0)</f>
        <v>ALEX DIAS</v>
      </c>
      <c r="N466" s="1" t="str">
        <f t="shared" si="7"/>
        <v>ALEX DIAS</v>
      </c>
    </row>
    <row r="467" spans="1:14" x14ac:dyDescent="0.3">
      <c r="A467" s="1">
        <v>703003</v>
      </c>
      <c r="B467" s="1" t="s">
        <v>492</v>
      </c>
      <c r="C467" s="5" t="s">
        <v>15</v>
      </c>
      <c r="D467" s="2">
        <v>44691</v>
      </c>
      <c r="E467" s="1" t="s">
        <v>16</v>
      </c>
      <c r="F467" s="1">
        <v>38101</v>
      </c>
      <c r="G467" s="1" t="s">
        <v>35</v>
      </c>
      <c r="H467" s="1" t="s">
        <v>18</v>
      </c>
      <c r="J467" s="1" t="s">
        <v>36</v>
      </c>
      <c r="K467" s="1" t="str">
        <f>VLOOKUP(J467,'[1]Base SCA 02 2026'!V:X,3,0)</f>
        <v xml:space="preserve">LEIDJANE MARTINS </v>
      </c>
      <c r="L467" s="1" t="str">
        <f>VLOOKUP(J467,'[1]Base SCA 02 2026'!V:Y,4,0)</f>
        <v xml:space="preserve">LEIDJANE MARTINS </v>
      </c>
      <c r="M467" s="1" t="str">
        <f>VLOOKUP(J467,'[1]Base SCA 02 2026'!V:Z,5,0)</f>
        <v>DENIS ACASSIO</v>
      </c>
      <c r="N467" s="1" t="str">
        <f t="shared" si="7"/>
        <v>DENIS ACASSIO</v>
      </c>
    </row>
    <row r="468" spans="1:14" x14ac:dyDescent="0.3">
      <c r="A468" s="1">
        <v>703154</v>
      </c>
      <c r="B468" s="1" t="s">
        <v>493</v>
      </c>
      <c r="C468" s="5" t="s">
        <v>15</v>
      </c>
      <c r="D468" s="2">
        <v>44746</v>
      </c>
      <c r="E468" s="1" t="s">
        <v>138</v>
      </c>
      <c r="F468" s="1">
        <v>22102</v>
      </c>
      <c r="G468" s="1" t="s">
        <v>68</v>
      </c>
      <c r="H468" s="1" t="s">
        <v>18</v>
      </c>
      <c r="J468" s="1" t="s">
        <v>81</v>
      </c>
      <c r="K468" s="1" t="str">
        <f>VLOOKUP(J468,'[1]Base SCA 02 2026'!V:X,3,0)</f>
        <v>PAULO BONIFÁCIO</v>
      </c>
      <c r="L468" s="1" t="str">
        <f>VLOOKUP(J468,'[1]Base SCA 02 2026'!V:Y,4,0)</f>
        <v>MAURICIO SANTOS</v>
      </c>
      <c r="M468" s="1" t="str">
        <f>VLOOKUP(J468,'[1]Base SCA 02 2026'!V:Z,5,0)</f>
        <v xml:space="preserve">EDSON/MARCELO LIMA </v>
      </c>
      <c r="N468" s="1" t="str">
        <f t="shared" si="7"/>
        <v xml:space="preserve">EDSON/MARCELO LIMA </v>
      </c>
    </row>
    <row r="469" spans="1:14" x14ac:dyDescent="0.3">
      <c r="A469" s="1">
        <v>704564</v>
      </c>
      <c r="B469" s="1" t="s">
        <v>494</v>
      </c>
      <c r="C469" s="5" t="s">
        <v>15</v>
      </c>
      <c r="D469" s="2">
        <v>45433</v>
      </c>
      <c r="E469" s="1" t="s">
        <v>217</v>
      </c>
      <c r="F469" s="1">
        <v>39302</v>
      </c>
      <c r="G469" s="1" t="s">
        <v>102</v>
      </c>
      <c r="H469" s="1" t="s">
        <v>18</v>
      </c>
      <c r="J469" s="1" t="s">
        <v>57</v>
      </c>
      <c r="K469" s="1" t="str">
        <f>VLOOKUP(J469,'[1]Base SCA 02 2026'!V:X,3,0)</f>
        <v>PAULO BONIFÁCIO</v>
      </c>
      <c r="L469" s="1" t="str">
        <f>VLOOKUP(J469,'[1]Base SCA 02 2026'!V:Y,4,0)</f>
        <v>ALDAIR BORGES</v>
      </c>
      <c r="M469" s="1" t="str">
        <f>VLOOKUP(J469,'[1]Base SCA 02 2026'!V:Z,5,0)</f>
        <v>WARLEY RIBEIRO</v>
      </c>
      <c r="N469" s="1" t="str">
        <f t="shared" si="7"/>
        <v>WARLEY RIBEIRO</v>
      </c>
    </row>
    <row r="470" spans="1:14" x14ac:dyDescent="0.3">
      <c r="A470" s="1">
        <v>705507</v>
      </c>
      <c r="B470" s="1" t="s">
        <v>1300</v>
      </c>
      <c r="C470" s="5" t="s">
        <v>15</v>
      </c>
      <c r="D470" s="2">
        <v>45847</v>
      </c>
      <c r="E470" s="1" t="s">
        <v>138</v>
      </c>
      <c r="F470" s="1">
        <v>22102</v>
      </c>
      <c r="G470" s="1" t="s">
        <v>68</v>
      </c>
      <c r="H470" s="1" t="s">
        <v>18</v>
      </c>
      <c r="J470" s="1" t="s">
        <v>81</v>
      </c>
      <c r="K470" s="1" t="str">
        <f>VLOOKUP(J470,'[1]Base SCA 02 2026'!V:X,3,0)</f>
        <v>PAULO BONIFÁCIO</v>
      </c>
      <c r="L470" s="1" t="str">
        <f>VLOOKUP(J470,'[1]Base SCA 02 2026'!V:Y,4,0)</f>
        <v>MAURICIO SANTOS</v>
      </c>
      <c r="M470" s="1" t="str">
        <f>VLOOKUP(J470,'[1]Base SCA 02 2026'!V:Z,5,0)</f>
        <v xml:space="preserve">EDSON/MARCELO LIMA </v>
      </c>
      <c r="N470" s="1" t="str">
        <f t="shared" si="7"/>
        <v xml:space="preserve">EDSON/MARCELO LIMA </v>
      </c>
    </row>
    <row r="471" spans="1:14" x14ac:dyDescent="0.3">
      <c r="A471" s="1">
        <v>705775</v>
      </c>
      <c r="B471" s="1" t="s">
        <v>1025</v>
      </c>
      <c r="C471" s="5" t="s">
        <v>15</v>
      </c>
      <c r="D471" s="2">
        <v>45993</v>
      </c>
      <c r="E471" s="1" t="s">
        <v>129</v>
      </c>
      <c r="F471" s="1">
        <v>31104</v>
      </c>
      <c r="G471" s="1" t="s">
        <v>130</v>
      </c>
      <c r="H471" s="1" t="s">
        <v>18</v>
      </c>
      <c r="J471" s="1" t="s">
        <v>131</v>
      </c>
      <c r="K471" s="1" t="str">
        <f>VLOOKUP(J471,'[1]Base SCA 02 2026'!V:X,3,0)</f>
        <v xml:space="preserve">GISELE NASCENTE </v>
      </c>
      <c r="L471" s="1" t="str">
        <f>VLOOKUP(J471,'[1]Base SCA 02 2026'!V:Y,4,0)</f>
        <v xml:space="preserve">GISELE NASCENTE </v>
      </c>
      <c r="M471" s="1" t="str">
        <f>VLOOKUP(J471,'[1]Base SCA 02 2026'!V:Z,5,0)</f>
        <v>MARCOS OLIVEIRA</v>
      </c>
      <c r="N471" s="1" t="str">
        <f t="shared" si="7"/>
        <v>MARCOS OLIVEIRA</v>
      </c>
    </row>
    <row r="472" spans="1:14" x14ac:dyDescent="0.3">
      <c r="A472" s="1">
        <v>701027</v>
      </c>
      <c r="B472" s="1" t="s">
        <v>495</v>
      </c>
      <c r="C472" s="5" t="s">
        <v>15</v>
      </c>
      <c r="D472" s="2">
        <v>43605</v>
      </c>
      <c r="E472" s="1" t="s">
        <v>255</v>
      </c>
      <c r="F472" s="1">
        <v>52104</v>
      </c>
      <c r="G472" s="1" t="s">
        <v>17</v>
      </c>
      <c r="H472" s="1" t="s">
        <v>18</v>
      </c>
      <c r="J472" s="1" t="s">
        <v>19</v>
      </c>
      <c r="K472" s="1" t="str">
        <f>VLOOKUP(J472,'[1]Base SCA 02 2026'!V:X,3,0)</f>
        <v>JOSÉ GOUVEA</v>
      </c>
      <c r="L472" s="1" t="str">
        <f>VLOOKUP(J472,'[1]Base SCA 02 2026'!V:Y,4,0)</f>
        <v>ALEX DIAS</v>
      </c>
      <c r="N472" s="1" t="str">
        <f t="shared" si="7"/>
        <v>ALEX DIAS</v>
      </c>
    </row>
    <row r="473" spans="1:14" x14ac:dyDescent="0.3">
      <c r="A473" s="1">
        <v>705715</v>
      </c>
      <c r="B473" s="1" t="s">
        <v>1454</v>
      </c>
      <c r="C473" s="5" t="s">
        <v>15</v>
      </c>
      <c r="D473" s="2">
        <v>45971</v>
      </c>
      <c r="E473" s="1" t="s">
        <v>31</v>
      </c>
      <c r="F473" s="1">
        <v>52104</v>
      </c>
      <c r="G473" s="1" t="s">
        <v>17</v>
      </c>
      <c r="H473" s="1" t="s">
        <v>18</v>
      </c>
      <c r="J473" s="1" t="s">
        <v>19</v>
      </c>
      <c r="K473" s="1" t="str">
        <f>VLOOKUP(J473,'[1]Base SCA 02 2026'!V:X,3,0)</f>
        <v>JOSÉ GOUVEA</v>
      </c>
      <c r="L473" s="1" t="str">
        <f>VLOOKUP(J473,'[1]Base SCA 02 2026'!V:Y,4,0)</f>
        <v>ALEX DIAS</v>
      </c>
      <c r="N473" s="1" t="str">
        <f t="shared" si="7"/>
        <v>ALEX DIAS</v>
      </c>
    </row>
    <row r="474" spans="1:14" x14ac:dyDescent="0.3">
      <c r="A474" s="1">
        <v>705546</v>
      </c>
      <c r="B474" s="1" t="s">
        <v>1322</v>
      </c>
      <c r="C474" s="5" t="s">
        <v>15</v>
      </c>
      <c r="D474" s="2">
        <v>45874</v>
      </c>
      <c r="E474" s="1" t="s">
        <v>1179</v>
      </c>
      <c r="F474" s="1">
        <v>21101</v>
      </c>
      <c r="G474" s="1" t="s">
        <v>196</v>
      </c>
      <c r="H474" s="1" t="s">
        <v>18</v>
      </c>
      <c r="J474" s="1" t="s">
        <v>197</v>
      </c>
      <c r="K474" s="1" t="str">
        <f>VLOOKUP(J474,'[1]Base SCA 02 2026'!V:X,3,0)</f>
        <v xml:space="preserve">CARLOS OLIVEIRA </v>
      </c>
      <c r="L474" s="1" t="str">
        <f>VLOOKUP(J474,'[1]Base SCA 02 2026'!V:Y,4,0)</f>
        <v xml:space="preserve">CARLOS OLIVEIRA </v>
      </c>
      <c r="N474" s="1" t="str">
        <f t="shared" si="7"/>
        <v xml:space="preserve">CARLOS OLIVEIRA </v>
      </c>
    </row>
    <row r="475" spans="1:14" x14ac:dyDescent="0.3">
      <c r="A475" s="1">
        <v>705751</v>
      </c>
      <c r="B475" s="1" t="s">
        <v>1490</v>
      </c>
      <c r="C475" s="5" t="s">
        <v>15</v>
      </c>
      <c r="D475" s="2">
        <v>45993</v>
      </c>
      <c r="E475" s="1" t="s">
        <v>31</v>
      </c>
      <c r="F475" s="1">
        <v>52104</v>
      </c>
      <c r="G475" s="1" t="s">
        <v>17</v>
      </c>
      <c r="H475" s="1" t="s">
        <v>18</v>
      </c>
      <c r="J475" s="1" t="s">
        <v>19</v>
      </c>
      <c r="K475" s="1" t="str">
        <f>VLOOKUP(J475,'[1]Base SCA 02 2026'!V:X,3,0)</f>
        <v>JOSÉ GOUVEA</v>
      </c>
      <c r="L475" s="1" t="str">
        <f>VLOOKUP(J475,'[1]Base SCA 02 2026'!V:Y,4,0)</f>
        <v>ALEX DIAS</v>
      </c>
      <c r="N475" s="1" t="str">
        <f t="shared" si="7"/>
        <v>ALEX DIAS</v>
      </c>
    </row>
    <row r="476" spans="1:14" x14ac:dyDescent="0.3">
      <c r="A476" s="1">
        <v>704144</v>
      </c>
      <c r="B476" s="1" t="s">
        <v>497</v>
      </c>
      <c r="C476" s="5" t="s">
        <v>15</v>
      </c>
      <c r="D476" s="2">
        <v>45264</v>
      </c>
      <c r="E476" s="1" t="s">
        <v>138</v>
      </c>
      <c r="F476" s="1">
        <v>22102</v>
      </c>
      <c r="G476" s="1" t="s">
        <v>68</v>
      </c>
      <c r="H476" s="1" t="s">
        <v>18</v>
      </c>
      <c r="J476" s="1" t="s">
        <v>81</v>
      </c>
      <c r="K476" s="1" t="str">
        <f>VLOOKUP(J476,'[1]Base SCA 02 2026'!V:X,3,0)</f>
        <v>PAULO BONIFÁCIO</v>
      </c>
      <c r="L476" s="1" t="str">
        <f>VLOOKUP(J476,'[1]Base SCA 02 2026'!V:Y,4,0)</f>
        <v>MAURICIO SANTOS</v>
      </c>
      <c r="M476" s="1" t="str">
        <f>VLOOKUP(J476,'[1]Base SCA 02 2026'!V:Z,5,0)</f>
        <v xml:space="preserve">EDSON/MARCELO LIMA </v>
      </c>
      <c r="N476" s="1" t="str">
        <f t="shared" si="7"/>
        <v xml:space="preserve">EDSON/MARCELO LIMA </v>
      </c>
    </row>
    <row r="477" spans="1:14" x14ac:dyDescent="0.3">
      <c r="A477" s="1">
        <v>704974</v>
      </c>
      <c r="B477" s="1" t="s">
        <v>498</v>
      </c>
      <c r="C477" s="5" t="s">
        <v>15</v>
      </c>
      <c r="D477" s="2">
        <v>45629</v>
      </c>
      <c r="E477" s="1" t="s">
        <v>93</v>
      </c>
      <c r="F477" s="1">
        <v>22102</v>
      </c>
      <c r="G477" s="1" t="s">
        <v>68</v>
      </c>
      <c r="H477" s="1" t="s">
        <v>18</v>
      </c>
      <c r="J477" s="1" t="s">
        <v>94</v>
      </c>
      <c r="K477" s="1" t="str">
        <f>VLOOKUP(J477,'[1]Base SCA 02 2026'!V:X,3,0)</f>
        <v>PAULO BONIFÁCIO</v>
      </c>
      <c r="L477" s="1" t="str">
        <f>VLOOKUP(J477,'[1]Base SCA 02 2026'!V:Y,4,0)</f>
        <v xml:space="preserve">JOÃO KOMURA </v>
      </c>
      <c r="M477" s="1" t="str">
        <f>VLOOKUP(J477,'[1]Base SCA 02 2026'!V:Z,5,0)</f>
        <v>LUAN ABADIA</v>
      </c>
      <c r="N477" s="1" t="str">
        <f t="shared" si="7"/>
        <v>LUAN ABADIA</v>
      </c>
    </row>
    <row r="478" spans="1:14" x14ac:dyDescent="0.3">
      <c r="A478" s="1">
        <v>705230</v>
      </c>
      <c r="B478" s="1" t="s">
        <v>1185</v>
      </c>
      <c r="C478" s="5" t="s">
        <v>15</v>
      </c>
      <c r="D478" s="2">
        <v>45755</v>
      </c>
      <c r="E478" s="1" t="s">
        <v>446</v>
      </c>
      <c r="F478" s="1">
        <v>22101</v>
      </c>
      <c r="G478" s="1" t="s">
        <v>122</v>
      </c>
      <c r="H478" s="1" t="s">
        <v>18</v>
      </c>
      <c r="J478" s="1" t="s">
        <v>123</v>
      </c>
      <c r="K478" s="1" t="str">
        <f>VLOOKUP(J478,'[1]Base SCA 02 2026'!V:X,3,0)</f>
        <v>MATHEUS FERNANDES</v>
      </c>
      <c r="L478" s="1" t="str">
        <f>VLOOKUP(J478,'[1]Base SCA 02 2026'!V:Y,4,0)</f>
        <v>MATHEUS FERNANDES</v>
      </c>
      <c r="N478" s="1" t="str">
        <f t="shared" si="7"/>
        <v>MATHEUS FERNANDES</v>
      </c>
    </row>
    <row r="479" spans="1:14" x14ac:dyDescent="0.3">
      <c r="A479" s="1">
        <v>705640</v>
      </c>
      <c r="B479" s="1" t="s">
        <v>499</v>
      </c>
      <c r="C479" s="5" t="s">
        <v>15</v>
      </c>
      <c r="D479" s="2">
        <v>45937</v>
      </c>
      <c r="E479" s="1" t="s">
        <v>302</v>
      </c>
      <c r="F479" s="1">
        <v>39301</v>
      </c>
      <c r="G479" s="1" t="s">
        <v>73</v>
      </c>
      <c r="H479" s="1" t="s">
        <v>18</v>
      </c>
      <c r="J479" s="1" t="s">
        <v>74</v>
      </c>
      <c r="K479" s="1" t="str">
        <f>VLOOKUP(J479,'[1]Base SCA 02 2026'!V:X,3,0)</f>
        <v>PAULO BONIFÁCIO</v>
      </c>
      <c r="L479" s="1" t="str">
        <f>VLOOKUP(J479,'[1]Base SCA 02 2026'!V:Y,4,0)</f>
        <v>ALDAIR BORGES</v>
      </c>
      <c r="M479" s="1" t="str">
        <f>VLOOKUP(J479,'[1]Base SCA 02 2026'!V:Z,5,0)</f>
        <v>ISAC NONATO</v>
      </c>
      <c r="N479" s="1" t="str">
        <f t="shared" si="7"/>
        <v>ISAC NONATO</v>
      </c>
    </row>
    <row r="480" spans="1:14" x14ac:dyDescent="0.3">
      <c r="A480" s="1">
        <v>705749</v>
      </c>
      <c r="B480" s="1" t="s">
        <v>1491</v>
      </c>
      <c r="C480" s="5" t="s">
        <v>15</v>
      </c>
      <c r="D480" s="2">
        <v>45993</v>
      </c>
      <c r="E480" s="1" t="s">
        <v>336</v>
      </c>
      <c r="F480" s="1">
        <v>51219</v>
      </c>
      <c r="G480" s="1" t="s">
        <v>61</v>
      </c>
      <c r="H480" s="1" t="s">
        <v>18</v>
      </c>
      <c r="J480" s="1" t="s">
        <v>19</v>
      </c>
      <c r="K480" s="1" t="str">
        <f>VLOOKUP(J480,'[1]Base SCA 02 2026'!V:X,3,0)</f>
        <v>JOSÉ GOUVEA</v>
      </c>
      <c r="L480" s="1" t="str">
        <f>VLOOKUP(J480,'[1]Base SCA 02 2026'!V:Y,4,0)</f>
        <v>ALEX DIAS</v>
      </c>
      <c r="N480" s="1" t="str">
        <f t="shared" si="7"/>
        <v>ALEX DIAS</v>
      </c>
    </row>
    <row r="481" spans="1:14" x14ac:dyDescent="0.3">
      <c r="A481" s="1">
        <v>703456</v>
      </c>
      <c r="B481" s="1" t="s">
        <v>500</v>
      </c>
      <c r="C481" s="5" t="s">
        <v>15</v>
      </c>
      <c r="D481" s="2">
        <v>44881</v>
      </c>
      <c r="E481" s="1" t="s">
        <v>91</v>
      </c>
      <c r="F481" s="1">
        <v>34201</v>
      </c>
      <c r="G481" s="1" t="s">
        <v>84</v>
      </c>
      <c r="H481" s="1" t="s">
        <v>18</v>
      </c>
      <c r="J481" s="1" t="s">
        <v>85</v>
      </c>
      <c r="K481" s="1" t="str">
        <f>VLOOKUP(J481,'[1]Base SCA 02 2026'!V:X,3,0)</f>
        <v>PAULO BONIFÁCIO</v>
      </c>
      <c r="L481" s="1" t="str">
        <f>VLOOKUP(J481,'[1]Base SCA 02 2026'!V:Y,4,0)</f>
        <v>PAULO BONIFÁCIO</v>
      </c>
      <c r="M481" s="1" t="str">
        <f>VLOOKUP(J481,'[1]Base SCA 02 2026'!V:Z,5,0)</f>
        <v xml:space="preserve">LEONARDO SANTOS </v>
      </c>
      <c r="N481" s="1" t="str">
        <f t="shared" si="7"/>
        <v xml:space="preserve">LEONARDO SANTOS </v>
      </c>
    </row>
    <row r="482" spans="1:14" x14ac:dyDescent="0.3">
      <c r="A482" s="1">
        <v>704529</v>
      </c>
      <c r="B482" s="1" t="s">
        <v>501</v>
      </c>
      <c r="C482" s="5" t="s">
        <v>15</v>
      </c>
      <c r="D482" s="2">
        <v>45420</v>
      </c>
      <c r="E482" s="1" t="s">
        <v>55</v>
      </c>
      <c r="F482" s="1">
        <v>39304</v>
      </c>
      <c r="G482" s="1" t="s">
        <v>56</v>
      </c>
      <c r="H482" s="1" t="s">
        <v>18</v>
      </c>
      <c r="J482" s="1" t="s">
        <v>57</v>
      </c>
      <c r="K482" s="1" t="str">
        <f>VLOOKUP(J482,'[1]Base SCA 02 2026'!V:X,3,0)</f>
        <v>PAULO BONIFÁCIO</v>
      </c>
      <c r="L482" s="1" t="str">
        <f>VLOOKUP(J482,'[1]Base SCA 02 2026'!V:Y,4,0)</f>
        <v>ALDAIR BORGES</v>
      </c>
      <c r="M482" s="1" t="str">
        <f>VLOOKUP(J482,'[1]Base SCA 02 2026'!V:Z,5,0)</f>
        <v>WARLEY RIBEIRO</v>
      </c>
      <c r="N482" s="1" t="str">
        <f t="shared" si="7"/>
        <v>WARLEY RIBEIRO</v>
      </c>
    </row>
    <row r="483" spans="1:14" x14ac:dyDescent="0.3">
      <c r="A483" s="1">
        <v>705882</v>
      </c>
      <c r="B483" s="1" t="s">
        <v>1554</v>
      </c>
      <c r="C483" s="5" t="s">
        <v>15</v>
      </c>
      <c r="D483" s="2">
        <v>46063</v>
      </c>
      <c r="E483" s="1" t="s">
        <v>138</v>
      </c>
      <c r="F483" s="1">
        <v>52104</v>
      </c>
      <c r="G483" s="1" t="s">
        <v>17</v>
      </c>
      <c r="H483" s="1" t="s">
        <v>18</v>
      </c>
      <c r="J483" s="1" t="s">
        <v>19</v>
      </c>
      <c r="K483" s="1" t="str">
        <f>VLOOKUP(J483,'[1]Base SCA 02 2026'!V:X,3,0)</f>
        <v>JOSÉ GOUVEA</v>
      </c>
      <c r="L483" s="1" t="str">
        <f>VLOOKUP(J483,'[1]Base SCA 02 2026'!V:Y,4,0)</f>
        <v>ALEX DIAS</v>
      </c>
      <c r="N483" s="1" t="str">
        <f t="shared" si="7"/>
        <v>ALEX DIAS</v>
      </c>
    </row>
    <row r="484" spans="1:14" x14ac:dyDescent="0.3">
      <c r="A484" s="1">
        <v>703706</v>
      </c>
      <c r="B484" s="1" t="s">
        <v>502</v>
      </c>
      <c r="C484" s="5" t="s">
        <v>15</v>
      </c>
      <c r="D484" s="2">
        <v>45019</v>
      </c>
      <c r="E484" s="1" t="s">
        <v>276</v>
      </c>
      <c r="F484" s="1">
        <v>14101</v>
      </c>
      <c r="G484" s="1" t="s">
        <v>277</v>
      </c>
      <c r="H484" s="1" t="s">
        <v>18</v>
      </c>
      <c r="J484" s="1" t="s">
        <v>278</v>
      </c>
      <c r="K484" s="1" t="str">
        <f>VLOOKUP(J484,'[1]Base SCA 02 2026'!V:X,3,0)</f>
        <v xml:space="preserve">LEIDJANE MARTINS </v>
      </c>
      <c r="L484" s="1" t="str">
        <f>VLOOKUP(J484,'[1]Base SCA 02 2026'!V:Y,4,0)</f>
        <v xml:space="preserve">LEIDJANE MARTINS </v>
      </c>
      <c r="N484" s="1" t="str">
        <f t="shared" si="7"/>
        <v xml:space="preserve">LEIDJANE MARTINS </v>
      </c>
    </row>
    <row r="485" spans="1:14" x14ac:dyDescent="0.3">
      <c r="A485" s="1">
        <v>705833</v>
      </c>
      <c r="B485" s="1" t="s">
        <v>1555</v>
      </c>
      <c r="C485" s="5" t="s">
        <v>15</v>
      </c>
      <c r="D485" s="2">
        <v>46063</v>
      </c>
      <c r="E485" s="1" t="s">
        <v>31</v>
      </c>
      <c r="F485" s="1">
        <v>52104</v>
      </c>
      <c r="G485" s="1" t="s">
        <v>17</v>
      </c>
      <c r="H485" s="1" t="s">
        <v>18</v>
      </c>
      <c r="J485" s="1" t="s">
        <v>19</v>
      </c>
      <c r="K485" s="1" t="str">
        <f>VLOOKUP(J485,'[1]Base SCA 02 2026'!V:X,3,0)</f>
        <v>JOSÉ GOUVEA</v>
      </c>
      <c r="L485" s="1" t="str">
        <f>VLOOKUP(J485,'[1]Base SCA 02 2026'!V:Y,4,0)</f>
        <v>ALEX DIAS</v>
      </c>
      <c r="N485" s="1" t="str">
        <f t="shared" si="7"/>
        <v>ALEX DIAS</v>
      </c>
    </row>
    <row r="486" spans="1:14" x14ac:dyDescent="0.3">
      <c r="A486" s="1">
        <v>704795</v>
      </c>
      <c r="B486" s="1" t="s">
        <v>503</v>
      </c>
      <c r="C486" s="5" t="s">
        <v>15</v>
      </c>
      <c r="D486" s="2">
        <v>45572</v>
      </c>
      <c r="E486" s="1" t="s">
        <v>31</v>
      </c>
      <c r="F486" s="1">
        <v>52104</v>
      </c>
      <c r="G486" s="1" t="s">
        <v>17</v>
      </c>
      <c r="H486" s="1" t="s">
        <v>18</v>
      </c>
      <c r="J486" s="1" t="s">
        <v>19</v>
      </c>
      <c r="K486" s="1" t="str">
        <f>VLOOKUP(J486,'[1]Base SCA 02 2026'!V:X,3,0)</f>
        <v>JOSÉ GOUVEA</v>
      </c>
      <c r="L486" s="1" t="str">
        <f>VLOOKUP(J486,'[1]Base SCA 02 2026'!V:Y,4,0)</f>
        <v>ALEX DIAS</v>
      </c>
      <c r="N486" s="1" t="str">
        <f t="shared" si="7"/>
        <v>ALEX DIAS</v>
      </c>
    </row>
    <row r="487" spans="1:14" x14ac:dyDescent="0.3">
      <c r="A487" s="1">
        <v>705224</v>
      </c>
      <c r="B487" s="1" t="s">
        <v>1165</v>
      </c>
      <c r="C487" s="5" t="s">
        <v>15</v>
      </c>
      <c r="D487" s="2">
        <v>45734</v>
      </c>
      <c r="E487" s="1" t="s">
        <v>31</v>
      </c>
      <c r="F487" s="1">
        <v>22102</v>
      </c>
      <c r="G487" s="1" t="s">
        <v>68</v>
      </c>
      <c r="H487" s="1" t="s">
        <v>18</v>
      </c>
      <c r="J487" s="1" t="s">
        <v>167</v>
      </c>
      <c r="K487" s="1" t="str">
        <f>VLOOKUP(J487,'[1]Base SCA 02 2026'!V:X,3,0)</f>
        <v>PAULO BONIFÁCIO</v>
      </c>
      <c r="L487" s="1" t="str">
        <f>VLOOKUP(J487,'[1]Base SCA 02 2026'!V:Y,4,0)</f>
        <v>MAURICIO SANTOS</v>
      </c>
      <c r="M487" s="1" t="str">
        <f>VLOOKUP(J487,'[1]Base SCA 02 2026'!V:Z,5,0)</f>
        <v>FABIANO</v>
      </c>
      <c r="N487" s="1" t="str">
        <f t="shared" si="7"/>
        <v>FABIANO</v>
      </c>
    </row>
    <row r="488" spans="1:14" x14ac:dyDescent="0.3">
      <c r="A488" s="1">
        <v>705793</v>
      </c>
      <c r="B488" s="1" t="s">
        <v>1526</v>
      </c>
      <c r="C488" s="5" t="s">
        <v>15</v>
      </c>
      <c r="D488" s="2">
        <v>46029</v>
      </c>
      <c r="E488" s="1" t="s">
        <v>31</v>
      </c>
      <c r="F488" s="1">
        <v>52104</v>
      </c>
      <c r="G488" s="1" t="s">
        <v>17</v>
      </c>
      <c r="H488" s="1" t="s">
        <v>18</v>
      </c>
      <c r="J488" s="1" t="s">
        <v>19</v>
      </c>
      <c r="K488" s="1" t="str">
        <f>VLOOKUP(J488,'[1]Base SCA 02 2026'!V:X,3,0)</f>
        <v>JOSÉ GOUVEA</v>
      </c>
      <c r="L488" s="1" t="str">
        <f>VLOOKUP(J488,'[1]Base SCA 02 2026'!V:Y,4,0)</f>
        <v>ALEX DIAS</v>
      </c>
      <c r="N488" s="1" t="str">
        <f t="shared" si="7"/>
        <v>ALEX DIAS</v>
      </c>
    </row>
    <row r="489" spans="1:14" x14ac:dyDescent="0.3">
      <c r="A489" s="1">
        <v>703495</v>
      </c>
      <c r="B489" s="1" t="s">
        <v>505</v>
      </c>
      <c r="C489" s="5" t="s">
        <v>233</v>
      </c>
      <c r="D489" s="2">
        <v>44887</v>
      </c>
      <c r="E489" s="1" t="s">
        <v>1556</v>
      </c>
      <c r="F489" s="1">
        <v>37101</v>
      </c>
      <c r="G489" s="1" t="s">
        <v>214</v>
      </c>
      <c r="H489" s="1" t="s">
        <v>18</v>
      </c>
      <c r="J489" s="1" t="s">
        <v>239</v>
      </c>
      <c r="K489" s="1" t="str">
        <f>VLOOKUP(J489,'[1]Base SCA 02 2026'!V:X,3,0)</f>
        <v>CARSON NEVES</v>
      </c>
      <c r="L489" s="1" t="str">
        <f>VLOOKUP(J489,'[1]Base SCA 02 2026'!V:Y,4,0)</f>
        <v>CARSON NEVES</v>
      </c>
      <c r="N489" s="1" t="str">
        <f t="shared" si="7"/>
        <v>CARSON NEVES</v>
      </c>
    </row>
    <row r="490" spans="1:14" x14ac:dyDescent="0.3">
      <c r="A490" s="1">
        <v>705066</v>
      </c>
      <c r="B490" s="1" t="s">
        <v>506</v>
      </c>
      <c r="C490" s="5" t="s">
        <v>15</v>
      </c>
      <c r="D490" s="2">
        <v>45670</v>
      </c>
      <c r="E490" s="1" t="s">
        <v>31</v>
      </c>
      <c r="F490" s="1">
        <v>25201</v>
      </c>
      <c r="G490" s="1" t="s">
        <v>89</v>
      </c>
      <c r="H490" s="1" t="s">
        <v>18</v>
      </c>
      <c r="J490" s="1" t="s">
        <v>37</v>
      </c>
      <c r="K490" s="1" t="str">
        <f>VLOOKUP(J490,'[1]Base SCA 02 2026'!V:X,3,0)</f>
        <v>JOSÉ GOUVEA</v>
      </c>
      <c r="L490" s="1" t="str">
        <f>VLOOKUP(J490,'[1]Base SCA 02 2026'!V:Y,4,0)</f>
        <v>ALEX DIAS</v>
      </c>
      <c r="N490" s="1" t="str">
        <f t="shared" si="7"/>
        <v>ALEX DIAS</v>
      </c>
    </row>
    <row r="491" spans="1:14" x14ac:dyDescent="0.3">
      <c r="A491" s="1">
        <v>701476</v>
      </c>
      <c r="B491" s="1" t="s">
        <v>509</v>
      </c>
      <c r="C491" s="5" t="s">
        <v>15</v>
      </c>
      <c r="D491" s="2">
        <v>41400</v>
      </c>
      <c r="E491" s="1" t="s">
        <v>105</v>
      </c>
      <c r="F491" s="1">
        <v>22102</v>
      </c>
      <c r="G491" s="1" t="s">
        <v>68</v>
      </c>
      <c r="H491" s="1" t="s">
        <v>18</v>
      </c>
      <c r="J491" s="1" t="s">
        <v>167</v>
      </c>
      <c r="K491" s="1" t="str">
        <f>VLOOKUP(J491,'[1]Base SCA 02 2026'!V:X,3,0)</f>
        <v>PAULO BONIFÁCIO</v>
      </c>
      <c r="L491" s="1" t="str">
        <f>VLOOKUP(J491,'[1]Base SCA 02 2026'!V:Y,4,0)</f>
        <v>MAURICIO SANTOS</v>
      </c>
      <c r="M491" s="1" t="str">
        <f>VLOOKUP(J491,'[1]Base SCA 02 2026'!V:Z,5,0)</f>
        <v>FABIANO</v>
      </c>
      <c r="N491" s="1" t="str">
        <f t="shared" si="7"/>
        <v>FABIANO</v>
      </c>
    </row>
    <row r="492" spans="1:14" x14ac:dyDescent="0.3">
      <c r="A492" s="1">
        <v>705796</v>
      </c>
      <c r="B492" s="1" t="s">
        <v>1527</v>
      </c>
      <c r="C492" s="5" t="s">
        <v>92</v>
      </c>
      <c r="D492" s="2">
        <v>46029</v>
      </c>
      <c r="E492" s="1" t="s">
        <v>31</v>
      </c>
      <c r="F492" s="1">
        <v>52202</v>
      </c>
      <c r="G492" s="1" t="s">
        <v>32</v>
      </c>
      <c r="H492" s="1" t="s">
        <v>18</v>
      </c>
      <c r="I492" s="2">
        <v>46073</v>
      </c>
      <c r="J492" s="1" t="s">
        <v>33</v>
      </c>
      <c r="K492" s="1" t="str">
        <f>VLOOKUP(J492,'[1]Base SCA 02 2026'!V:X,3,0)</f>
        <v>JOSÉ GOUVEA</v>
      </c>
      <c r="L492" s="1" t="str">
        <f>VLOOKUP(J492,'[1]Base SCA 02 2026'!V:Y,4,0)</f>
        <v>ALEX DIAS</v>
      </c>
      <c r="N492" s="1" t="str">
        <f t="shared" si="7"/>
        <v>ALEX DIAS</v>
      </c>
    </row>
    <row r="493" spans="1:14" x14ac:dyDescent="0.3">
      <c r="A493" s="1">
        <v>101347</v>
      </c>
      <c r="B493" s="1" t="s">
        <v>510</v>
      </c>
      <c r="C493" s="5" t="s">
        <v>15</v>
      </c>
      <c r="D493" s="2">
        <v>42905</v>
      </c>
      <c r="E493" s="1" t="s">
        <v>276</v>
      </c>
      <c r="F493" s="1">
        <v>14101</v>
      </c>
      <c r="G493" s="1" t="s">
        <v>277</v>
      </c>
      <c r="H493" s="1" t="s">
        <v>18</v>
      </c>
      <c r="J493" s="1" t="s">
        <v>278</v>
      </c>
      <c r="K493" s="1" t="str">
        <f>VLOOKUP(J493,'[1]Base SCA 02 2026'!V:X,3,0)</f>
        <v xml:space="preserve">LEIDJANE MARTINS </v>
      </c>
      <c r="L493" s="1" t="str">
        <f>VLOOKUP(J493,'[1]Base SCA 02 2026'!V:Y,4,0)</f>
        <v xml:space="preserve">LEIDJANE MARTINS </v>
      </c>
      <c r="N493" s="1" t="str">
        <f t="shared" si="7"/>
        <v xml:space="preserve">LEIDJANE MARTINS </v>
      </c>
    </row>
    <row r="494" spans="1:14" x14ac:dyDescent="0.3">
      <c r="A494" s="1">
        <v>704132</v>
      </c>
      <c r="B494" s="1" t="s">
        <v>511</v>
      </c>
      <c r="C494" s="5" t="s">
        <v>92</v>
      </c>
      <c r="D494" s="2">
        <v>45244</v>
      </c>
      <c r="E494" s="1" t="s">
        <v>127</v>
      </c>
      <c r="F494" s="1">
        <v>22102</v>
      </c>
      <c r="G494" s="1" t="s">
        <v>68</v>
      </c>
      <c r="H494" s="1" t="s">
        <v>18</v>
      </c>
      <c r="I494" s="2">
        <v>46055</v>
      </c>
      <c r="J494" s="1" t="s">
        <v>94</v>
      </c>
      <c r="K494" s="1" t="str">
        <f>VLOOKUP(J494,'[1]Base SCA 02 2026'!V:X,3,0)</f>
        <v>PAULO BONIFÁCIO</v>
      </c>
      <c r="L494" s="1" t="str">
        <f>VLOOKUP(J494,'[1]Base SCA 02 2026'!V:Y,4,0)</f>
        <v xml:space="preserve">JOÃO KOMURA </v>
      </c>
      <c r="M494" s="1" t="str">
        <f>VLOOKUP(J494,'[1]Base SCA 02 2026'!V:Z,5,0)</f>
        <v>LUAN ABADIA</v>
      </c>
      <c r="N494" s="1" t="str">
        <f t="shared" si="7"/>
        <v>LUAN ABADIA</v>
      </c>
    </row>
    <row r="495" spans="1:14" x14ac:dyDescent="0.3">
      <c r="A495" s="1">
        <v>703009</v>
      </c>
      <c r="B495" s="1" t="s">
        <v>1042</v>
      </c>
      <c r="C495" s="5" t="s">
        <v>15</v>
      </c>
      <c r="D495" s="2">
        <v>44691</v>
      </c>
      <c r="E495" s="1" t="s">
        <v>457</v>
      </c>
      <c r="F495" s="1">
        <v>22102</v>
      </c>
      <c r="G495" s="1" t="s">
        <v>68</v>
      </c>
      <c r="H495" s="1" t="s">
        <v>18</v>
      </c>
      <c r="J495" s="1" t="s">
        <v>81</v>
      </c>
      <c r="K495" s="1" t="str">
        <f>VLOOKUP(J495,'[1]Base SCA 02 2026'!V:X,3,0)</f>
        <v>PAULO BONIFÁCIO</v>
      </c>
      <c r="L495" s="1" t="str">
        <f>VLOOKUP(J495,'[1]Base SCA 02 2026'!V:Y,4,0)</f>
        <v>MAURICIO SANTOS</v>
      </c>
      <c r="M495" s="1" t="str">
        <f>VLOOKUP(J495,'[1]Base SCA 02 2026'!V:Z,5,0)</f>
        <v xml:space="preserve">EDSON/MARCELO LIMA </v>
      </c>
      <c r="N495" s="1" t="str">
        <f t="shared" si="7"/>
        <v xml:space="preserve">EDSON/MARCELO LIMA </v>
      </c>
    </row>
    <row r="496" spans="1:14" x14ac:dyDescent="0.3">
      <c r="A496" s="1">
        <v>704940</v>
      </c>
      <c r="B496" s="1" t="s">
        <v>512</v>
      </c>
      <c r="C496" s="5" t="s">
        <v>15</v>
      </c>
      <c r="D496" s="2">
        <v>45607</v>
      </c>
      <c r="E496" s="1" t="s">
        <v>31</v>
      </c>
      <c r="F496" s="1">
        <v>22102</v>
      </c>
      <c r="G496" s="1" t="s">
        <v>68</v>
      </c>
      <c r="H496" s="1" t="s">
        <v>18</v>
      </c>
      <c r="J496" s="1" t="s">
        <v>81</v>
      </c>
      <c r="K496" s="1" t="str">
        <f>VLOOKUP(J496,'[1]Base SCA 02 2026'!V:X,3,0)</f>
        <v>PAULO BONIFÁCIO</v>
      </c>
      <c r="L496" s="1" t="str">
        <f>VLOOKUP(J496,'[1]Base SCA 02 2026'!V:Y,4,0)</f>
        <v>MAURICIO SANTOS</v>
      </c>
      <c r="M496" s="1" t="str">
        <f>VLOOKUP(J496,'[1]Base SCA 02 2026'!V:Z,5,0)</f>
        <v xml:space="preserve">EDSON/MARCELO LIMA </v>
      </c>
      <c r="N496" s="1" t="str">
        <f t="shared" si="7"/>
        <v xml:space="preserve">EDSON/MARCELO LIMA </v>
      </c>
    </row>
    <row r="497" spans="1:14" x14ac:dyDescent="0.3">
      <c r="A497" s="1">
        <v>705222</v>
      </c>
      <c r="B497" s="1" t="s">
        <v>1166</v>
      </c>
      <c r="C497" s="5" t="s">
        <v>15</v>
      </c>
      <c r="D497" s="2">
        <v>45734</v>
      </c>
      <c r="E497" s="1" t="s">
        <v>31</v>
      </c>
      <c r="F497" s="1">
        <v>22101</v>
      </c>
      <c r="G497" s="1" t="s">
        <v>122</v>
      </c>
      <c r="H497" s="1" t="s">
        <v>18</v>
      </c>
      <c r="J497" s="1" t="s">
        <v>167</v>
      </c>
      <c r="K497" s="1" t="str">
        <f>VLOOKUP(J497,'[1]Base SCA 02 2026'!V:X,3,0)</f>
        <v>PAULO BONIFÁCIO</v>
      </c>
      <c r="L497" s="1" t="str">
        <f>VLOOKUP(J497,'[1]Base SCA 02 2026'!V:Y,4,0)</f>
        <v>MAURICIO SANTOS</v>
      </c>
      <c r="M497" s="1" t="str">
        <f>VLOOKUP(J497,'[1]Base SCA 02 2026'!V:Z,5,0)</f>
        <v>FABIANO</v>
      </c>
      <c r="N497" s="1" t="str">
        <f t="shared" si="7"/>
        <v>FABIANO</v>
      </c>
    </row>
    <row r="498" spans="1:14" x14ac:dyDescent="0.3">
      <c r="A498" s="1">
        <v>704359</v>
      </c>
      <c r="B498" s="1" t="s">
        <v>513</v>
      </c>
      <c r="C498" s="5" t="s">
        <v>15</v>
      </c>
      <c r="D498" s="2">
        <v>45384</v>
      </c>
      <c r="E498" s="1" t="s">
        <v>91</v>
      </c>
      <c r="F498" s="1">
        <v>34201</v>
      </c>
      <c r="G498" s="1" t="s">
        <v>84</v>
      </c>
      <c r="H498" s="1" t="s">
        <v>18</v>
      </c>
      <c r="J498" s="1" t="s">
        <v>85</v>
      </c>
      <c r="K498" s="1" t="str">
        <f>VLOOKUP(J498,'[1]Base SCA 02 2026'!V:X,3,0)</f>
        <v>PAULO BONIFÁCIO</v>
      </c>
      <c r="L498" s="1" t="str">
        <f>VLOOKUP(J498,'[1]Base SCA 02 2026'!V:Y,4,0)</f>
        <v>PAULO BONIFÁCIO</v>
      </c>
      <c r="M498" s="1" t="str">
        <f>VLOOKUP(J498,'[1]Base SCA 02 2026'!V:Z,5,0)</f>
        <v xml:space="preserve">LEONARDO SANTOS </v>
      </c>
      <c r="N498" s="1" t="str">
        <f t="shared" si="7"/>
        <v xml:space="preserve">LEONARDO SANTOS </v>
      </c>
    </row>
    <row r="499" spans="1:14" x14ac:dyDescent="0.3">
      <c r="A499" s="1">
        <v>701016</v>
      </c>
      <c r="B499" s="1" t="s">
        <v>514</v>
      </c>
      <c r="C499" s="5" t="s">
        <v>15</v>
      </c>
      <c r="D499" s="2">
        <v>41764</v>
      </c>
      <c r="E499" s="1" t="s">
        <v>515</v>
      </c>
      <c r="F499" s="1">
        <v>22102</v>
      </c>
      <c r="G499" s="1" t="s">
        <v>68</v>
      </c>
      <c r="H499" s="1" t="s">
        <v>18</v>
      </c>
      <c r="J499" s="1" t="s">
        <v>81</v>
      </c>
      <c r="K499" s="1" t="str">
        <f>VLOOKUP(J499,'[1]Base SCA 02 2026'!V:X,3,0)</f>
        <v>PAULO BONIFÁCIO</v>
      </c>
      <c r="L499" s="1" t="str">
        <f>VLOOKUP(J499,'[1]Base SCA 02 2026'!V:Y,4,0)</f>
        <v>MAURICIO SANTOS</v>
      </c>
      <c r="M499" s="1" t="str">
        <f>VLOOKUP(J499,'[1]Base SCA 02 2026'!V:Z,5,0)</f>
        <v xml:space="preserve">EDSON/MARCELO LIMA </v>
      </c>
      <c r="N499" s="1" t="str">
        <f t="shared" si="7"/>
        <v xml:space="preserve">EDSON/MARCELO LIMA </v>
      </c>
    </row>
    <row r="500" spans="1:14" x14ac:dyDescent="0.3">
      <c r="A500" s="1">
        <v>703285</v>
      </c>
      <c r="B500" s="1" t="s">
        <v>516</v>
      </c>
      <c r="C500" s="5" t="s">
        <v>15</v>
      </c>
      <c r="D500" s="2">
        <v>44788</v>
      </c>
      <c r="E500" s="1" t="s">
        <v>185</v>
      </c>
      <c r="F500" s="1">
        <v>33101</v>
      </c>
      <c r="G500" s="1" t="s">
        <v>186</v>
      </c>
      <c r="H500" s="1" t="s">
        <v>18</v>
      </c>
      <c r="J500" s="1" t="s">
        <v>44</v>
      </c>
      <c r="K500" s="1" t="str">
        <f>VLOOKUP(J500,'[1]Base SCA 02 2026'!V:X,3,0)</f>
        <v>RAFAEL XAVIER</v>
      </c>
      <c r="L500" s="1" t="str">
        <f>VLOOKUP(J500,'[1]Base SCA 02 2026'!V:Y,4,0)</f>
        <v>IVONEI CAMPOS</v>
      </c>
      <c r="M500" s="1" t="str">
        <f>VLOOKUP(J500,'[1]Base SCA 02 2026'!V:Z,5,0)</f>
        <v>TALLES RYAN</v>
      </c>
      <c r="N500" s="1" t="str">
        <f t="shared" si="7"/>
        <v>TALLES RYAN</v>
      </c>
    </row>
    <row r="501" spans="1:14" x14ac:dyDescent="0.3">
      <c r="A501" s="1">
        <v>101445</v>
      </c>
      <c r="B501" s="1" t="s">
        <v>517</v>
      </c>
      <c r="C501" s="5" t="s">
        <v>15</v>
      </c>
      <c r="D501" s="2">
        <v>42954</v>
      </c>
      <c r="E501" s="1" t="s">
        <v>160</v>
      </c>
      <c r="F501" s="1">
        <v>32101</v>
      </c>
      <c r="G501" s="1" t="s">
        <v>23</v>
      </c>
      <c r="H501" s="1" t="s">
        <v>18</v>
      </c>
      <c r="J501" s="1" t="s">
        <v>24</v>
      </c>
      <c r="K501" s="1" t="str">
        <f>VLOOKUP(J501,'[1]Base SCA 02 2026'!V:X,3,0)</f>
        <v>RAFAEL XAVIER</v>
      </c>
      <c r="L501" s="1" t="str">
        <f>VLOOKUP(J501,'[1]Base SCA 02 2026'!V:Y,4,0)</f>
        <v>FERNANDO GUILHERME</v>
      </c>
      <c r="M501" s="1" t="str">
        <f>VLOOKUP(J501,'[1]Base SCA 02 2026'!V:Z,5,0)</f>
        <v>JUNIO COSTA</v>
      </c>
      <c r="N501" s="1" t="str">
        <f t="shared" si="7"/>
        <v>JUNIO COSTA</v>
      </c>
    </row>
    <row r="502" spans="1:14" x14ac:dyDescent="0.3">
      <c r="A502" s="1">
        <v>702675</v>
      </c>
      <c r="B502" s="1" t="s">
        <v>518</v>
      </c>
      <c r="C502" s="5" t="s">
        <v>15</v>
      </c>
      <c r="D502" s="2">
        <v>44517</v>
      </c>
      <c r="E502" s="1" t="s">
        <v>166</v>
      </c>
      <c r="F502" s="1">
        <v>22102</v>
      </c>
      <c r="G502" s="1" t="s">
        <v>68</v>
      </c>
      <c r="H502" s="1" t="s">
        <v>18</v>
      </c>
      <c r="J502" s="1" t="s">
        <v>69</v>
      </c>
      <c r="K502" s="1" t="str">
        <f>VLOOKUP(J502,'[1]Base SCA 02 2026'!V:X,3,0)</f>
        <v>PAULO BONIFÁCIO</v>
      </c>
      <c r="L502" s="1" t="str">
        <f>VLOOKUP(J502,'[1]Base SCA 02 2026'!V:Y,4,0)</f>
        <v xml:space="preserve">JOÃO KOMURA </v>
      </c>
      <c r="N502" s="1" t="str">
        <f t="shared" si="7"/>
        <v xml:space="preserve">JOÃO KOMURA </v>
      </c>
    </row>
    <row r="503" spans="1:14" x14ac:dyDescent="0.3">
      <c r="A503" s="1">
        <v>704179</v>
      </c>
      <c r="B503" s="1" t="s">
        <v>519</v>
      </c>
      <c r="C503" s="5" t="s">
        <v>15</v>
      </c>
      <c r="D503" s="2">
        <v>45300</v>
      </c>
      <c r="E503" s="1" t="s">
        <v>67</v>
      </c>
      <c r="F503" s="1">
        <v>22102</v>
      </c>
      <c r="G503" s="1" t="s">
        <v>68</v>
      </c>
      <c r="H503" s="1" t="s">
        <v>18</v>
      </c>
      <c r="J503" s="1" t="s">
        <v>94</v>
      </c>
      <c r="K503" s="1" t="str">
        <f>VLOOKUP(J503,'[1]Base SCA 02 2026'!V:X,3,0)</f>
        <v>PAULO BONIFÁCIO</v>
      </c>
      <c r="L503" s="1" t="str">
        <f>VLOOKUP(J503,'[1]Base SCA 02 2026'!V:Y,4,0)</f>
        <v xml:space="preserve">JOÃO KOMURA </v>
      </c>
      <c r="M503" s="1" t="str">
        <f>VLOOKUP(J503,'[1]Base SCA 02 2026'!V:Z,5,0)</f>
        <v>LUAN ABADIA</v>
      </c>
      <c r="N503" s="1" t="str">
        <f t="shared" si="7"/>
        <v>LUAN ABADIA</v>
      </c>
    </row>
    <row r="504" spans="1:14" x14ac:dyDescent="0.3">
      <c r="A504" s="1">
        <v>705062</v>
      </c>
      <c r="B504" s="1" t="s">
        <v>520</v>
      </c>
      <c r="C504" s="5" t="s">
        <v>15</v>
      </c>
      <c r="D504" s="2">
        <v>45664</v>
      </c>
      <c r="E504" s="1" t="s">
        <v>138</v>
      </c>
      <c r="F504" s="1">
        <v>22102</v>
      </c>
      <c r="G504" s="1" t="s">
        <v>68</v>
      </c>
      <c r="H504" s="1" t="s">
        <v>18</v>
      </c>
      <c r="J504" s="1" t="s">
        <v>142</v>
      </c>
      <c r="K504" s="1" t="str">
        <f>VLOOKUP(J504,'[1]Base SCA 02 2026'!V:X,3,0)</f>
        <v>PAULO BONIFÁCIO</v>
      </c>
      <c r="L504" s="1" t="str">
        <f>VLOOKUP(J504,'[1]Base SCA 02 2026'!V:Y,4,0)</f>
        <v>MAURICIO SANTOS</v>
      </c>
      <c r="M504" s="1" t="str">
        <f>VLOOKUP(J504,'[1]Base SCA 02 2026'!V:Z,5,0)</f>
        <v>EDIS MOREIRA</v>
      </c>
      <c r="N504" s="1" t="str">
        <f t="shared" si="7"/>
        <v>EDIS MOREIRA</v>
      </c>
    </row>
    <row r="505" spans="1:14" x14ac:dyDescent="0.3">
      <c r="A505" s="1">
        <v>705788</v>
      </c>
      <c r="B505" s="1" t="s">
        <v>1528</v>
      </c>
      <c r="C505" s="5" t="s">
        <v>92</v>
      </c>
      <c r="D505" s="2">
        <v>46029</v>
      </c>
      <c r="E505" s="1" t="s">
        <v>31</v>
      </c>
      <c r="F505" s="1">
        <v>52104</v>
      </c>
      <c r="G505" s="1" t="s">
        <v>17</v>
      </c>
      <c r="H505" s="1" t="s">
        <v>18</v>
      </c>
      <c r="I505" s="2">
        <v>46073</v>
      </c>
      <c r="J505" s="1" t="s">
        <v>19</v>
      </c>
      <c r="K505" s="1" t="str">
        <f>VLOOKUP(J505,'[1]Base SCA 02 2026'!V:X,3,0)</f>
        <v>JOSÉ GOUVEA</v>
      </c>
      <c r="L505" s="1" t="str">
        <f>VLOOKUP(J505,'[1]Base SCA 02 2026'!V:Y,4,0)</f>
        <v>ALEX DIAS</v>
      </c>
      <c r="N505" s="1" t="str">
        <f t="shared" si="7"/>
        <v>ALEX DIAS</v>
      </c>
    </row>
    <row r="506" spans="1:14" x14ac:dyDescent="0.3">
      <c r="A506" s="1">
        <v>703682</v>
      </c>
      <c r="B506" s="1" t="s">
        <v>521</v>
      </c>
      <c r="C506" s="5" t="s">
        <v>15</v>
      </c>
      <c r="D506" s="2">
        <v>45019</v>
      </c>
      <c r="E506" s="1" t="s">
        <v>109</v>
      </c>
      <c r="F506" s="1">
        <v>32101</v>
      </c>
      <c r="G506" s="1" t="s">
        <v>23</v>
      </c>
      <c r="H506" s="1" t="s">
        <v>18</v>
      </c>
      <c r="J506" s="1" t="s">
        <v>24</v>
      </c>
      <c r="K506" s="1" t="str">
        <f>VLOOKUP(J506,'[1]Base SCA 02 2026'!V:X,3,0)</f>
        <v>RAFAEL XAVIER</v>
      </c>
      <c r="L506" s="1" t="str">
        <f>VLOOKUP(J506,'[1]Base SCA 02 2026'!V:Y,4,0)</f>
        <v>FERNANDO GUILHERME</v>
      </c>
      <c r="M506" s="1" t="str">
        <f>VLOOKUP(J506,'[1]Base SCA 02 2026'!V:Z,5,0)</f>
        <v>JUNIO COSTA</v>
      </c>
      <c r="N506" s="1" t="str">
        <f t="shared" si="7"/>
        <v>JUNIO COSTA</v>
      </c>
    </row>
    <row r="507" spans="1:14" x14ac:dyDescent="0.3">
      <c r="A507" s="1">
        <v>705575</v>
      </c>
      <c r="B507" s="1" t="s">
        <v>1323</v>
      </c>
      <c r="C507" s="5" t="s">
        <v>15</v>
      </c>
      <c r="D507" s="2">
        <v>45874</v>
      </c>
      <c r="E507" s="1" t="s">
        <v>138</v>
      </c>
      <c r="F507" s="1">
        <v>22102</v>
      </c>
      <c r="G507" s="1" t="s">
        <v>68</v>
      </c>
      <c r="H507" s="1" t="s">
        <v>18</v>
      </c>
      <c r="J507" s="1" t="s">
        <v>81</v>
      </c>
      <c r="K507" s="1" t="str">
        <f>VLOOKUP(J507,'[1]Base SCA 02 2026'!V:X,3,0)</f>
        <v>PAULO BONIFÁCIO</v>
      </c>
      <c r="L507" s="1" t="str">
        <f>VLOOKUP(J507,'[1]Base SCA 02 2026'!V:Y,4,0)</f>
        <v>MAURICIO SANTOS</v>
      </c>
      <c r="M507" s="1" t="str">
        <f>VLOOKUP(J507,'[1]Base SCA 02 2026'!V:Z,5,0)</f>
        <v xml:space="preserve">EDSON/MARCELO LIMA </v>
      </c>
      <c r="N507" s="1" t="str">
        <f t="shared" si="7"/>
        <v xml:space="preserve">EDSON/MARCELO LIMA </v>
      </c>
    </row>
    <row r="508" spans="1:14" x14ac:dyDescent="0.3">
      <c r="A508" s="1">
        <v>705808</v>
      </c>
      <c r="B508" s="1" t="s">
        <v>1529</v>
      </c>
      <c r="C508" s="5" t="s">
        <v>15</v>
      </c>
      <c r="D508" s="2">
        <v>46035</v>
      </c>
      <c r="E508" s="1" t="s">
        <v>31</v>
      </c>
      <c r="F508" s="1">
        <v>52104</v>
      </c>
      <c r="G508" s="1" t="s">
        <v>17</v>
      </c>
      <c r="H508" s="1" t="s">
        <v>18</v>
      </c>
      <c r="J508" s="1" t="s">
        <v>19</v>
      </c>
      <c r="K508" s="1" t="str">
        <f>VLOOKUP(J508,'[1]Base SCA 02 2026'!V:X,3,0)</f>
        <v>JOSÉ GOUVEA</v>
      </c>
      <c r="L508" s="1" t="str">
        <f>VLOOKUP(J508,'[1]Base SCA 02 2026'!V:Y,4,0)</f>
        <v>ALEX DIAS</v>
      </c>
      <c r="N508" s="1" t="str">
        <f t="shared" si="7"/>
        <v>ALEX DIAS</v>
      </c>
    </row>
    <row r="509" spans="1:14" x14ac:dyDescent="0.3">
      <c r="A509" s="1">
        <v>704741</v>
      </c>
      <c r="B509" s="1" t="s">
        <v>522</v>
      </c>
      <c r="C509" s="5" t="s">
        <v>15</v>
      </c>
      <c r="D509" s="2">
        <v>45538</v>
      </c>
      <c r="E509" s="1" t="s">
        <v>87</v>
      </c>
      <c r="F509" s="1">
        <v>33301</v>
      </c>
      <c r="G509" s="1" t="s">
        <v>64</v>
      </c>
      <c r="H509" s="1" t="s">
        <v>18</v>
      </c>
      <c r="J509" s="1" t="s">
        <v>65</v>
      </c>
      <c r="K509" s="1" t="str">
        <f>VLOOKUP(J509,'[1]Base SCA 02 2026'!V:X,3,0)</f>
        <v>RAFAEL XAVIER</v>
      </c>
      <c r="L509" s="1" t="str">
        <f>VLOOKUP(J509,'[1]Base SCA 02 2026'!V:Y,4,0)</f>
        <v>IVONEI CAMPOS</v>
      </c>
      <c r="M509" s="1" t="str">
        <f>VLOOKUP(J509,'[1]Base SCA 02 2026'!V:Z,5,0)</f>
        <v>ANDRÉ CUBA</v>
      </c>
      <c r="N509" s="1" t="str">
        <f t="shared" si="7"/>
        <v>ANDRÉ CUBA</v>
      </c>
    </row>
    <row r="510" spans="1:14" x14ac:dyDescent="0.3">
      <c r="A510" s="1">
        <v>703016</v>
      </c>
      <c r="B510" s="1" t="s">
        <v>523</v>
      </c>
      <c r="C510" s="5" t="s">
        <v>15</v>
      </c>
      <c r="D510" s="2">
        <v>44691</v>
      </c>
      <c r="E510" s="1" t="s">
        <v>60</v>
      </c>
      <c r="F510" s="1">
        <v>22102</v>
      </c>
      <c r="G510" s="1" t="s">
        <v>68</v>
      </c>
      <c r="H510" s="1" t="s">
        <v>18</v>
      </c>
      <c r="J510" s="1" t="s">
        <v>81</v>
      </c>
      <c r="K510" s="1" t="str">
        <f>VLOOKUP(J510,'[1]Base SCA 02 2026'!V:X,3,0)</f>
        <v>PAULO BONIFÁCIO</v>
      </c>
      <c r="L510" s="1" t="str">
        <f>VLOOKUP(J510,'[1]Base SCA 02 2026'!V:Y,4,0)</f>
        <v>MAURICIO SANTOS</v>
      </c>
      <c r="M510" s="1" t="str">
        <f>VLOOKUP(J510,'[1]Base SCA 02 2026'!V:Z,5,0)</f>
        <v xml:space="preserve">EDSON/MARCELO LIMA </v>
      </c>
      <c r="N510" s="1" t="str">
        <f t="shared" si="7"/>
        <v xml:space="preserve">EDSON/MARCELO LIMA </v>
      </c>
    </row>
    <row r="511" spans="1:14" x14ac:dyDescent="0.3">
      <c r="A511" s="1">
        <v>705706</v>
      </c>
      <c r="B511" s="1" t="s">
        <v>524</v>
      </c>
      <c r="C511" s="5" t="s">
        <v>15</v>
      </c>
      <c r="D511" s="2">
        <v>45971</v>
      </c>
      <c r="E511" s="1" t="s">
        <v>31</v>
      </c>
      <c r="F511" s="1">
        <v>52104</v>
      </c>
      <c r="G511" s="1" t="s">
        <v>17</v>
      </c>
      <c r="H511" s="1" t="s">
        <v>18</v>
      </c>
      <c r="J511" s="1" t="s">
        <v>19</v>
      </c>
      <c r="K511" s="1" t="str">
        <f>VLOOKUP(J511,'[1]Base SCA 02 2026'!V:X,3,0)</f>
        <v>JOSÉ GOUVEA</v>
      </c>
      <c r="L511" s="1" t="str">
        <f>VLOOKUP(J511,'[1]Base SCA 02 2026'!V:Y,4,0)</f>
        <v>ALEX DIAS</v>
      </c>
      <c r="N511" s="1" t="str">
        <f t="shared" si="7"/>
        <v>ALEX DIAS</v>
      </c>
    </row>
    <row r="512" spans="1:14" x14ac:dyDescent="0.3">
      <c r="A512" s="1">
        <v>704646</v>
      </c>
      <c r="B512" s="1" t="s">
        <v>525</v>
      </c>
      <c r="C512" s="5" t="s">
        <v>15</v>
      </c>
      <c r="D512" s="2">
        <v>45476</v>
      </c>
      <c r="E512" s="1" t="s">
        <v>27</v>
      </c>
      <c r="F512" s="1">
        <v>39304</v>
      </c>
      <c r="G512" s="1" t="s">
        <v>56</v>
      </c>
      <c r="H512" s="1" t="s">
        <v>18</v>
      </c>
      <c r="J512" s="1" t="s">
        <v>57</v>
      </c>
      <c r="K512" s="1" t="str">
        <f>VLOOKUP(J512,'[1]Base SCA 02 2026'!V:X,3,0)</f>
        <v>PAULO BONIFÁCIO</v>
      </c>
      <c r="L512" s="1" t="str">
        <f>VLOOKUP(J512,'[1]Base SCA 02 2026'!V:Y,4,0)</f>
        <v>ALDAIR BORGES</v>
      </c>
      <c r="M512" s="1" t="str">
        <f>VLOOKUP(J512,'[1]Base SCA 02 2026'!V:Z,5,0)</f>
        <v>WARLEY RIBEIRO</v>
      </c>
      <c r="N512" s="1" t="str">
        <f t="shared" si="7"/>
        <v>WARLEY RIBEIRO</v>
      </c>
    </row>
    <row r="513" spans="1:14" x14ac:dyDescent="0.3">
      <c r="A513" s="1">
        <v>702124</v>
      </c>
      <c r="B513" s="1" t="s">
        <v>526</v>
      </c>
      <c r="C513" s="5" t="s">
        <v>15</v>
      </c>
      <c r="D513" s="2">
        <v>44298</v>
      </c>
      <c r="E513" s="1" t="s">
        <v>292</v>
      </c>
      <c r="F513" s="1">
        <v>39304</v>
      </c>
      <c r="G513" s="1" t="s">
        <v>56</v>
      </c>
      <c r="H513" s="1" t="s">
        <v>18</v>
      </c>
      <c r="J513" s="1" t="s">
        <v>57</v>
      </c>
      <c r="K513" s="1" t="str">
        <f>VLOOKUP(J513,'[1]Base SCA 02 2026'!V:X,3,0)</f>
        <v>PAULO BONIFÁCIO</v>
      </c>
      <c r="L513" s="1" t="str">
        <f>VLOOKUP(J513,'[1]Base SCA 02 2026'!V:Y,4,0)</f>
        <v>ALDAIR BORGES</v>
      </c>
      <c r="M513" s="1" t="str">
        <f>VLOOKUP(J513,'[1]Base SCA 02 2026'!V:Z,5,0)</f>
        <v>WARLEY RIBEIRO</v>
      </c>
      <c r="N513" s="1" t="str">
        <f t="shared" si="7"/>
        <v>WARLEY RIBEIRO</v>
      </c>
    </row>
    <row r="514" spans="1:14" x14ac:dyDescent="0.3">
      <c r="A514" s="1">
        <v>105712</v>
      </c>
      <c r="B514" s="1" t="s">
        <v>527</v>
      </c>
      <c r="C514" s="5" t="s">
        <v>15</v>
      </c>
      <c r="D514" s="2">
        <v>43136</v>
      </c>
      <c r="E514" s="1" t="s">
        <v>60</v>
      </c>
      <c r="F514" s="1">
        <v>22102</v>
      </c>
      <c r="G514" s="1" t="s">
        <v>68</v>
      </c>
      <c r="H514" s="1" t="s">
        <v>18</v>
      </c>
      <c r="J514" s="1" t="s">
        <v>81</v>
      </c>
      <c r="K514" s="1" t="str">
        <f>VLOOKUP(J514,'[1]Base SCA 02 2026'!V:X,3,0)</f>
        <v>PAULO BONIFÁCIO</v>
      </c>
      <c r="L514" s="1" t="str">
        <f>VLOOKUP(J514,'[1]Base SCA 02 2026'!V:Y,4,0)</f>
        <v>MAURICIO SANTOS</v>
      </c>
      <c r="M514" s="1" t="str">
        <f>VLOOKUP(J514,'[1]Base SCA 02 2026'!V:Z,5,0)</f>
        <v xml:space="preserve">EDSON/MARCELO LIMA </v>
      </c>
      <c r="N514" s="1" t="str">
        <f t="shared" si="7"/>
        <v xml:space="preserve">EDSON/MARCELO LIMA </v>
      </c>
    </row>
    <row r="515" spans="1:14" x14ac:dyDescent="0.3">
      <c r="A515" s="1">
        <v>705510</v>
      </c>
      <c r="B515" s="1" t="s">
        <v>1301</v>
      </c>
      <c r="C515" s="5" t="s">
        <v>15</v>
      </c>
      <c r="D515" s="2">
        <v>45847</v>
      </c>
      <c r="E515" s="1" t="s">
        <v>31</v>
      </c>
      <c r="F515" s="1">
        <v>39301</v>
      </c>
      <c r="G515" s="1" t="s">
        <v>73</v>
      </c>
      <c r="H515" s="1" t="s">
        <v>18</v>
      </c>
      <c r="J515" s="1" t="s">
        <v>74</v>
      </c>
      <c r="K515" s="1" t="str">
        <f>VLOOKUP(J515,'[1]Base SCA 02 2026'!V:X,3,0)</f>
        <v>PAULO BONIFÁCIO</v>
      </c>
      <c r="L515" s="1" t="str">
        <f>VLOOKUP(J515,'[1]Base SCA 02 2026'!V:Y,4,0)</f>
        <v>ALDAIR BORGES</v>
      </c>
      <c r="M515" s="1" t="str">
        <f>VLOOKUP(J515,'[1]Base SCA 02 2026'!V:Z,5,0)</f>
        <v>ISAC NONATO</v>
      </c>
      <c r="N515" s="1" t="str">
        <f t="shared" ref="N515:N578" si="8">IF(M515&lt;&gt;"", M515, IF(L515&lt;&gt;"", L515, K515))</f>
        <v>ISAC NONATO</v>
      </c>
    </row>
    <row r="516" spans="1:14" x14ac:dyDescent="0.3">
      <c r="A516" s="1">
        <v>705248</v>
      </c>
      <c r="B516" s="1" t="s">
        <v>1186</v>
      </c>
      <c r="C516" s="5" t="s">
        <v>15</v>
      </c>
      <c r="D516" s="2">
        <v>45762</v>
      </c>
      <c r="E516" s="1" t="s">
        <v>31</v>
      </c>
      <c r="F516" s="1">
        <v>39304</v>
      </c>
      <c r="G516" s="1" t="s">
        <v>56</v>
      </c>
      <c r="H516" s="1" t="s">
        <v>18</v>
      </c>
      <c r="J516" s="1" t="s">
        <v>57</v>
      </c>
      <c r="K516" s="1" t="str">
        <f>VLOOKUP(J516,'[1]Base SCA 02 2026'!V:X,3,0)</f>
        <v>PAULO BONIFÁCIO</v>
      </c>
      <c r="L516" s="1" t="str">
        <f>VLOOKUP(J516,'[1]Base SCA 02 2026'!V:Y,4,0)</f>
        <v>ALDAIR BORGES</v>
      </c>
      <c r="M516" s="1" t="str">
        <f>VLOOKUP(J516,'[1]Base SCA 02 2026'!V:Z,5,0)</f>
        <v>WARLEY RIBEIRO</v>
      </c>
      <c r="N516" s="1" t="str">
        <f t="shared" si="8"/>
        <v>WARLEY RIBEIRO</v>
      </c>
    </row>
    <row r="517" spans="1:14" x14ac:dyDescent="0.3">
      <c r="A517" s="1">
        <v>705403</v>
      </c>
      <c r="B517" s="1" t="s">
        <v>1229</v>
      </c>
      <c r="C517" s="5" t="s">
        <v>15</v>
      </c>
      <c r="D517" s="2">
        <v>45790</v>
      </c>
      <c r="E517" s="1" t="s">
        <v>249</v>
      </c>
      <c r="F517" s="1">
        <v>37101</v>
      </c>
      <c r="G517" s="1" t="s">
        <v>214</v>
      </c>
      <c r="H517" s="1" t="s">
        <v>18</v>
      </c>
      <c r="J517" s="1" t="s">
        <v>239</v>
      </c>
      <c r="K517" s="1" t="str">
        <f>VLOOKUP(J517,'[1]Base SCA 02 2026'!V:X,3,0)</f>
        <v>CARSON NEVES</v>
      </c>
      <c r="L517" s="1" t="str">
        <f>VLOOKUP(J517,'[1]Base SCA 02 2026'!V:Y,4,0)</f>
        <v>CARSON NEVES</v>
      </c>
      <c r="N517" s="1" t="str">
        <f t="shared" si="8"/>
        <v>CARSON NEVES</v>
      </c>
    </row>
    <row r="518" spans="1:14" x14ac:dyDescent="0.3">
      <c r="A518" s="1">
        <v>705069</v>
      </c>
      <c r="B518" s="1" t="s">
        <v>528</v>
      </c>
      <c r="C518" s="5" t="s">
        <v>15</v>
      </c>
      <c r="D518" s="2">
        <v>45670</v>
      </c>
      <c r="E518" s="1" t="s">
        <v>22</v>
      </c>
      <c r="F518" s="1">
        <v>34101</v>
      </c>
      <c r="G518" s="1" t="s">
        <v>43</v>
      </c>
      <c r="H518" s="1" t="s">
        <v>18</v>
      </c>
      <c r="J518" s="1" t="s">
        <v>237</v>
      </c>
      <c r="K518" s="1" t="str">
        <f>VLOOKUP(J518,'[1]Base SCA 02 2026'!V:X,3,0)</f>
        <v>RAFAEL XAVIER</v>
      </c>
      <c r="L518" s="1" t="str">
        <f>VLOOKUP(J518,'[1]Base SCA 02 2026'!V:Y,4,0)</f>
        <v>IVONEI CAMPOS</v>
      </c>
      <c r="M518" s="1" t="str">
        <f>VLOOKUP(J518,'[1]Base SCA 02 2026'!V:Z,5,0)</f>
        <v xml:space="preserve">MARCOS VINICIUS </v>
      </c>
      <c r="N518" s="1" t="str">
        <f t="shared" si="8"/>
        <v xml:space="preserve">MARCOS VINICIUS </v>
      </c>
    </row>
    <row r="519" spans="1:14" x14ac:dyDescent="0.3">
      <c r="A519" s="1">
        <v>705839</v>
      </c>
      <c r="B519" s="1" t="s">
        <v>1557</v>
      </c>
      <c r="C519" s="5" t="s">
        <v>15</v>
      </c>
      <c r="D519" s="2">
        <v>46063</v>
      </c>
      <c r="E519" s="1" t="s">
        <v>31</v>
      </c>
      <c r="F519" s="1">
        <v>52104</v>
      </c>
      <c r="G519" s="1" t="s">
        <v>17</v>
      </c>
      <c r="H519" s="1" t="s">
        <v>18</v>
      </c>
      <c r="J519" s="1" t="s">
        <v>19</v>
      </c>
      <c r="K519" s="1" t="str">
        <f>VLOOKUP(J519,'[1]Base SCA 02 2026'!V:X,3,0)</f>
        <v>JOSÉ GOUVEA</v>
      </c>
      <c r="L519" s="1" t="str">
        <f>VLOOKUP(J519,'[1]Base SCA 02 2026'!V:Y,4,0)</f>
        <v>ALEX DIAS</v>
      </c>
      <c r="N519" s="1" t="str">
        <f t="shared" si="8"/>
        <v>ALEX DIAS</v>
      </c>
    </row>
    <row r="520" spans="1:14" x14ac:dyDescent="0.3">
      <c r="A520" s="1">
        <v>703611</v>
      </c>
      <c r="B520" s="1" t="s">
        <v>529</v>
      </c>
      <c r="C520" s="5" t="s">
        <v>15</v>
      </c>
      <c r="D520" s="2">
        <v>44991</v>
      </c>
      <c r="E520" s="1" t="s">
        <v>22</v>
      </c>
      <c r="F520" s="1">
        <v>34101</v>
      </c>
      <c r="G520" s="1" t="s">
        <v>43</v>
      </c>
      <c r="H520" s="1" t="s">
        <v>18</v>
      </c>
      <c r="J520" s="1" t="s">
        <v>237</v>
      </c>
      <c r="K520" s="1" t="str">
        <f>VLOOKUP(J520,'[1]Base SCA 02 2026'!V:X,3,0)</f>
        <v>RAFAEL XAVIER</v>
      </c>
      <c r="L520" s="1" t="str">
        <f>VLOOKUP(J520,'[1]Base SCA 02 2026'!V:Y,4,0)</f>
        <v>IVONEI CAMPOS</v>
      </c>
      <c r="M520" s="1" t="str">
        <f>VLOOKUP(J520,'[1]Base SCA 02 2026'!V:Z,5,0)</f>
        <v xml:space="preserve">MARCOS VINICIUS </v>
      </c>
      <c r="N520" s="1" t="str">
        <f t="shared" si="8"/>
        <v xml:space="preserve">MARCOS VINICIUS </v>
      </c>
    </row>
    <row r="521" spans="1:14" x14ac:dyDescent="0.3">
      <c r="A521" s="1">
        <v>705117</v>
      </c>
      <c r="B521" s="1" t="s">
        <v>530</v>
      </c>
      <c r="C521" s="5" t="s">
        <v>15</v>
      </c>
      <c r="D521" s="2">
        <v>45678</v>
      </c>
      <c r="E521" s="1" t="s">
        <v>31</v>
      </c>
      <c r="F521" s="1">
        <v>25201</v>
      </c>
      <c r="G521" s="1" t="s">
        <v>89</v>
      </c>
      <c r="H521" s="1" t="s">
        <v>18</v>
      </c>
      <c r="J521" s="1" t="s">
        <v>37</v>
      </c>
      <c r="K521" s="1" t="str">
        <f>VLOOKUP(J521,'[1]Base SCA 02 2026'!V:X,3,0)</f>
        <v>JOSÉ GOUVEA</v>
      </c>
      <c r="L521" s="1" t="str">
        <f>VLOOKUP(J521,'[1]Base SCA 02 2026'!V:Y,4,0)</f>
        <v>ALEX DIAS</v>
      </c>
      <c r="N521" s="1" t="str">
        <f t="shared" si="8"/>
        <v>ALEX DIAS</v>
      </c>
    </row>
    <row r="522" spans="1:14" x14ac:dyDescent="0.3">
      <c r="A522" s="1">
        <v>700860</v>
      </c>
      <c r="B522" s="1" t="s">
        <v>531</v>
      </c>
      <c r="C522" s="5" t="s">
        <v>92</v>
      </c>
      <c r="D522" s="2">
        <v>43507</v>
      </c>
      <c r="E522" s="1" t="s">
        <v>230</v>
      </c>
      <c r="F522" s="1">
        <v>38101</v>
      </c>
      <c r="G522" s="1" t="s">
        <v>35</v>
      </c>
      <c r="H522" s="1" t="s">
        <v>18</v>
      </c>
      <c r="I522" s="2">
        <v>46058</v>
      </c>
      <c r="J522" s="1" t="s">
        <v>36</v>
      </c>
      <c r="K522" s="1" t="str">
        <f>VLOOKUP(J522,'[1]Base SCA 02 2026'!V:X,3,0)</f>
        <v xml:space="preserve">LEIDJANE MARTINS </v>
      </c>
      <c r="L522" s="1" t="str">
        <f>VLOOKUP(J522,'[1]Base SCA 02 2026'!V:Y,4,0)</f>
        <v xml:space="preserve">LEIDJANE MARTINS </v>
      </c>
      <c r="M522" s="1" t="str">
        <f>VLOOKUP(J522,'[1]Base SCA 02 2026'!V:Z,5,0)</f>
        <v>DENIS ACASSIO</v>
      </c>
      <c r="N522" s="1" t="str">
        <f t="shared" si="8"/>
        <v>DENIS ACASSIO</v>
      </c>
    </row>
    <row r="523" spans="1:14" x14ac:dyDescent="0.3">
      <c r="A523" s="1">
        <v>100263</v>
      </c>
      <c r="B523" s="1" t="s">
        <v>532</v>
      </c>
      <c r="C523" s="5" t="s">
        <v>15</v>
      </c>
      <c r="D523" s="2">
        <v>41736</v>
      </c>
      <c r="E523" s="1" t="s">
        <v>158</v>
      </c>
      <c r="F523" s="1">
        <v>38101</v>
      </c>
      <c r="G523" s="1" t="s">
        <v>35</v>
      </c>
      <c r="H523" s="1" t="s">
        <v>18</v>
      </c>
      <c r="J523" s="1" t="s">
        <v>36</v>
      </c>
      <c r="K523" s="1" t="str">
        <f>VLOOKUP(J523,'[1]Base SCA 02 2026'!V:X,3,0)</f>
        <v xml:space="preserve">LEIDJANE MARTINS </v>
      </c>
      <c r="L523" s="1" t="str">
        <f>VLOOKUP(J523,'[1]Base SCA 02 2026'!V:Y,4,0)</f>
        <v xml:space="preserve">LEIDJANE MARTINS </v>
      </c>
      <c r="M523" s="1" t="str">
        <f>VLOOKUP(J523,'[1]Base SCA 02 2026'!V:Z,5,0)</f>
        <v>DENIS ACASSIO</v>
      </c>
      <c r="N523" s="1" t="str">
        <f t="shared" si="8"/>
        <v>DENIS ACASSIO</v>
      </c>
    </row>
    <row r="524" spans="1:14" x14ac:dyDescent="0.3">
      <c r="A524" s="1">
        <v>705705</v>
      </c>
      <c r="B524" s="1" t="s">
        <v>1455</v>
      </c>
      <c r="C524" s="5" t="s">
        <v>15</v>
      </c>
      <c r="D524" s="2">
        <v>45971</v>
      </c>
      <c r="E524" s="1" t="s">
        <v>31</v>
      </c>
      <c r="F524" s="1">
        <v>52104</v>
      </c>
      <c r="G524" s="1" t="s">
        <v>17</v>
      </c>
      <c r="H524" s="1" t="s">
        <v>18</v>
      </c>
      <c r="J524" s="1" t="s">
        <v>19</v>
      </c>
      <c r="K524" s="1" t="str">
        <f>VLOOKUP(J524,'[1]Base SCA 02 2026'!V:X,3,0)</f>
        <v>JOSÉ GOUVEA</v>
      </c>
      <c r="L524" s="1" t="str">
        <f>VLOOKUP(J524,'[1]Base SCA 02 2026'!V:Y,4,0)</f>
        <v>ALEX DIAS</v>
      </c>
      <c r="N524" s="1" t="str">
        <f t="shared" si="8"/>
        <v>ALEX DIAS</v>
      </c>
    </row>
    <row r="525" spans="1:14" x14ac:dyDescent="0.3">
      <c r="A525" s="1">
        <v>705730</v>
      </c>
      <c r="B525" s="1" t="s">
        <v>1456</v>
      </c>
      <c r="C525" s="5" t="s">
        <v>15</v>
      </c>
      <c r="D525" s="2">
        <v>45972</v>
      </c>
      <c r="E525" s="1" t="s">
        <v>31</v>
      </c>
      <c r="F525" s="1">
        <v>52104</v>
      </c>
      <c r="G525" s="1" t="s">
        <v>17</v>
      </c>
      <c r="H525" s="1" t="s">
        <v>18</v>
      </c>
      <c r="J525" s="1" t="s">
        <v>19</v>
      </c>
      <c r="K525" s="1" t="str">
        <f>VLOOKUP(J525,'[1]Base SCA 02 2026'!V:X,3,0)</f>
        <v>JOSÉ GOUVEA</v>
      </c>
      <c r="L525" s="1" t="str">
        <f>VLOOKUP(J525,'[1]Base SCA 02 2026'!V:Y,4,0)</f>
        <v>ALEX DIAS</v>
      </c>
      <c r="N525" s="1" t="str">
        <f t="shared" si="8"/>
        <v>ALEX DIAS</v>
      </c>
    </row>
    <row r="526" spans="1:14" x14ac:dyDescent="0.3">
      <c r="A526" s="1">
        <v>100077</v>
      </c>
      <c r="B526" s="1" t="s">
        <v>533</v>
      </c>
      <c r="C526" s="5" t="s">
        <v>15</v>
      </c>
      <c r="D526" s="2">
        <v>40941</v>
      </c>
      <c r="E526" s="1" t="s">
        <v>158</v>
      </c>
      <c r="F526" s="1">
        <v>38101</v>
      </c>
      <c r="G526" s="1" t="s">
        <v>35</v>
      </c>
      <c r="H526" s="1" t="s">
        <v>18</v>
      </c>
      <c r="J526" s="1" t="s">
        <v>36</v>
      </c>
      <c r="K526" s="1" t="str">
        <f>VLOOKUP(J526,'[1]Base SCA 02 2026'!V:X,3,0)</f>
        <v xml:space="preserve">LEIDJANE MARTINS </v>
      </c>
      <c r="L526" s="1" t="str">
        <f>VLOOKUP(J526,'[1]Base SCA 02 2026'!V:Y,4,0)</f>
        <v xml:space="preserve">LEIDJANE MARTINS </v>
      </c>
      <c r="M526" s="1" t="str">
        <f>VLOOKUP(J526,'[1]Base SCA 02 2026'!V:Z,5,0)</f>
        <v>DENIS ACASSIO</v>
      </c>
      <c r="N526" s="1" t="str">
        <f t="shared" si="8"/>
        <v>DENIS ACASSIO</v>
      </c>
    </row>
    <row r="527" spans="1:14" x14ac:dyDescent="0.3">
      <c r="A527" s="1">
        <v>704913</v>
      </c>
      <c r="B527" s="1" t="s">
        <v>1072</v>
      </c>
      <c r="C527" s="5" t="s">
        <v>15</v>
      </c>
      <c r="D527" s="2">
        <v>45601</v>
      </c>
      <c r="E527" s="1" t="s">
        <v>129</v>
      </c>
      <c r="F527" s="1">
        <v>31104</v>
      </c>
      <c r="G527" s="1" t="s">
        <v>130</v>
      </c>
      <c r="H527" s="1" t="s">
        <v>18</v>
      </c>
      <c r="J527" s="1" t="s">
        <v>131</v>
      </c>
      <c r="K527" s="1" t="str">
        <f>VLOOKUP(J527,'[1]Base SCA 02 2026'!V:X,3,0)</f>
        <v xml:space="preserve">GISELE NASCENTE </v>
      </c>
      <c r="L527" s="1" t="str">
        <f>VLOOKUP(J527,'[1]Base SCA 02 2026'!V:Y,4,0)</f>
        <v xml:space="preserve">GISELE NASCENTE </v>
      </c>
      <c r="M527" s="1" t="str">
        <f>VLOOKUP(J527,'[1]Base SCA 02 2026'!V:Z,5,0)</f>
        <v>MARCOS OLIVEIRA</v>
      </c>
      <c r="N527" s="1" t="str">
        <f t="shared" si="8"/>
        <v>MARCOS OLIVEIRA</v>
      </c>
    </row>
    <row r="528" spans="1:14" x14ac:dyDescent="0.3">
      <c r="A528" s="1">
        <v>705646</v>
      </c>
      <c r="B528" s="1" t="s">
        <v>1413</v>
      </c>
      <c r="C528" s="5" t="s">
        <v>15</v>
      </c>
      <c r="D528" s="2">
        <v>45943</v>
      </c>
      <c r="E528" s="1" t="s">
        <v>392</v>
      </c>
      <c r="F528" s="1">
        <v>12105</v>
      </c>
      <c r="G528" s="1" t="s">
        <v>393</v>
      </c>
      <c r="H528" s="1" t="s">
        <v>18</v>
      </c>
      <c r="J528" s="1" t="s">
        <v>394</v>
      </c>
      <c r="K528" s="1" t="str">
        <f>VLOOKUP(J528,'[1]Base SCA 02 2026'!V:X,3,0)</f>
        <v>JOÃO GORGULHO</v>
      </c>
      <c r="L528" s="1" t="str">
        <f>VLOOKUP(J528,'[1]Base SCA 02 2026'!V:Y,4,0)</f>
        <v>JOÃO GORGULHO</v>
      </c>
      <c r="N528" s="1" t="str">
        <f t="shared" si="8"/>
        <v>JOÃO GORGULHO</v>
      </c>
    </row>
    <row r="529" spans="1:14" x14ac:dyDescent="0.3">
      <c r="A529" s="1">
        <v>105713</v>
      </c>
      <c r="B529" s="1" t="s">
        <v>534</v>
      </c>
      <c r="C529" s="5" t="s">
        <v>15</v>
      </c>
      <c r="D529" s="2">
        <v>43136</v>
      </c>
      <c r="E529" s="1" t="s">
        <v>1230</v>
      </c>
      <c r="F529" s="1">
        <v>39301</v>
      </c>
      <c r="G529" s="1" t="s">
        <v>73</v>
      </c>
      <c r="H529" s="1" t="s">
        <v>18</v>
      </c>
      <c r="J529" s="1" t="s">
        <v>74</v>
      </c>
      <c r="K529" s="1" t="str">
        <f>VLOOKUP(J529,'[1]Base SCA 02 2026'!V:X,3,0)</f>
        <v>PAULO BONIFÁCIO</v>
      </c>
      <c r="L529" s="1" t="str">
        <f>VLOOKUP(J529,'[1]Base SCA 02 2026'!V:Y,4,0)</f>
        <v>ALDAIR BORGES</v>
      </c>
      <c r="M529" s="1" t="str">
        <f>VLOOKUP(J529,'[1]Base SCA 02 2026'!V:Z,5,0)</f>
        <v>ISAC NONATO</v>
      </c>
      <c r="N529" s="1" t="str">
        <f t="shared" si="8"/>
        <v>ISAC NONATO</v>
      </c>
    </row>
    <row r="530" spans="1:14" x14ac:dyDescent="0.3">
      <c r="A530" s="1">
        <v>705320</v>
      </c>
      <c r="B530" s="1" t="s">
        <v>1231</v>
      </c>
      <c r="C530" s="5" t="s">
        <v>15</v>
      </c>
      <c r="D530" s="2">
        <v>45784</v>
      </c>
      <c r="E530" s="1" t="s">
        <v>60</v>
      </c>
      <c r="F530" s="1">
        <v>39309</v>
      </c>
      <c r="G530" s="1" t="s">
        <v>1277</v>
      </c>
      <c r="H530" s="1" t="s">
        <v>18</v>
      </c>
      <c r="J530" s="1" t="s">
        <v>19</v>
      </c>
      <c r="K530" s="1" t="str">
        <f>VLOOKUP(J530,'[1]Base SCA 02 2026'!V:X,3,0)</f>
        <v>JOSÉ GOUVEA</v>
      </c>
      <c r="L530" s="1" t="str">
        <f>VLOOKUP(J530,'[1]Base SCA 02 2026'!V:Y,4,0)</f>
        <v>ALEX DIAS</v>
      </c>
      <c r="N530" s="1" t="str">
        <f t="shared" si="8"/>
        <v>ALEX DIAS</v>
      </c>
    </row>
    <row r="531" spans="1:14" x14ac:dyDescent="0.3">
      <c r="A531" s="1">
        <v>705439</v>
      </c>
      <c r="B531" s="1" t="s">
        <v>535</v>
      </c>
      <c r="C531" s="5" t="s">
        <v>15</v>
      </c>
      <c r="D531" s="2">
        <v>45796</v>
      </c>
      <c r="E531" s="1" t="s">
        <v>185</v>
      </c>
      <c r="F531" s="1">
        <v>33101</v>
      </c>
      <c r="G531" s="1" t="s">
        <v>186</v>
      </c>
      <c r="H531" s="1" t="s">
        <v>18</v>
      </c>
      <c r="J531" s="1" t="s">
        <v>44</v>
      </c>
      <c r="K531" s="1" t="str">
        <f>VLOOKUP(J531,'[1]Base SCA 02 2026'!V:X,3,0)</f>
        <v>RAFAEL XAVIER</v>
      </c>
      <c r="L531" s="1" t="str">
        <f>VLOOKUP(J531,'[1]Base SCA 02 2026'!V:Y,4,0)</f>
        <v>IVONEI CAMPOS</v>
      </c>
      <c r="M531" s="1" t="str">
        <f>VLOOKUP(J531,'[1]Base SCA 02 2026'!V:Z,5,0)</f>
        <v>TALLES RYAN</v>
      </c>
      <c r="N531" s="1" t="str">
        <f t="shared" si="8"/>
        <v>TALLES RYAN</v>
      </c>
    </row>
    <row r="532" spans="1:14" x14ac:dyDescent="0.3">
      <c r="A532" s="1">
        <v>703960</v>
      </c>
      <c r="B532" s="1" t="s">
        <v>536</v>
      </c>
      <c r="C532" s="5" t="s">
        <v>15</v>
      </c>
      <c r="D532" s="2">
        <v>45111</v>
      </c>
      <c r="E532" s="1" t="s">
        <v>446</v>
      </c>
      <c r="F532" s="1">
        <v>38101</v>
      </c>
      <c r="G532" s="1" t="s">
        <v>35</v>
      </c>
      <c r="H532" s="1" t="s">
        <v>18</v>
      </c>
      <c r="J532" s="1" t="s">
        <v>36</v>
      </c>
      <c r="K532" s="1" t="str">
        <f>VLOOKUP(J532,'[1]Base SCA 02 2026'!V:X,3,0)</f>
        <v xml:space="preserve">LEIDJANE MARTINS </v>
      </c>
      <c r="L532" s="1" t="str">
        <f>VLOOKUP(J532,'[1]Base SCA 02 2026'!V:Y,4,0)</f>
        <v xml:space="preserve">LEIDJANE MARTINS </v>
      </c>
      <c r="M532" s="1" t="str">
        <f>VLOOKUP(J532,'[1]Base SCA 02 2026'!V:Z,5,0)</f>
        <v>DENIS ACASSIO</v>
      </c>
      <c r="N532" s="1" t="str">
        <f t="shared" si="8"/>
        <v>DENIS ACASSIO</v>
      </c>
    </row>
    <row r="533" spans="1:14" x14ac:dyDescent="0.3">
      <c r="A533" s="1">
        <v>7051121</v>
      </c>
      <c r="B533" s="1" t="s">
        <v>537</v>
      </c>
      <c r="C533" s="5" t="s">
        <v>15</v>
      </c>
      <c r="D533" s="2">
        <v>45678</v>
      </c>
      <c r="E533" s="1" t="s">
        <v>77</v>
      </c>
      <c r="F533" s="1">
        <v>38107</v>
      </c>
      <c r="G533" s="1" t="s">
        <v>1503</v>
      </c>
      <c r="H533" s="1" t="s">
        <v>18</v>
      </c>
      <c r="J533" s="1" t="s">
        <v>78</v>
      </c>
      <c r="K533" s="1" t="str">
        <f>VLOOKUP(J533,'[1]Base SCA 02 2026'!V:X,3,0)</f>
        <v xml:space="preserve">LEIDJANE MARTINS </v>
      </c>
      <c r="L533" s="1" t="str">
        <f>VLOOKUP(J533,'[1]Base SCA 02 2026'!V:Y,4,0)</f>
        <v xml:space="preserve">LEIDJANE MARTINS </v>
      </c>
      <c r="N533" s="1" t="str">
        <f t="shared" si="8"/>
        <v xml:space="preserve">LEIDJANE MARTINS </v>
      </c>
    </row>
    <row r="534" spans="1:14" x14ac:dyDescent="0.3">
      <c r="A534" s="1">
        <v>705792</v>
      </c>
      <c r="B534" s="1" t="s">
        <v>1530</v>
      </c>
      <c r="C534" s="5" t="s">
        <v>92</v>
      </c>
      <c r="D534" s="2">
        <v>46029</v>
      </c>
      <c r="E534" s="1" t="s">
        <v>31</v>
      </c>
      <c r="F534" s="1">
        <v>52104</v>
      </c>
      <c r="G534" s="1" t="s">
        <v>17</v>
      </c>
      <c r="H534" s="1" t="s">
        <v>18</v>
      </c>
      <c r="I534" s="2">
        <v>46073</v>
      </c>
      <c r="J534" s="1" t="s">
        <v>19</v>
      </c>
      <c r="K534" s="1" t="str">
        <f>VLOOKUP(J534,'[1]Base SCA 02 2026'!V:X,3,0)</f>
        <v>JOSÉ GOUVEA</v>
      </c>
      <c r="L534" s="1" t="str">
        <f>VLOOKUP(J534,'[1]Base SCA 02 2026'!V:Y,4,0)</f>
        <v>ALEX DIAS</v>
      </c>
      <c r="N534" s="1" t="str">
        <f t="shared" si="8"/>
        <v>ALEX DIAS</v>
      </c>
    </row>
    <row r="535" spans="1:14" x14ac:dyDescent="0.3">
      <c r="A535" s="1">
        <v>704571</v>
      </c>
      <c r="B535" s="1" t="s">
        <v>538</v>
      </c>
      <c r="C535" s="5" t="s">
        <v>15</v>
      </c>
      <c r="D535" s="2">
        <v>45448</v>
      </c>
      <c r="E535" s="1" t="s">
        <v>31</v>
      </c>
      <c r="F535" s="1">
        <v>25201</v>
      </c>
      <c r="G535" s="1" t="s">
        <v>89</v>
      </c>
      <c r="H535" s="1" t="s">
        <v>18</v>
      </c>
      <c r="J535" s="1" t="s">
        <v>37</v>
      </c>
      <c r="K535" s="1" t="str">
        <f>VLOOKUP(J535,'[1]Base SCA 02 2026'!V:X,3,0)</f>
        <v>JOSÉ GOUVEA</v>
      </c>
      <c r="L535" s="1" t="str">
        <f>VLOOKUP(J535,'[1]Base SCA 02 2026'!V:Y,4,0)</f>
        <v>ALEX DIAS</v>
      </c>
      <c r="N535" s="1" t="str">
        <f t="shared" si="8"/>
        <v>ALEX DIAS</v>
      </c>
    </row>
    <row r="536" spans="1:14" x14ac:dyDescent="0.3">
      <c r="A536" s="1">
        <v>704711</v>
      </c>
      <c r="B536" s="1" t="s">
        <v>539</v>
      </c>
      <c r="C536" s="5" t="s">
        <v>15</v>
      </c>
      <c r="D536" s="2">
        <v>45518</v>
      </c>
      <c r="E536" s="1" t="s">
        <v>315</v>
      </c>
      <c r="F536" s="1">
        <v>33101</v>
      </c>
      <c r="G536" s="1" t="s">
        <v>186</v>
      </c>
      <c r="H536" s="1" t="s">
        <v>18</v>
      </c>
      <c r="J536" s="1" t="s">
        <v>44</v>
      </c>
      <c r="K536" s="1" t="str">
        <f>VLOOKUP(J536,'[1]Base SCA 02 2026'!V:X,3,0)</f>
        <v>RAFAEL XAVIER</v>
      </c>
      <c r="L536" s="1" t="str">
        <f>VLOOKUP(J536,'[1]Base SCA 02 2026'!V:Y,4,0)</f>
        <v>IVONEI CAMPOS</v>
      </c>
      <c r="M536" s="1" t="str">
        <f>VLOOKUP(J536,'[1]Base SCA 02 2026'!V:Z,5,0)</f>
        <v>TALLES RYAN</v>
      </c>
      <c r="N536" s="1" t="str">
        <f t="shared" si="8"/>
        <v>TALLES RYAN</v>
      </c>
    </row>
    <row r="537" spans="1:14" x14ac:dyDescent="0.3">
      <c r="A537" s="1">
        <v>705196</v>
      </c>
      <c r="B537" s="1" t="s">
        <v>1167</v>
      </c>
      <c r="C537" s="5" t="s">
        <v>15</v>
      </c>
      <c r="D537" s="2">
        <v>45734</v>
      </c>
      <c r="E537" s="1" t="s">
        <v>255</v>
      </c>
      <c r="F537" s="1">
        <v>25201</v>
      </c>
      <c r="G537" s="1" t="s">
        <v>89</v>
      </c>
      <c r="H537" s="1" t="s">
        <v>18</v>
      </c>
      <c r="J537" s="1" t="s">
        <v>19</v>
      </c>
      <c r="K537" s="1" t="str">
        <f>VLOOKUP(J537,'[1]Base SCA 02 2026'!V:X,3,0)</f>
        <v>JOSÉ GOUVEA</v>
      </c>
      <c r="L537" s="1" t="str">
        <f>VLOOKUP(J537,'[1]Base SCA 02 2026'!V:Y,4,0)</f>
        <v>ALEX DIAS</v>
      </c>
      <c r="N537" s="1" t="str">
        <f t="shared" si="8"/>
        <v>ALEX DIAS</v>
      </c>
    </row>
    <row r="538" spans="1:14" x14ac:dyDescent="0.3">
      <c r="A538" s="1">
        <v>703559</v>
      </c>
      <c r="B538" s="1" t="s">
        <v>540</v>
      </c>
      <c r="C538" s="5" t="s">
        <v>15</v>
      </c>
      <c r="D538" s="2">
        <v>44935</v>
      </c>
      <c r="E538" s="1" t="s">
        <v>217</v>
      </c>
      <c r="F538" s="1">
        <v>39302</v>
      </c>
      <c r="G538" s="1" t="s">
        <v>102</v>
      </c>
      <c r="H538" s="1" t="s">
        <v>18</v>
      </c>
      <c r="J538" s="1" t="s">
        <v>57</v>
      </c>
      <c r="K538" s="1" t="str">
        <f>VLOOKUP(J538,'[1]Base SCA 02 2026'!V:X,3,0)</f>
        <v>PAULO BONIFÁCIO</v>
      </c>
      <c r="L538" s="1" t="str">
        <f>VLOOKUP(J538,'[1]Base SCA 02 2026'!V:Y,4,0)</f>
        <v>ALDAIR BORGES</v>
      </c>
      <c r="M538" s="1" t="str">
        <f>VLOOKUP(J538,'[1]Base SCA 02 2026'!V:Z,5,0)</f>
        <v>WARLEY RIBEIRO</v>
      </c>
      <c r="N538" s="1" t="str">
        <f t="shared" si="8"/>
        <v>WARLEY RIBEIRO</v>
      </c>
    </row>
    <row r="539" spans="1:14" x14ac:dyDescent="0.3">
      <c r="A539" s="1">
        <v>705785</v>
      </c>
      <c r="B539" s="1" t="s">
        <v>1531</v>
      </c>
      <c r="C539" s="5" t="s">
        <v>15</v>
      </c>
      <c r="D539" s="2">
        <v>46035</v>
      </c>
      <c r="E539" s="1" t="s">
        <v>31</v>
      </c>
      <c r="F539" s="1">
        <v>25201</v>
      </c>
      <c r="G539" s="1" t="s">
        <v>89</v>
      </c>
      <c r="H539" s="1" t="s">
        <v>18</v>
      </c>
      <c r="J539" s="1" t="s">
        <v>19</v>
      </c>
      <c r="K539" s="1" t="str">
        <f>VLOOKUP(J539,'[1]Base SCA 02 2026'!V:X,3,0)</f>
        <v>JOSÉ GOUVEA</v>
      </c>
      <c r="L539" s="1" t="str">
        <f>VLOOKUP(J539,'[1]Base SCA 02 2026'!V:Y,4,0)</f>
        <v>ALEX DIAS</v>
      </c>
      <c r="N539" s="1" t="str">
        <f t="shared" si="8"/>
        <v>ALEX DIAS</v>
      </c>
    </row>
    <row r="540" spans="1:14" x14ac:dyDescent="0.3">
      <c r="A540" s="1">
        <v>705369</v>
      </c>
      <c r="B540" s="1" t="s">
        <v>1232</v>
      </c>
      <c r="C540" s="5" t="s">
        <v>15</v>
      </c>
      <c r="D540" s="2">
        <v>45784</v>
      </c>
      <c r="E540" s="1" t="s">
        <v>270</v>
      </c>
      <c r="F540" s="1">
        <v>39302</v>
      </c>
      <c r="G540" s="1" t="s">
        <v>102</v>
      </c>
      <c r="H540" s="1" t="s">
        <v>18</v>
      </c>
      <c r="J540" s="1" t="s">
        <v>57</v>
      </c>
      <c r="K540" s="1" t="str">
        <f>VLOOKUP(J540,'[1]Base SCA 02 2026'!V:X,3,0)</f>
        <v>PAULO BONIFÁCIO</v>
      </c>
      <c r="L540" s="1" t="str">
        <f>VLOOKUP(J540,'[1]Base SCA 02 2026'!V:Y,4,0)</f>
        <v>ALDAIR BORGES</v>
      </c>
      <c r="M540" s="1" t="str">
        <f>VLOOKUP(J540,'[1]Base SCA 02 2026'!V:Z,5,0)</f>
        <v>WARLEY RIBEIRO</v>
      </c>
      <c r="N540" s="1" t="str">
        <f t="shared" si="8"/>
        <v>WARLEY RIBEIRO</v>
      </c>
    </row>
    <row r="541" spans="1:14" x14ac:dyDescent="0.3">
      <c r="A541" s="1">
        <v>705692</v>
      </c>
      <c r="B541" s="1" t="s">
        <v>541</v>
      </c>
      <c r="C541" s="5" t="s">
        <v>15</v>
      </c>
      <c r="D541" s="2">
        <v>45972</v>
      </c>
      <c r="E541" s="1" t="s">
        <v>446</v>
      </c>
      <c r="F541" s="1">
        <v>32101</v>
      </c>
      <c r="G541" s="1" t="s">
        <v>23</v>
      </c>
      <c r="H541" s="1" t="s">
        <v>18</v>
      </c>
      <c r="J541" s="1" t="s">
        <v>24</v>
      </c>
      <c r="K541" s="1" t="str">
        <f>VLOOKUP(J541,'[1]Base SCA 02 2026'!V:X,3,0)</f>
        <v>RAFAEL XAVIER</v>
      </c>
      <c r="L541" s="1" t="str">
        <f>VLOOKUP(J541,'[1]Base SCA 02 2026'!V:Y,4,0)</f>
        <v>FERNANDO GUILHERME</v>
      </c>
      <c r="M541" s="1" t="str">
        <f>VLOOKUP(J541,'[1]Base SCA 02 2026'!V:Z,5,0)</f>
        <v>JUNIO COSTA</v>
      </c>
      <c r="N541" s="1" t="str">
        <f t="shared" si="8"/>
        <v>JUNIO COSTA</v>
      </c>
    </row>
    <row r="542" spans="1:14" x14ac:dyDescent="0.3">
      <c r="A542" s="1">
        <v>701608</v>
      </c>
      <c r="B542" s="1" t="s">
        <v>542</v>
      </c>
      <c r="C542" s="5" t="s">
        <v>15</v>
      </c>
      <c r="D542" s="2">
        <v>43999</v>
      </c>
      <c r="E542" s="1" t="s">
        <v>27</v>
      </c>
      <c r="F542" s="1">
        <v>39501</v>
      </c>
      <c r="G542" s="1" t="s">
        <v>28</v>
      </c>
      <c r="H542" s="1" t="s">
        <v>18</v>
      </c>
      <c r="J542" s="1" t="s">
        <v>29</v>
      </c>
      <c r="K542" s="1" t="str">
        <f>VLOOKUP(J542,'[1]Base SCA 02 2026'!V:X,3,0)</f>
        <v>JOSÉ GOUVEA</v>
      </c>
      <c r="L542" s="1" t="str">
        <f>VLOOKUP(J542,'[1]Base SCA 02 2026'!V:Y,4,0)</f>
        <v>JOSÉ GOUVEA</v>
      </c>
      <c r="N542" s="1" t="str">
        <f t="shared" si="8"/>
        <v>JOSÉ GOUVEA</v>
      </c>
    </row>
    <row r="543" spans="1:14" x14ac:dyDescent="0.3">
      <c r="A543" s="1">
        <v>704307</v>
      </c>
      <c r="B543" s="1" t="s">
        <v>543</v>
      </c>
      <c r="C543" s="5" t="s">
        <v>15</v>
      </c>
      <c r="D543" s="2">
        <v>45356</v>
      </c>
      <c r="E543" s="1" t="s">
        <v>31</v>
      </c>
      <c r="F543" s="1">
        <v>34201</v>
      </c>
      <c r="G543" s="1" t="s">
        <v>84</v>
      </c>
      <c r="H543" s="1" t="s">
        <v>18</v>
      </c>
      <c r="J543" s="1" t="s">
        <v>85</v>
      </c>
      <c r="K543" s="1" t="str">
        <f>VLOOKUP(J543,'[1]Base SCA 02 2026'!V:X,3,0)</f>
        <v>PAULO BONIFÁCIO</v>
      </c>
      <c r="L543" s="1" t="str">
        <f>VLOOKUP(J543,'[1]Base SCA 02 2026'!V:Y,4,0)</f>
        <v>PAULO BONIFÁCIO</v>
      </c>
      <c r="M543" s="1" t="str">
        <f>VLOOKUP(J543,'[1]Base SCA 02 2026'!V:Z,5,0)</f>
        <v xml:space="preserve">LEONARDO SANTOS </v>
      </c>
      <c r="N543" s="1" t="str">
        <f t="shared" si="8"/>
        <v xml:space="preserve">LEONARDO SANTOS </v>
      </c>
    </row>
    <row r="544" spans="1:14" x14ac:dyDescent="0.3">
      <c r="A544" s="1">
        <v>705752</v>
      </c>
      <c r="B544" s="1" t="s">
        <v>1492</v>
      </c>
      <c r="C544" s="5" t="s">
        <v>15</v>
      </c>
      <c r="D544" s="2">
        <v>45993</v>
      </c>
      <c r="E544" s="1" t="s">
        <v>31</v>
      </c>
      <c r="F544" s="1">
        <v>52104</v>
      </c>
      <c r="G544" s="1" t="s">
        <v>17</v>
      </c>
      <c r="H544" s="1" t="s">
        <v>18</v>
      </c>
      <c r="J544" s="1" t="s">
        <v>19</v>
      </c>
      <c r="K544" s="1" t="str">
        <f>VLOOKUP(J544,'[1]Base SCA 02 2026'!V:X,3,0)</f>
        <v>JOSÉ GOUVEA</v>
      </c>
      <c r="L544" s="1" t="str">
        <f>VLOOKUP(J544,'[1]Base SCA 02 2026'!V:Y,4,0)</f>
        <v>ALEX DIAS</v>
      </c>
      <c r="N544" s="1" t="str">
        <f t="shared" si="8"/>
        <v>ALEX DIAS</v>
      </c>
    </row>
    <row r="545" spans="1:14" x14ac:dyDescent="0.3">
      <c r="A545" s="1">
        <v>705815</v>
      </c>
      <c r="B545" s="1" t="s">
        <v>1532</v>
      </c>
      <c r="C545" s="5" t="s">
        <v>15</v>
      </c>
      <c r="D545" s="2">
        <v>46035</v>
      </c>
      <c r="E545" s="1" t="s">
        <v>31</v>
      </c>
      <c r="F545" s="1">
        <v>52104</v>
      </c>
      <c r="G545" s="1" t="s">
        <v>17</v>
      </c>
      <c r="H545" s="1" t="s">
        <v>18</v>
      </c>
      <c r="J545" s="1" t="s">
        <v>19</v>
      </c>
      <c r="K545" s="1" t="str">
        <f>VLOOKUP(J545,'[1]Base SCA 02 2026'!V:X,3,0)</f>
        <v>JOSÉ GOUVEA</v>
      </c>
      <c r="L545" s="1" t="str">
        <f>VLOOKUP(J545,'[1]Base SCA 02 2026'!V:Y,4,0)</f>
        <v>ALEX DIAS</v>
      </c>
      <c r="N545" s="1" t="str">
        <f t="shared" si="8"/>
        <v>ALEX DIAS</v>
      </c>
    </row>
    <row r="546" spans="1:14" x14ac:dyDescent="0.3">
      <c r="A546" s="1">
        <v>705686</v>
      </c>
      <c r="B546" s="1" t="s">
        <v>1415</v>
      </c>
      <c r="C546" s="5" t="s">
        <v>15</v>
      </c>
      <c r="D546" s="2">
        <v>45945</v>
      </c>
      <c r="E546" s="1" t="s">
        <v>238</v>
      </c>
      <c r="F546" s="1">
        <v>37101</v>
      </c>
      <c r="G546" s="1" t="s">
        <v>214</v>
      </c>
      <c r="H546" s="1" t="s">
        <v>18</v>
      </c>
      <c r="J546" s="1" t="s">
        <v>239</v>
      </c>
      <c r="K546" s="1" t="str">
        <f>VLOOKUP(J546,'[1]Base SCA 02 2026'!V:X,3,0)</f>
        <v>CARSON NEVES</v>
      </c>
      <c r="L546" s="1" t="str">
        <f>VLOOKUP(J546,'[1]Base SCA 02 2026'!V:Y,4,0)</f>
        <v>CARSON NEVES</v>
      </c>
      <c r="N546" s="1" t="str">
        <f t="shared" si="8"/>
        <v>CARSON NEVES</v>
      </c>
    </row>
    <row r="547" spans="1:14" x14ac:dyDescent="0.3">
      <c r="A547" s="1">
        <v>702662</v>
      </c>
      <c r="B547" s="1" t="s">
        <v>544</v>
      </c>
      <c r="C547" s="5" t="s">
        <v>15</v>
      </c>
      <c r="D547" s="2">
        <v>44509</v>
      </c>
      <c r="E547" s="1" t="s">
        <v>105</v>
      </c>
      <c r="F547" s="1">
        <v>22102</v>
      </c>
      <c r="G547" s="1" t="s">
        <v>68</v>
      </c>
      <c r="H547" s="1" t="s">
        <v>18</v>
      </c>
      <c r="J547" s="1" t="s">
        <v>167</v>
      </c>
      <c r="K547" s="1" t="str">
        <f>VLOOKUP(J547,'[1]Base SCA 02 2026'!V:X,3,0)</f>
        <v>PAULO BONIFÁCIO</v>
      </c>
      <c r="L547" s="1" t="str">
        <f>VLOOKUP(J547,'[1]Base SCA 02 2026'!V:Y,4,0)</f>
        <v>MAURICIO SANTOS</v>
      </c>
      <c r="M547" s="1" t="str">
        <f>VLOOKUP(J547,'[1]Base SCA 02 2026'!V:Z,5,0)</f>
        <v>FABIANO</v>
      </c>
      <c r="N547" s="1" t="str">
        <f t="shared" si="8"/>
        <v>FABIANO</v>
      </c>
    </row>
    <row r="548" spans="1:14" x14ac:dyDescent="0.3">
      <c r="A548" s="1">
        <v>700622</v>
      </c>
      <c r="B548" s="1" t="s">
        <v>545</v>
      </c>
      <c r="C548" s="5" t="s">
        <v>15</v>
      </c>
      <c r="D548" s="2">
        <v>43367</v>
      </c>
      <c r="E548" s="1" t="s">
        <v>116</v>
      </c>
      <c r="F548" s="1">
        <v>34201</v>
      </c>
      <c r="G548" s="1" t="s">
        <v>84</v>
      </c>
      <c r="H548" s="1" t="s">
        <v>18</v>
      </c>
      <c r="J548" s="1" t="s">
        <v>85</v>
      </c>
      <c r="K548" s="1" t="str">
        <f>VLOOKUP(J548,'[1]Base SCA 02 2026'!V:X,3,0)</f>
        <v>PAULO BONIFÁCIO</v>
      </c>
      <c r="L548" s="1" t="str">
        <f>VLOOKUP(J548,'[1]Base SCA 02 2026'!V:Y,4,0)</f>
        <v>PAULO BONIFÁCIO</v>
      </c>
      <c r="M548" s="1" t="str">
        <f>VLOOKUP(J548,'[1]Base SCA 02 2026'!V:Z,5,0)</f>
        <v xml:space="preserve">LEONARDO SANTOS </v>
      </c>
      <c r="N548" s="1" t="str">
        <f t="shared" si="8"/>
        <v xml:space="preserve">LEONARDO SANTOS </v>
      </c>
    </row>
    <row r="549" spans="1:14" x14ac:dyDescent="0.3">
      <c r="A549" s="1">
        <v>701013</v>
      </c>
      <c r="B549" s="1" t="s">
        <v>546</v>
      </c>
      <c r="C549" s="5" t="s">
        <v>15</v>
      </c>
      <c r="D549" s="2">
        <v>43598</v>
      </c>
      <c r="E549" s="1" t="s">
        <v>40</v>
      </c>
      <c r="F549" s="1">
        <v>52104</v>
      </c>
      <c r="G549" s="1" t="s">
        <v>17</v>
      </c>
      <c r="H549" s="1" t="s">
        <v>18</v>
      </c>
      <c r="J549" s="1" t="s">
        <v>19</v>
      </c>
      <c r="K549" s="1" t="str">
        <f>VLOOKUP(J549,'[1]Base SCA 02 2026'!V:X,3,0)</f>
        <v>JOSÉ GOUVEA</v>
      </c>
      <c r="L549" s="1" t="str">
        <f>VLOOKUP(J549,'[1]Base SCA 02 2026'!V:Y,4,0)</f>
        <v>ALEX DIAS</v>
      </c>
      <c r="N549" s="1" t="str">
        <f t="shared" si="8"/>
        <v>ALEX DIAS</v>
      </c>
    </row>
    <row r="550" spans="1:14" x14ac:dyDescent="0.3">
      <c r="A550" s="1">
        <v>700241</v>
      </c>
      <c r="B550" s="1" t="s">
        <v>1091</v>
      </c>
      <c r="C550" s="5" t="s">
        <v>15</v>
      </c>
      <c r="D550" s="2">
        <v>43255</v>
      </c>
      <c r="E550" s="1" t="s">
        <v>219</v>
      </c>
      <c r="F550" s="1">
        <v>32101</v>
      </c>
      <c r="G550" s="1" t="s">
        <v>23</v>
      </c>
      <c r="H550" s="1" t="s">
        <v>18</v>
      </c>
      <c r="J550" s="1" t="s">
        <v>24</v>
      </c>
      <c r="K550" s="1" t="str">
        <f>VLOOKUP(J550,'[1]Base SCA 02 2026'!V:X,3,0)</f>
        <v>RAFAEL XAVIER</v>
      </c>
      <c r="L550" s="1" t="str">
        <f>VLOOKUP(J550,'[1]Base SCA 02 2026'!V:Y,4,0)</f>
        <v>FERNANDO GUILHERME</v>
      </c>
      <c r="M550" s="1" t="str">
        <f>VLOOKUP(J550,'[1]Base SCA 02 2026'!V:Z,5,0)</f>
        <v>JUNIO COSTA</v>
      </c>
      <c r="N550" s="1" t="str">
        <f t="shared" si="8"/>
        <v>JUNIO COSTA</v>
      </c>
    </row>
    <row r="551" spans="1:14" x14ac:dyDescent="0.3">
      <c r="A551" s="1">
        <v>705245</v>
      </c>
      <c r="B551" s="1" t="s">
        <v>1187</v>
      </c>
      <c r="C551" s="5" t="s">
        <v>15</v>
      </c>
      <c r="D551" s="2">
        <v>45754</v>
      </c>
      <c r="E551" s="1" t="s">
        <v>31</v>
      </c>
      <c r="F551" s="1">
        <v>52104</v>
      </c>
      <c r="G551" s="1" t="s">
        <v>17</v>
      </c>
      <c r="H551" s="1" t="s">
        <v>18</v>
      </c>
      <c r="J551" s="1" t="s">
        <v>19</v>
      </c>
      <c r="K551" s="1" t="str">
        <f>VLOOKUP(J551,'[1]Base SCA 02 2026'!V:X,3,0)</f>
        <v>JOSÉ GOUVEA</v>
      </c>
      <c r="L551" s="1" t="str">
        <f>VLOOKUP(J551,'[1]Base SCA 02 2026'!V:Y,4,0)</f>
        <v>ALEX DIAS</v>
      </c>
      <c r="N551" s="1" t="str">
        <f t="shared" si="8"/>
        <v>ALEX DIAS</v>
      </c>
    </row>
    <row r="552" spans="1:14" x14ac:dyDescent="0.3">
      <c r="A552" s="1">
        <v>704505</v>
      </c>
      <c r="B552" s="1" t="s">
        <v>1092</v>
      </c>
      <c r="C552" s="5" t="s">
        <v>15</v>
      </c>
      <c r="D552" s="2">
        <v>45419</v>
      </c>
      <c r="E552" s="1" t="s">
        <v>31</v>
      </c>
      <c r="F552" s="1">
        <v>25201</v>
      </c>
      <c r="G552" s="1" t="s">
        <v>89</v>
      </c>
      <c r="H552" s="1" t="s">
        <v>18</v>
      </c>
      <c r="J552" s="1" t="s">
        <v>19</v>
      </c>
      <c r="K552" s="1" t="str">
        <f>VLOOKUP(J552,'[1]Base SCA 02 2026'!V:X,3,0)</f>
        <v>JOSÉ GOUVEA</v>
      </c>
      <c r="L552" s="1" t="str">
        <f>VLOOKUP(J552,'[1]Base SCA 02 2026'!V:Y,4,0)</f>
        <v>ALEX DIAS</v>
      </c>
      <c r="N552" s="1" t="str">
        <f t="shared" si="8"/>
        <v>ALEX DIAS</v>
      </c>
    </row>
    <row r="553" spans="1:14" x14ac:dyDescent="0.3">
      <c r="A553" s="1">
        <v>701522</v>
      </c>
      <c r="B553" s="1" t="s">
        <v>547</v>
      </c>
      <c r="C553" s="5" t="s">
        <v>15</v>
      </c>
      <c r="D553" s="2">
        <v>43957</v>
      </c>
      <c r="E553" s="1" t="s">
        <v>179</v>
      </c>
      <c r="F553" s="1">
        <v>32101</v>
      </c>
      <c r="G553" s="1" t="s">
        <v>23</v>
      </c>
      <c r="H553" s="1" t="s">
        <v>18</v>
      </c>
      <c r="J553" s="1" t="s">
        <v>24</v>
      </c>
      <c r="K553" s="1" t="str">
        <f>VLOOKUP(J553,'[1]Base SCA 02 2026'!V:X,3,0)</f>
        <v>RAFAEL XAVIER</v>
      </c>
      <c r="L553" s="1" t="str">
        <f>VLOOKUP(J553,'[1]Base SCA 02 2026'!V:Y,4,0)</f>
        <v>FERNANDO GUILHERME</v>
      </c>
      <c r="M553" s="1" t="str">
        <f>VLOOKUP(J553,'[1]Base SCA 02 2026'!V:Z,5,0)</f>
        <v>JUNIO COSTA</v>
      </c>
      <c r="N553" s="1" t="str">
        <f t="shared" si="8"/>
        <v>JUNIO COSTA</v>
      </c>
    </row>
    <row r="554" spans="1:14" x14ac:dyDescent="0.3">
      <c r="A554" s="1">
        <v>705580</v>
      </c>
      <c r="B554" s="1" t="s">
        <v>1326</v>
      </c>
      <c r="C554" s="5" t="s">
        <v>15</v>
      </c>
      <c r="D554" s="2">
        <v>45881</v>
      </c>
      <c r="E554" s="1" t="s">
        <v>31</v>
      </c>
      <c r="F554" s="1">
        <v>39301</v>
      </c>
      <c r="G554" s="1" t="s">
        <v>73</v>
      </c>
      <c r="H554" s="1" t="s">
        <v>18</v>
      </c>
      <c r="J554" s="1" t="s">
        <v>74</v>
      </c>
      <c r="K554" s="1" t="str">
        <f>VLOOKUP(J554,'[1]Base SCA 02 2026'!V:X,3,0)</f>
        <v>PAULO BONIFÁCIO</v>
      </c>
      <c r="L554" s="1" t="str">
        <f>VLOOKUP(J554,'[1]Base SCA 02 2026'!V:Y,4,0)</f>
        <v>ALDAIR BORGES</v>
      </c>
      <c r="M554" s="1" t="str">
        <f>VLOOKUP(J554,'[1]Base SCA 02 2026'!V:Z,5,0)</f>
        <v>ISAC NONATO</v>
      </c>
      <c r="N554" s="1" t="str">
        <f t="shared" si="8"/>
        <v>ISAC NONATO</v>
      </c>
    </row>
    <row r="555" spans="1:14" x14ac:dyDescent="0.3">
      <c r="A555" s="1">
        <v>702811</v>
      </c>
      <c r="B555" s="1" t="s">
        <v>548</v>
      </c>
      <c r="C555" s="5" t="s">
        <v>15</v>
      </c>
      <c r="D555" s="2">
        <v>44613</v>
      </c>
      <c r="E555" s="1" t="s">
        <v>31</v>
      </c>
      <c r="F555" s="1">
        <v>52104</v>
      </c>
      <c r="G555" s="1" t="s">
        <v>17</v>
      </c>
      <c r="H555" s="1" t="s">
        <v>18</v>
      </c>
      <c r="J555" s="1" t="s">
        <v>19</v>
      </c>
      <c r="K555" s="1" t="str">
        <f>VLOOKUP(J555,'[1]Base SCA 02 2026'!V:X,3,0)</f>
        <v>JOSÉ GOUVEA</v>
      </c>
      <c r="L555" s="1" t="str">
        <f>VLOOKUP(J555,'[1]Base SCA 02 2026'!V:Y,4,0)</f>
        <v>ALEX DIAS</v>
      </c>
      <c r="N555" s="1" t="str">
        <f t="shared" si="8"/>
        <v>ALEX DIAS</v>
      </c>
    </row>
    <row r="556" spans="1:14" x14ac:dyDescent="0.3">
      <c r="A556" s="1">
        <v>704073</v>
      </c>
      <c r="B556" s="1" t="s">
        <v>549</v>
      </c>
      <c r="C556" s="5" t="s">
        <v>15</v>
      </c>
      <c r="D556" s="2">
        <v>45175</v>
      </c>
      <c r="E556" s="1" t="s">
        <v>60</v>
      </c>
      <c r="F556" s="1">
        <v>52104</v>
      </c>
      <c r="G556" s="1" t="s">
        <v>17</v>
      </c>
      <c r="H556" s="1" t="s">
        <v>18</v>
      </c>
      <c r="J556" s="1" t="s">
        <v>19</v>
      </c>
      <c r="K556" s="1" t="str">
        <f>VLOOKUP(J556,'[1]Base SCA 02 2026'!V:X,3,0)</f>
        <v>JOSÉ GOUVEA</v>
      </c>
      <c r="L556" s="1" t="str">
        <f>VLOOKUP(J556,'[1]Base SCA 02 2026'!V:Y,4,0)</f>
        <v>ALEX DIAS</v>
      </c>
      <c r="N556" s="1" t="str">
        <f t="shared" si="8"/>
        <v>ALEX DIAS</v>
      </c>
    </row>
    <row r="557" spans="1:14" x14ac:dyDescent="0.3">
      <c r="A557" s="1">
        <v>101542</v>
      </c>
      <c r="B557" s="1" t="s">
        <v>550</v>
      </c>
      <c r="C557" s="5" t="s">
        <v>15</v>
      </c>
      <c r="D557" s="2">
        <v>40779</v>
      </c>
      <c r="E557" s="1" t="s">
        <v>158</v>
      </c>
      <c r="F557" s="1">
        <v>38101</v>
      </c>
      <c r="G557" s="1" t="s">
        <v>35</v>
      </c>
      <c r="H557" s="1" t="s">
        <v>18</v>
      </c>
      <c r="J557" s="1" t="s">
        <v>36</v>
      </c>
      <c r="K557" s="1" t="str">
        <f>VLOOKUP(J557,'[1]Base SCA 02 2026'!V:X,3,0)</f>
        <v xml:space="preserve">LEIDJANE MARTINS </v>
      </c>
      <c r="L557" s="1" t="str">
        <f>VLOOKUP(J557,'[1]Base SCA 02 2026'!V:Y,4,0)</f>
        <v xml:space="preserve">LEIDJANE MARTINS </v>
      </c>
      <c r="M557" s="1" t="str">
        <f>VLOOKUP(J557,'[1]Base SCA 02 2026'!V:Z,5,0)</f>
        <v>DENIS ACASSIO</v>
      </c>
      <c r="N557" s="1" t="str">
        <f t="shared" si="8"/>
        <v>DENIS ACASSIO</v>
      </c>
    </row>
    <row r="558" spans="1:14" x14ac:dyDescent="0.3">
      <c r="A558" s="1">
        <v>705830</v>
      </c>
      <c r="B558" s="1" t="s">
        <v>1558</v>
      </c>
      <c r="C558" s="5" t="s">
        <v>15</v>
      </c>
      <c r="D558" s="2">
        <v>46063</v>
      </c>
      <c r="E558" s="1" t="s">
        <v>31</v>
      </c>
      <c r="F558" s="1">
        <v>52104</v>
      </c>
      <c r="G558" s="1" t="s">
        <v>17</v>
      </c>
      <c r="H558" s="1" t="s">
        <v>18</v>
      </c>
      <c r="J558" s="1" t="s">
        <v>19</v>
      </c>
      <c r="K558" s="1" t="str">
        <f>VLOOKUP(J558,'[1]Base SCA 02 2026'!V:X,3,0)</f>
        <v>JOSÉ GOUVEA</v>
      </c>
      <c r="L558" s="1" t="str">
        <f>VLOOKUP(J558,'[1]Base SCA 02 2026'!V:Y,4,0)</f>
        <v>ALEX DIAS</v>
      </c>
      <c r="N558" s="1" t="str">
        <f t="shared" si="8"/>
        <v>ALEX DIAS</v>
      </c>
    </row>
    <row r="559" spans="1:14" x14ac:dyDescent="0.3">
      <c r="A559" s="1">
        <v>705744</v>
      </c>
      <c r="B559" s="1" t="s">
        <v>551</v>
      </c>
      <c r="C559" s="5" t="s">
        <v>15</v>
      </c>
      <c r="D559" s="2">
        <v>45993</v>
      </c>
      <c r="E559" s="1" t="s">
        <v>31</v>
      </c>
      <c r="F559" s="1">
        <v>22102</v>
      </c>
      <c r="G559" s="1" t="s">
        <v>68</v>
      </c>
      <c r="H559" s="1" t="s">
        <v>18</v>
      </c>
      <c r="J559" s="1" t="s">
        <v>81</v>
      </c>
      <c r="K559" s="1" t="str">
        <f>VLOOKUP(J559,'[1]Base SCA 02 2026'!V:X,3,0)</f>
        <v>PAULO BONIFÁCIO</v>
      </c>
      <c r="L559" s="1" t="str">
        <f>VLOOKUP(J559,'[1]Base SCA 02 2026'!V:Y,4,0)</f>
        <v>MAURICIO SANTOS</v>
      </c>
      <c r="M559" s="1" t="str">
        <f>VLOOKUP(J559,'[1]Base SCA 02 2026'!V:Z,5,0)</f>
        <v xml:space="preserve">EDSON/MARCELO LIMA </v>
      </c>
      <c r="N559" s="1" t="str">
        <f t="shared" si="8"/>
        <v xml:space="preserve">EDSON/MARCELO LIMA </v>
      </c>
    </row>
    <row r="560" spans="1:14" x14ac:dyDescent="0.3">
      <c r="A560" s="1">
        <v>705829</v>
      </c>
      <c r="B560" s="1" t="s">
        <v>1559</v>
      </c>
      <c r="C560" s="5" t="s">
        <v>15</v>
      </c>
      <c r="D560" s="2">
        <v>46063</v>
      </c>
      <c r="E560" s="1" t="s">
        <v>31</v>
      </c>
      <c r="F560" s="1">
        <v>52104</v>
      </c>
      <c r="G560" s="1" t="s">
        <v>17</v>
      </c>
      <c r="H560" s="1" t="s">
        <v>18</v>
      </c>
      <c r="J560" s="1" t="s">
        <v>19</v>
      </c>
      <c r="K560" s="1" t="str">
        <f>VLOOKUP(J560,'[1]Base SCA 02 2026'!V:X,3,0)</f>
        <v>JOSÉ GOUVEA</v>
      </c>
      <c r="L560" s="1" t="str">
        <f>VLOOKUP(J560,'[1]Base SCA 02 2026'!V:Y,4,0)</f>
        <v>ALEX DIAS</v>
      </c>
      <c r="N560" s="1" t="str">
        <f t="shared" si="8"/>
        <v>ALEX DIAS</v>
      </c>
    </row>
    <row r="561" spans="1:14" x14ac:dyDescent="0.3">
      <c r="A561" s="1">
        <v>705584</v>
      </c>
      <c r="B561" s="1" t="s">
        <v>1327</v>
      </c>
      <c r="C561" s="5" t="s">
        <v>15</v>
      </c>
      <c r="D561" s="2">
        <v>45881</v>
      </c>
      <c r="E561" s="1" t="s">
        <v>31</v>
      </c>
      <c r="F561" s="1">
        <v>52104</v>
      </c>
      <c r="G561" s="1" t="s">
        <v>17</v>
      </c>
      <c r="H561" s="1" t="s">
        <v>18</v>
      </c>
      <c r="J561" s="1" t="s">
        <v>19</v>
      </c>
      <c r="K561" s="1" t="str">
        <f>VLOOKUP(J561,'[1]Base SCA 02 2026'!V:X,3,0)</f>
        <v>JOSÉ GOUVEA</v>
      </c>
      <c r="L561" s="1" t="str">
        <f>VLOOKUP(J561,'[1]Base SCA 02 2026'!V:Y,4,0)</f>
        <v>ALEX DIAS</v>
      </c>
      <c r="N561" s="1" t="str">
        <f t="shared" si="8"/>
        <v>ALEX DIAS</v>
      </c>
    </row>
    <row r="562" spans="1:14" x14ac:dyDescent="0.3">
      <c r="A562" s="1">
        <v>704572</v>
      </c>
      <c r="B562" s="1" t="s">
        <v>552</v>
      </c>
      <c r="C562" s="5" t="s">
        <v>15</v>
      </c>
      <c r="D562" s="2">
        <v>45448</v>
      </c>
      <c r="E562" s="1" t="s">
        <v>31</v>
      </c>
      <c r="F562" s="1">
        <v>52104</v>
      </c>
      <c r="G562" s="1" t="s">
        <v>17</v>
      </c>
      <c r="H562" s="1" t="s">
        <v>18</v>
      </c>
      <c r="J562" s="1" t="s">
        <v>19</v>
      </c>
      <c r="K562" s="1" t="str">
        <f>VLOOKUP(J562,'[1]Base SCA 02 2026'!V:X,3,0)</f>
        <v>JOSÉ GOUVEA</v>
      </c>
      <c r="L562" s="1" t="str">
        <f>VLOOKUP(J562,'[1]Base SCA 02 2026'!V:Y,4,0)</f>
        <v>ALEX DIAS</v>
      </c>
      <c r="N562" s="1" t="str">
        <f t="shared" si="8"/>
        <v>ALEX DIAS</v>
      </c>
    </row>
    <row r="563" spans="1:14" x14ac:dyDescent="0.3">
      <c r="A563" s="1">
        <v>705710</v>
      </c>
      <c r="B563" s="1" t="s">
        <v>1106</v>
      </c>
      <c r="C563" s="5" t="s">
        <v>15</v>
      </c>
      <c r="D563" s="2">
        <v>45971</v>
      </c>
      <c r="E563" s="1" t="s">
        <v>31</v>
      </c>
      <c r="F563" s="1">
        <v>22102</v>
      </c>
      <c r="G563" s="1" t="s">
        <v>68</v>
      </c>
      <c r="H563" s="1" t="s">
        <v>18</v>
      </c>
      <c r="J563" s="1" t="s">
        <v>81</v>
      </c>
      <c r="K563" s="1" t="str">
        <f>VLOOKUP(J563,'[1]Base SCA 02 2026'!V:X,3,0)</f>
        <v>PAULO BONIFÁCIO</v>
      </c>
      <c r="L563" s="1" t="str">
        <f>VLOOKUP(J563,'[1]Base SCA 02 2026'!V:Y,4,0)</f>
        <v>MAURICIO SANTOS</v>
      </c>
      <c r="M563" s="1" t="str">
        <f>VLOOKUP(J563,'[1]Base SCA 02 2026'!V:Z,5,0)</f>
        <v xml:space="preserve">EDSON/MARCELO LIMA </v>
      </c>
      <c r="N563" s="1" t="str">
        <f t="shared" si="8"/>
        <v xml:space="preserve">EDSON/MARCELO LIMA </v>
      </c>
    </row>
    <row r="564" spans="1:14" x14ac:dyDescent="0.3">
      <c r="A564" s="1">
        <v>705831</v>
      </c>
      <c r="B564" s="1" t="s">
        <v>1560</v>
      </c>
      <c r="C564" s="5" t="s">
        <v>15</v>
      </c>
      <c r="D564" s="2">
        <v>46063</v>
      </c>
      <c r="E564" s="1" t="s">
        <v>31</v>
      </c>
      <c r="F564" s="1">
        <v>52104</v>
      </c>
      <c r="G564" s="1" t="s">
        <v>17</v>
      </c>
      <c r="H564" s="1" t="s">
        <v>18</v>
      </c>
      <c r="J564" s="1" t="s">
        <v>19</v>
      </c>
      <c r="K564" s="1" t="str">
        <f>VLOOKUP(J564,'[1]Base SCA 02 2026'!V:X,3,0)</f>
        <v>JOSÉ GOUVEA</v>
      </c>
      <c r="L564" s="1" t="str">
        <f>VLOOKUP(J564,'[1]Base SCA 02 2026'!V:Y,4,0)</f>
        <v>ALEX DIAS</v>
      </c>
      <c r="N564" s="1" t="str">
        <f t="shared" si="8"/>
        <v>ALEX DIAS</v>
      </c>
    </row>
    <row r="565" spans="1:14" x14ac:dyDescent="0.3">
      <c r="A565" s="1">
        <v>702870</v>
      </c>
      <c r="B565" s="1" t="s">
        <v>554</v>
      </c>
      <c r="C565" s="5" t="s">
        <v>233</v>
      </c>
      <c r="D565" s="2">
        <v>44635</v>
      </c>
      <c r="E565" s="1" t="s">
        <v>294</v>
      </c>
      <c r="F565" s="1">
        <v>34202</v>
      </c>
      <c r="G565" s="1" t="s">
        <v>385</v>
      </c>
      <c r="H565" s="1" t="s">
        <v>18</v>
      </c>
      <c r="J565" s="1" t="s">
        <v>123</v>
      </c>
      <c r="K565" s="1" t="str">
        <f>VLOOKUP(J565,'[1]Base SCA 02 2026'!V:X,3,0)</f>
        <v>MATHEUS FERNANDES</v>
      </c>
      <c r="L565" s="1" t="str">
        <f>VLOOKUP(J565,'[1]Base SCA 02 2026'!V:Y,4,0)</f>
        <v>MATHEUS FERNANDES</v>
      </c>
      <c r="N565" s="1" t="str">
        <f t="shared" si="8"/>
        <v>MATHEUS FERNANDES</v>
      </c>
    </row>
    <row r="566" spans="1:14" x14ac:dyDescent="0.3">
      <c r="A566" s="1">
        <v>705120</v>
      </c>
      <c r="B566" s="1" t="s">
        <v>556</v>
      </c>
      <c r="C566" s="5" t="s">
        <v>15</v>
      </c>
      <c r="D566" s="2">
        <v>45678</v>
      </c>
      <c r="E566" s="1" t="s">
        <v>31</v>
      </c>
      <c r="F566" s="1">
        <v>39301</v>
      </c>
      <c r="G566" s="1" t="s">
        <v>73</v>
      </c>
      <c r="H566" s="1" t="s">
        <v>18</v>
      </c>
      <c r="J566" s="1" t="s">
        <v>74</v>
      </c>
      <c r="K566" s="1" t="str">
        <f>VLOOKUP(J566,'[1]Base SCA 02 2026'!V:X,3,0)</f>
        <v>PAULO BONIFÁCIO</v>
      </c>
      <c r="L566" s="1" t="str">
        <f>VLOOKUP(J566,'[1]Base SCA 02 2026'!V:Y,4,0)</f>
        <v>ALDAIR BORGES</v>
      </c>
      <c r="M566" s="1" t="str">
        <f>VLOOKUP(J566,'[1]Base SCA 02 2026'!V:Z,5,0)</f>
        <v>ISAC NONATO</v>
      </c>
      <c r="N566" s="1" t="str">
        <f t="shared" si="8"/>
        <v>ISAC NONATO</v>
      </c>
    </row>
    <row r="567" spans="1:14" x14ac:dyDescent="0.3">
      <c r="A567" s="1">
        <v>704175</v>
      </c>
      <c r="B567" s="1" t="s">
        <v>557</v>
      </c>
      <c r="C567" s="5" t="s">
        <v>15</v>
      </c>
      <c r="D567" s="2">
        <v>45272</v>
      </c>
      <c r="E567" s="1" t="s">
        <v>80</v>
      </c>
      <c r="F567" s="1">
        <v>22102</v>
      </c>
      <c r="G567" s="1" t="s">
        <v>68</v>
      </c>
      <c r="H567" s="1" t="s">
        <v>18</v>
      </c>
      <c r="J567" s="1" t="s">
        <v>81</v>
      </c>
      <c r="K567" s="1" t="str">
        <f>VLOOKUP(J567,'[1]Base SCA 02 2026'!V:X,3,0)</f>
        <v>PAULO BONIFÁCIO</v>
      </c>
      <c r="L567" s="1" t="str">
        <f>VLOOKUP(J567,'[1]Base SCA 02 2026'!V:Y,4,0)</f>
        <v>MAURICIO SANTOS</v>
      </c>
      <c r="M567" s="1" t="str">
        <f>VLOOKUP(J567,'[1]Base SCA 02 2026'!V:Z,5,0)</f>
        <v xml:space="preserve">EDSON/MARCELO LIMA </v>
      </c>
      <c r="N567" s="1" t="str">
        <f t="shared" si="8"/>
        <v xml:space="preserve">EDSON/MARCELO LIMA </v>
      </c>
    </row>
    <row r="568" spans="1:14" x14ac:dyDescent="0.3">
      <c r="A568" s="1">
        <v>703146</v>
      </c>
      <c r="B568" s="1" t="s">
        <v>558</v>
      </c>
      <c r="C568" s="5" t="s">
        <v>15</v>
      </c>
      <c r="D568" s="2">
        <v>44718</v>
      </c>
      <c r="E568" s="1" t="s">
        <v>199</v>
      </c>
      <c r="F568" s="1">
        <v>22102</v>
      </c>
      <c r="G568" s="1" t="s">
        <v>68</v>
      </c>
      <c r="H568" s="1" t="s">
        <v>18</v>
      </c>
      <c r="J568" s="1" t="s">
        <v>69</v>
      </c>
      <c r="K568" s="1" t="str">
        <f>VLOOKUP(J568,'[1]Base SCA 02 2026'!V:X,3,0)</f>
        <v>PAULO BONIFÁCIO</v>
      </c>
      <c r="L568" s="1" t="str">
        <f>VLOOKUP(J568,'[1]Base SCA 02 2026'!V:Y,4,0)</f>
        <v xml:space="preserve">JOÃO KOMURA </v>
      </c>
      <c r="N568" s="1" t="str">
        <f t="shared" si="8"/>
        <v xml:space="preserve">JOÃO KOMURA </v>
      </c>
    </row>
    <row r="569" spans="1:14" x14ac:dyDescent="0.3">
      <c r="A569" s="1">
        <v>700402</v>
      </c>
      <c r="B569" s="1" t="s">
        <v>559</v>
      </c>
      <c r="C569" s="5" t="s">
        <v>15</v>
      </c>
      <c r="D569" s="2">
        <v>43318</v>
      </c>
      <c r="E569" s="1" t="s">
        <v>1360</v>
      </c>
      <c r="F569" s="1">
        <v>39302</v>
      </c>
      <c r="G569" s="1" t="s">
        <v>102</v>
      </c>
      <c r="H569" s="1" t="s">
        <v>18</v>
      </c>
      <c r="J569" s="1" t="s">
        <v>57</v>
      </c>
      <c r="K569" s="1" t="str">
        <f>VLOOKUP(J569,'[1]Base SCA 02 2026'!V:X,3,0)</f>
        <v>PAULO BONIFÁCIO</v>
      </c>
      <c r="L569" s="1" t="str">
        <f>VLOOKUP(J569,'[1]Base SCA 02 2026'!V:Y,4,0)</f>
        <v>ALDAIR BORGES</v>
      </c>
      <c r="M569" s="1" t="str">
        <f>VLOOKUP(J569,'[1]Base SCA 02 2026'!V:Z,5,0)</f>
        <v>WARLEY RIBEIRO</v>
      </c>
      <c r="N569" s="1" t="str">
        <f t="shared" si="8"/>
        <v>WARLEY RIBEIRO</v>
      </c>
    </row>
    <row r="570" spans="1:14" x14ac:dyDescent="0.3">
      <c r="A570" s="1">
        <v>705761</v>
      </c>
      <c r="B570" s="1" t="s">
        <v>1493</v>
      </c>
      <c r="C570" s="5" t="s">
        <v>15</v>
      </c>
      <c r="D570" s="2">
        <v>45993</v>
      </c>
      <c r="E570" s="1" t="s">
        <v>31</v>
      </c>
      <c r="F570" s="1">
        <v>25201</v>
      </c>
      <c r="G570" s="1" t="s">
        <v>89</v>
      </c>
      <c r="H570" s="1" t="s">
        <v>18</v>
      </c>
      <c r="J570" s="1" t="s">
        <v>19</v>
      </c>
      <c r="K570" s="1" t="str">
        <f>VLOOKUP(J570,'[1]Base SCA 02 2026'!V:X,3,0)</f>
        <v>JOSÉ GOUVEA</v>
      </c>
      <c r="L570" s="1" t="str">
        <f>VLOOKUP(J570,'[1]Base SCA 02 2026'!V:Y,4,0)</f>
        <v>ALEX DIAS</v>
      </c>
      <c r="N570" s="1" t="str">
        <f t="shared" si="8"/>
        <v>ALEX DIAS</v>
      </c>
    </row>
    <row r="571" spans="1:14" x14ac:dyDescent="0.3">
      <c r="A571" s="1">
        <v>702404</v>
      </c>
      <c r="B571" s="1" t="s">
        <v>560</v>
      </c>
      <c r="C571" s="5" t="s">
        <v>15</v>
      </c>
      <c r="D571" s="2">
        <v>44383</v>
      </c>
      <c r="E571" s="1" t="s">
        <v>83</v>
      </c>
      <c r="F571" s="1">
        <v>34201</v>
      </c>
      <c r="G571" s="1" t="s">
        <v>84</v>
      </c>
      <c r="H571" s="1" t="s">
        <v>18</v>
      </c>
      <c r="J571" s="1" t="s">
        <v>85</v>
      </c>
      <c r="K571" s="1" t="str">
        <f>VLOOKUP(J571,'[1]Base SCA 02 2026'!V:X,3,0)</f>
        <v>PAULO BONIFÁCIO</v>
      </c>
      <c r="L571" s="1" t="str">
        <f>VLOOKUP(J571,'[1]Base SCA 02 2026'!V:Y,4,0)</f>
        <v>PAULO BONIFÁCIO</v>
      </c>
      <c r="M571" s="1" t="str">
        <f>VLOOKUP(J571,'[1]Base SCA 02 2026'!V:Z,5,0)</f>
        <v xml:space="preserve">LEONARDO SANTOS </v>
      </c>
      <c r="N571" s="1" t="str">
        <f t="shared" si="8"/>
        <v xml:space="preserve">LEONARDO SANTOS </v>
      </c>
    </row>
    <row r="572" spans="1:14" x14ac:dyDescent="0.3">
      <c r="A572" s="1">
        <v>701090</v>
      </c>
      <c r="B572" s="1" t="s">
        <v>561</v>
      </c>
      <c r="C572" s="5" t="s">
        <v>15</v>
      </c>
      <c r="D572" s="2">
        <v>43626</v>
      </c>
      <c r="E572" s="1" t="s">
        <v>127</v>
      </c>
      <c r="F572" s="1">
        <v>22102</v>
      </c>
      <c r="G572" s="1" t="s">
        <v>68</v>
      </c>
      <c r="H572" s="1" t="s">
        <v>18</v>
      </c>
      <c r="J572" s="1" t="s">
        <v>81</v>
      </c>
      <c r="K572" s="1" t="str">
        <f>VLOOKUP(J572,'[1]Base SCA 02 2026'!V:X,3,0)</f>
        <v>PAULO BONIFÁCIO</v>
      </c>
      <c r="L572" s="1" t="str">
        <f>VLOOKUP(J572,'[1]Base SCA 02 2026'!V:Y,4,0)</f>
        <v>MAURICIO SANTOS</v>
      </c>
      <c r="M572" s="1" t="str">
        <f>VLOOKUP(J572,'[1]Base SCA 02 2026'!V:Z,5,0)</f>
        <v xml:space="preserve">EDSON/MARCELO LIMA </v>
      </c>
      <c r="N572" s="1" t="str">
        <f t="shared" si="8"/>
        <v xml:space="preserve">EDSON/MARCELO LIMA </v>
      </c>
    </row>
    <row r="573" spans="1:14" x14ac:dyDescent="0.3">
      <c r="A573" s="1">
        <v>705014</v>
      </c>
      <c r="B573" s="1" t="s">
        <v>562</v>
      </c>
      <c r="C573" s="5" t="s">
        <v>15</v>
      </c>
      <c r="D573" s="2">
        <v>45635</v>
      </c>
      <c r="E573" s="1" t="s">
        <v>93</v>
      </c>
      <c r="F573" s="1">
        <v>34201</v>
      </c>
      <c r="G573" s="1" t="s">
        <v>84</v>
      </c>
      <c r="H573" s="1" t="s">
        <v>18</v>
      </c>
      <c r="J573" s="1" t="s">
        <v>85</v>
      </c>
      <c r="K573" s="1" t="str">
        <f>VLOOKUP(J573,'[1]Base SCA 02 2026'!V:X,3,0)</f>
        <v>PAULO BONIFÁCIO</v>
      </c>
      <c r="L573" s="1" t="str">
        <f>VLOOKUP(J573,'[1]Base SCA 02 2026'!V:Y,4,0)</f>
        <v>PAULO BONIFÁCIO</v>
      </c>
      <c r="M573" s="1" t="str">
        <f>VLOOKUP(J573,'[1]Base SCA 02 2026'!V:Z,5,0)</f>
        <v xml:space="preserve">LEONARDO SANTOS </v>
      </c>
      <c r="N573" s="1" t="str">
        <f t="shared" si="8"/>
        <v xml:space="preserve">LEONARDO SANTOS </v>
      </c>
    </row>
    <row r="574" spans="1:14" x14ac:dyDescent="0.3">
      <c r="A574" s="1">
        <v>702813</v>
      </c>
      <c r="B574" s="1" t="s">
        <v>563</v>
      </c>
      <c r="C574" s="5" t="s">
        <v>15</v>
      </c>
      <c r="D574" s="2">
        <v>44613</v>
      </c>
      <c r="E574" s="1" t="s">
        <v>138</v>
      </c>
      <c r="F574" s="1">
        <v>52104</v>
      </c>
      <c r="G574" s="1" t="s">
        <v>17</v>
      </c>
      <c r="H574" s="1" t="s">
        <v>18</v>
      </c>
      <c r="J574" s="1" t="s">
        <v>19</v>
      </c>
      <c r="K574" s="1" t="str">
        <f>VLOOKUP(J574,'[1]Base SCA 02 2026'!V:X,3,0)</f>
        <v>JOSÉ GOUVEA</v>
      </c>
      <c r="L574" s="1" t="str">
        <f>VLOOKUP(J574,'[1]Base SCA 02 2026'!V:Y,4,0)</f>
        <v>ALEX DIAS</v>
      </c>
      <c r="N574" s="1" t="str">
        <f t="shared" si="8"/>
        <v>ALEX DIAS</v>
      </c>
    </row>
    <row r="575" spans="1:14" x14ac:dyDescent="0.3">
      <c r="A575" s="1">
        <v>705128</v>
      </c>
      <c r="B575" s="1" t="s">
        <v>1145</v>
      </c>
      <c r="C575" s="5" t="s">
        <v>15</v>
      </c>
      <c r="D575" s="2">
        <v>45698</v>
      </c>
      <c r="E575" s="1" t="s">
        <v>93</v>
      </c>
      <c r="F575" s="1">
        <v>22102</v>
      </c>
      <c r="G575" s="1" t="s">
        <v>68</v>
      </c>
      <c r="H575" s="1" t="s">
        <v>18</v>
      </c>
      <c r="J575" s="1" t="s">
        <v>94</v>
      </c>
      <c r="K575" s="1" t="str">
        <f>VLOOKUP(J575,'[1]Base SCA 02 2026'!V:X,3,0)</f>
        <v>PAULO BONIFÁCIO</v>
      </c>
      <c r="L575" s="1" t="str">
        <f>VLOOKUP(J575,'[1]Base SCA 02 2026'!V:Y,4,0)</f>
        <v xml:space="preserve">JOÃO KOMURA </v>
      </c>
      <c r="M575" s="1" t="str">
        <f>VLOOKUP(J575,'[1]Base SCA 02 2026'!V:Z,5,0)</f>
        <v>LUAN ABADIA</v>
      </c>
      <c r="N575" s="1" t="str">
        <f t="shared" si="8"/>
        <v>LUAN ABADIA</v>
      </c>
    </row>
    <row r="576" spans="1:14" x14ac:dyDescent="0.3">
      <c r="A576" s="1">
        <v>703536</v>
      </c>
      <c r="B576" s="1" t="s">
        <v>564</v>
      </c>
      <c r="C576" s="5" t="s">
        <v>15</v>
      </c>
      <c r="D576" s="2">
        <v>44907</v>
      </c>
      <c r="E576" s="1" t="s">
        <v>188</v>
      </c>
      <c r="F576" s="1">
        <v>22102</v>
      </c>
      <c r="G576" s="1" t="s">
        <v>68</v>
      </c>
      <c r="H576" s="1" t="s">
        <v>18</v>
      </c>
      <c r="J576" s="1" t="s">
        <v>81</v>
      </c>
      <c r="K576" s="1" t="str">
        <f>VLOOKUP(J576,'[1]Base SCA 02 2026'!V:X,3,0)</f>
        <v>PAULO BONIFÁCIO</v>
      </c>
      <c r="L576" s="1" t="str">
        <f>VLOOKUP(J576,'[1]Base SCA 02 2026'!V:Y,4,0)</f>
        <v>MAURICIO SANTOS</v>
      </c>
      <c r="M576" s="1" t="str">
        <f>VLOOKUP(J576,'[1]Base SCA 02 2026'!V:Z,5,0)</f>
        <v xml:space="preserve">EDSON/MARCELO LIMA </v>
      </c>
      <c r="N576" s="1" t="str">
        <f t="shared" si="8"/>
        <v xml:space="preserve">EDSON/MARCELO LIMA </v>
      </c>
    </row>
    <row r="577" spans="1:14" x14ac:dyDescent="0.3">
      <c r="A577" s="1">
        <v>703564</v>
      </c>
      <c r="B577" s="1" t="s">
        <v>565</v>
      </c>
      <c r="C577" s="5" t="s">
        <v>15</v>
      </c>
      <c r="D577" s="2">
        <v>44942</v>
      </c>
      <c r="E577" s="1" t="s">
        <v>97</v>
      </c>
      <c r="F577" s="1">
        <v>32101</v>
      </c>
      <c r="G577" s="1" t="s">
        <v>23</v>
      </c>
      <c r="H577" s="1" t="s">
        <v>18</v>
      </c>
      <c r="J577" s="1" t="s">
        <v>24</v>
      </c>
      <c r="K577" s="1" t="str">
        <f>VLOOKUP(J577,'[1]Base SCA 02 2026'!V:X,3,0)</f>
        <v>RAFAEL XAVIER</v>
      </c>
      <c r="L577" s="1" t="str">
        <f>VLOOKUP(J577,'[1]Base SCA 02 2026'!V:Y,4,0)</f>
        <v>FERNANDO GUILHERME</v>
      </c>
      <c r="M577" s="1" t="str">
        <f>VLOOKUP(J577,'[1]Base SCA 02 2026'!V:Z,5,0)</f>
        <v>JUNIO COSTA</v>
      </c>
      <c r="N577" s="1" t="str">
        <f t="shared" si="8"/>
        <v>JUNIO COSTA</v>
      </c>
    </row>
    <row r="578" spans="1:14" x14ac:dyDescent="0.3">
      <c r="A578" s="1">
        <v>703147</v>
      </c>
      <c r="B578" s="1" t="s">
        <v>566</v>
      </c>
      <c r="C578" s="5" t="s">
        <v>15</v>
      </c>
      <c r="D578" s="2">
        <v>44718</v>
      </c>
      <c r="E578" s="1" t="s">
        <v>71</v>
      </c>
      <c r="F578" s="1">
        <v>25201</v>
      </c>
      <c r="G578" s="1" t="s">
        <v>89</v>
      </c>
      <c r="H578" s="1" t="s">
        <v>18</v>
      </c>
      <c r="J578" s="1" t="s">
        <v>19</v>
      </c>
      <c r="K578" s="1" t="str">
        <f>VLOOKUP(J578,'[1]Base SCA 02 2026'!V:X,3,0)</f>
        <v>JOSÉ GOUVEA</v>
      </c>
      <c r="L578" s="1" t="str">
        <f>VLOOKUP(J578,'[1]Base SCA 02 2026'!V:Y,4,0)</f>
        <v>ALEX DIAS</v>
      </c>
      <c r="N578" s="1" t="str">
        <f t="shared" si="8"/>
        <v>ALEX DIAS</v>
      </c>
    </row>
    <row r="579" spans="1:14" x14ac:dyDescent="0.3">
      <c r="A579" s="1">
        <v>705787</v>
      </c>
      <c r="B579" s="1" t="s">
        <v>1533</v>
      </c>
      <c r="C579" s="5" t="s">
        <v>15</v>
      </c>
      <c r="D579" s="2">
        <v>46035</v>
      </c>
      <c r="E579" s="1" t="s">
        <v>31</v>
      </c>
      <c r="F579" s="1">
        <v>52104</v>
      </c>
      <c r="G579" s="1" t="s">
        <v>17</v>
      </c>
      <c r="H579" s="1" t="s">
        <v>18</v>
      </c>
      <c r="J579" s="1" t="s">
        <v>19</v>
      </c>
      <c r="K579" s="1" t="str">
        <f>VLOOKUP(J579,'[1]Base SCA 02 2026'!V:X,3,0)</f>
        <v>JOSÉ GOUVEA</v>
      </c>
      <c r="L579" s="1" t="str">
        <f>VLOOKUP(J579,'[1]Base SCA 02 2026'!V:Y,4,0)</f>
        <v>ALEX DIAS</v>
      </c>
      <c r="N579" s="1" t="str">
        <f t="shared" ref="N579:N642" si="9">IF(M579&lt;&gt;"", M579, IF(L579&lt;&gt;"", L579, K579))</f>
        <v>ALEX DIAS</v>
      </c>
    </row>
    <row r="580" spans="1:14" x14ac:dyDescent="0.3">
      <c r="A580" s="1">
        <v>705392</v>
      </c>
      <c r="B580" s="1" t="s">
        <v>1272</v>
      </c>
      <c r="C580" s="5" t="s">
        <v>15</v>
      </c>
      <c r="D580" s="2">
        <v>45791</v>
      </c>
      <c r="E580" s="1" t="s">
        <v>22</v>
      </c>
      <c r="F580" s="1">
        <v>34101</v>
      </c>
      <c r="G580" s="1" t="s">
        <v>43</v>
      </c>
      <c r="H580" s="1" t="s">
        <v>18</v>
      </c>
      <c r="J580" s="1" t="s">
        <v>237</v>
      </c>
      <c r="K580" s="1" t="str">
        <f>VLOOKUP(J580,'[1]Base SCA 02 2026'!V:X,3,0)</f>
        <v>RAFAEL XAVIER</v>
      </c>
      <c r="L580" s="1" t="str">
        <f>VLOOKUP(J580,'[1]Base SCA 02 2026'!V:Y,4,0)</f>
        <v>IVONEI CAMPOS</v>
      </c>
      <c r="M580" s="1" t="str">
        <f>VLOOKUP(J580,'[1]Base SCA 02 2026'!V:Z,5,0)</f>
        <v xml:space="preserve">MARCOS VINICIUS </v>
      </c>
      <c r="N580" s="1" t="str">
        <f t="shared" si="9"/>
        <v xml:space="preserve">MARCOS VINICIUS </v>
      </c>
    </row>
    <row r="581" spans="1:14" x14ac:dyDescent="0.3">
      <c r="A581" s="1">
        <v>705219</v>
      </c>
      <c r="B581" s="1" t="s">
        <v>1168</v>
      </c>
      <c r="C581" s="5" t="s">
        <v>15</v>
      </c>
      <c r="D581" s="2">
        <v>45734</v>
      </c>
      <c r="E581" s="1" t="s">
        <v>31</v>
      </c>
      <c r="F581" s="1">
        <v>22102</v>
      </c>
      <c r="G581" s="1" t="s">
        <v>68</v>
      </c>
      <c r="H581" s="1" t="s">
        <v>18</v>
      </c>
      <c r="J581" s="1" t="s">
        <v>167</v>
      </c>
      <c r="K581" s="1" t="str">
        <f>VLOOKUP(J581,'[1]Base SCA 02 2026'!V:X,3,0)</f>
        <v>PAULO BONIFÁCIO</v>
      </c>
      <c r="L581" s="1" t="str">
        <f>VLOOKUP(J581,'[1]Base SCA 02 2026'!V:Y,4,0)</f>
        <v>MAURICIO SANTOS</v>
      </c>
      <c r="M581" s="1" t="str">
        <f>VLOOKUP(J581,'[1]Base SCA 02 2026'!V:Z,5,0)</f>
        <v>FABIANO</v>
      </c>
      <c r="N581" s="1" t="str">
        <f t="shared" si="9"/>
        <v>FABIANO</v>
      </c>
    </row>
    <row r="582" spans="1:14" x14ac:dyDescent="0.3">
      <c r="A582" s="1">
        <v>704229</v>
      </c>
      <c r="B582" s="1" t="s">
        <v>568</v>
      </c>
      <c r="C582" s="5" t="s">
        <v>15</v>
      </c>
      <c r="D582" s="2">
        <v>45328</v>
      </c>
      <c r="E582" s="1" t="s">
        <v>230</v>
      </c>
      <c r="F582" s="1">
        <v>38101</v>
      </c>
      <c r="G582" s="1" t="s">
        <v>35</v>
      </c>
      <c r="H582" s="1" t="s">
        <v>18</v>
      </c>
      <c r="J582" s="1" t="s">
        <v>36</v>
      </c>
      <c r="K582" s="1" t="str">
        <f>VLOOKUP(J582,'[1]Base SCA 02 2026'!V:X,3,0)</f>
        <v xml:space="preserve">LEIDJANE MARTINS </v>
      </c>
      <c r="L582" s="1" t="str">
        <f>VLOOKUP(J582,'[1]Base SCA 02 2026'!V:Y,4,0)</f>
        <v xml:space="preserve">LEIDJANE MARTINS </v>
      </c>
      <c r="M582" s="1" t="str">
        <f>VLOOKUP(J582,'[1]Base SCA 02 2026'!V:Z,5,0)</f>
        <v>DENIS ACASSIO</v>
      </c>
      <c r="N582" s="1" t="str">
        <f t="shared" si="9"/>
        <v>DENIS ACASSIO</v>
      </c>
    </row>
    <row r="583" spans="1:14" x14ac:dyDescent="0.3">
      <c r="A583" s="1">
        <v>705731</v>
      </c>
      <c r="B583" s="1" t="s">
        <v>1457</v>
      </c>
      <c r="C583" s="5" t="s">
        <v>15</v>
      </c>
      <c r="D583" s="2">
        <v>45972</v>
      </c>
      <c r="E583" s="1" t="s">
        <v>31</v>
      </c>
      <c r="F583" s="1">
        <v>52104</v>
      </c>
      <c r="G583" s="1" t="s">
        <v>17</v>
      </c>
      <c r="H583" s="1" t="s">
        <v>18</v>
      </c>
      <c r="J583" s="1" t="s">
        <v>19</v>
      </c>
      <c r="K583" s="1" t="str">
        <f>VLOOKUP(J583,'[1]Base SCA 02 2026'!V:X,3,0)</f>
        <v>JOSÉ GOUVEA</v>
      </c>
      <c r="L583" s="1" t="str">
        <f>VLOOKUP(J583,'[1]Base SCA 02 2026'!V:Y,4,0)</f>
        <v>ALEX DIAS</v>
      </c>
      <c r="N583" s="1" t="str">
        <f t="shared" si="9"/>
        <v>ALEX DIAS</v>
      </c>
    </row>
    <row r="584" spans="1:14" x14ac:dyDescent="0.3">
      <c r="A584" s="1">
        <v>705126</v>
      </c>
      <c r="B584" s="1" t="s">
        <v>1146</v>
      </c>
      <c r="C584" s="5" t="s">
        <v>15</v>
      </c>
      <c r="D584" s="2">
        <v>45698</v>
      </c>
      <c r="E584" s="1" t="s">
        <v>31</v>
      </c>
      <c r="F584" s="1">
        <v>22102</v>
      </c>
      <c r="G584" s="1" t="s">
        <v>68</v>
      </c>
      <c r="H584" s="1" t="s">
        <v>18</v>
      </c>
      <c r="J584" s="1" t="s">
        <v>94</v>
      </c>
      <c r="K584" s="1" t="str">
        <f>VLOOKUP(J584,'[1]Base SCA 02 2026'!V:X,3,0)</f>
        <v>PAULO BONIFÁCIO</v>
      </c>
      <c r="L584" s="1" t="str">
        <f>VLOOKUP(J584,'[1]Base SCA 02 2026'!V:Y,4,0)</f>
        <v xml:space="preserve">JOÃO KOMURA </v>
      </c>
      <c r="M584" s="1" t="str">
        <f>VLOOKUP(J584,'[1]Base SCA 02 2026'!V:Z,5,0)</f>
        <v>LUAN ABADIA</v>
      </c>
      <c r="N584" s="1" t="str">
        <f t="shared" si="9"/>
        <v>LUAN ABADIA</v>
      </c>
    </row>
    <row r="585" spans="1:14" x14ac:dyDescent="0.3">
      <c r="A585" s="1">
        <v>705370</v>
      </c>
      <c r="B585" s="1" t="s">
        <v>1233</v>
      </c>
      <c r="C585" s="5" t="s">
        <v>15</v>
      </c>
      <c r="D585" s="2">
        <v>45784</v>
      </c>
      <c r="E585" s="1" t="s">
        <v>166</v>
      </c>
      <c r="F585" s="1">
        <v>22102</v>
      </c>
      <c r="G585" s="1" t="s">
        <v>68</v>
      </c>
      <c r="H585" s="1" t="s">
        <v>18</v>
      </c>
      <c r="J585" s="1" t="s">
        <v>94</v>
      </c>
      <c r="K585" s="1" t="str">
        <f>VLOOKUP(J585,'[1]Base SCA 02 2026'!V:X,3,0)</f>
        <v>PAULO BONIFÁCIO</v>
      </c>
      <c r="L585" s="1" t="str">
        <f>VLOOKUP(J585,'[1]Base SCA 02 2026'!V:Y,4,0)</f>
        <v xml:space="preserve">JOÃO KOMURA </v>
      </c>
      <c r="M585" s="1" t="str">
        <f>VLOOKUP(J585,'[1]Base SCA 02 2026'!V:Z,5,0)</f>
        <v>LUAN ABADIA</v>
      </c>
      <c r="N585" s="1" t="str">
        <f t="shared" si="9"/>
        <v>LUAN ABADIA</v>
      </c>
    </row>
    <row r="586" spans="1:14" x14ac:dyDescent="0.3">
      <c r="A586" s="1">
        <v>703488</v>
      </c>
      <c r="B586" s="1" t="s">
        <v>569</v>
      </c>
      <c r="C586" s="5" t="s">
        <v>15</v>
      </c>
      <c r="D586" s="2">
        <v>44887</v>
      </c>
      <c r="E586" s="1" t="s">
        <v>31</v>
      </c>
      <c r="F586" s="1">
        <v>52104</v>
      </c>
      <c r="G586" s="1" t="s">
        <v>17</v>
      </c>
      <c r="H586" s="1" t="s">
        <v>18</v>
      </c>
      <c r="J586" s="1" t="s">
        <v>19</v>
      </c>
      <c r="K586" s="1" t="str">
        <f>VLOOKUP(J586,'[1]Base SCA 02 2026'!V:X,3,0)</f>
        <v>JOSÉ GOUVEA</v>
      </c>
      <c r="L586" s="1" t="str">
        <f>VLOOKUP(J586,'[1]Base SCA 02 2026'!V:Y,4,0)</f>
        <v>ALEX DIAS</v>
      </c>
      <c r="N586" s="1" t="str">
        <f t="shared" si="9"/>
        <v>ALEX DIAS</v>
      </c>
    </row>
    <row r="587" spans="1:14" x14ac:dyDescent="0.3">
      <c r="A587" s="1">
        <v>159</v>
      </c>
      <c r="B587" s="1" t="s">
        <v>570</v>
      </c>
      <c r="C587" s="5" t="s">
        <v>15</v>
      </c>
      <c r="D587" s="2">
        <v>45352</v>
      </c>
      <c r="E587" s="1" t="s">
        <v>276</v>
      </c>
      <c r="F587" s="1">
        <v>14101</v>
      </c>
      <c r="G587" s="1" t="s">
        <v>277</v>
      </c>
      <c r="H587" s="1" t="s">
        <v>571</v>
      </c>
      <c r="J587" s="1" t="s">
        <v>572</v>
      </c>
      <c r="K587" s="1" t="str">
        <f>VLOOKUP(J587,'[1]Base SCA 02 2026'!V:X,3,0)</f>
        <v xml:space="preserve">LEIDJANE MARTINS </v>
      </c>
      <c r="L587" s="1" t="str">
        <f>VLOOKUP(J587,'[1]Base SCA 02 2026'!V:Y,4,0)</f>
        <v xml:space="preserve">LEIDJANE MARTINS </v>
      </c>
      <c r="N587" s="1" t="str">
        <f t="shared" si="9"/>
        <v xml:space="preserve">LEIDJANE MARTINS </v>
      </c>
    </row>
    <row r="588" spans="1:14" x14ac:dyDescent="0.3">
      <c r="A588" s="1">
        <v>132</v>
      </c>
      <c r="B588" s="1" t="s">
        <v>573</v>
      </c>
      <c r="C588" s="5" t="s">
        <v>15</v>
      </c>
      <c r="D588" s="2">
        <v>44718</v>
      </c>
      <c r="E588" s="1" t="s">
        <v>574</v>
      </c>
      <c r="F588" s="1">
        <v>17101</v>
      </c>
      <c r="G588" s="1" t="s">
        <v>575</v>
      </c>
      <c r="H588" s="1" t="s">
        <v>571</v>
      </c>
      <c r="J588" s="1" t="s">
        <v>576</v>
      </c>
      <c r="K588" s="1" t="str">
        <f>VLOOKUP(J588,'[1]Base SCA 02 2026'!V:X,3,0)</f>
        <v>RAFAEL NETTO</v>
      </c>
      <c r="L588" s="1" t="str">
        <f>VLOOKUP(J588,'[1]Base SCA 02 2026'!V:Y,4,0)</f>
        <v>RAFAEL NETTO</v>
      </c>
      <c r="N588" s="1" t="str">
        <f t="shared" si="9"/>
        <v>RAFAEL NETTO</v>
      </c>
    </row>
    <row r="589" spans="1:14" x14ac:dyDescent="0.3">
      <c r="A589" s="1">
        <v>92</v>
      </c>
      <c r="B589" s="1" t="s">
        <v>50</v>
      </c>
      <c r="C589" s="5" t="s">
        <v>15</v>
      </c>
      <c r="D589" s="2">
        <v>42772</v>
      </c>
      <c r="E589" s="1" t="s">
        <v>578</v>
      </c>
      <c r="F589" s="1">
        <v>12101</v>
      </c>
      <c r="G589" s="1" t="s">
        <v>579</v>
      </c>
      <c r="H589" s="1" t="s">
        <v>571</v>
      </c>
      <c r="J589" s="1" t="s">
        <v>580</v>
      </c>
      <c r="K589" s="1" t="s">
        <v>581</v>
      </c>
      <c r="N589" s="1" t="str">
        <f t="shared" si="9"/>
        <v>RENAN ROVAI</v>
      </c>
    </row>
    <row r="590" spans="1:14" x14ac:dyDescent="0.3">
      <c r="A590" s="1">
        <v>157</v>
      </c>
      <c r="B590" s="1" t="s">
        <v>582</v>
      </c>
      <c r="C590" s="5" t="s">
        <v>15</v>
      </c>
      <c r="D590" s="2">
        <v>45355</v>
      </c>
      <c r="E590" s="1" t="s">
        <v>1234</v>
      </c>
      <c r="F590" s="1">
        <v>12104</v>
      </c>
      <c r="G590" s="1" t="s">
        <v>583</v>
      </c>
      <c r="H590" s="1" t="s">
        <v>571</v>
      </c>
      <c r="J590" s="1" t="s">
        <v>584</v>
      </c>
      <c r="K590" s="1" t="str">
        <f>VLOOKUP(J590,'[1]Base SCA 02 2026'!V:X,3,0)</f>
        <v>RAFAEL PREVELATO</v>
      </c>
      <c r="L590" s="1" t="str">
        <f>VLOOKUP(J590,'[1]Base SCA 02 2026'!V:Y,4,0)</f>
        <v>RAFAEL PREVELATO</v>
      </c>
      <c r="N590" s="1" t="str">
        <f t="shared" si="9"/>
        <v>RAFAEL PREVELATO</v>
      </c>
    </row>
    <row r="591" spans="1:14" x14ac:dyDescent="0.3">
      <c r="A591" s="1">
        <v>139</v>
      </c>
      <c r="B591" s="1" t="s">
        <v>586</v>
      </c>
      <c r="C591" s="5" t="s">
        <v>15</v>
      </c>
      <c r="D591" s="2">
        <v>44927</v>
      </c>
      <c r="E591" s="1" t="s">
        <v>587</v>
      </c>
      <c r="F591" s="1">
        <v>17101</v>
      </c>
      <c r="G591" s="1" t="s">
        <v>575</v>
      </c>
      <c r="H591" s="1" t="s">
        <v>571</v>
      </c>
      <c r="J591" s="1" t="s">
        <v>576</v>
      </c>
      <c r="K591" s="1" t="str">
        <f>VLOOKUP(J591,'[1]Base SCA 02 2026'!V:X,3,0)</f>
        <v>RAFAEL NETTO</v>
      </c>
      <c r="L591" s="1" t="str">
        <f>VLOOKUP(J591,'[1]Base SCA 02 2026'!V:Y,4,0)</f>
        <v>RAFAEL NETTO</v>
      </c>
      <c r="N591" s="1" t="str">
        <f t="shared" si="9"/>
        <v>RAFAEL NETTO</v>
      </c>
    </row>
    <row r="592" spans="1:14" x14ac:dyDescent="0.3">
      <c r="A592" s="1">
        <v>152</v>
      </c>
      <c r="B592" s="1" t="s">
        <v>588</v>
      </c>
      <c r="C592" s="5" t="s">
        <v>15</v>
      </c>
      <c r="D592" s="2">
        <v>45145</v>
      </c>
      <c r="E592" s="1" t="s">
        <v>589</v>
      </c>
      <c r="F592" s="1">
        <v>12106</v>
      </c>
      <c r="G592" s="1" t="s">
        <v>590</v>
      </c>
      <c r="H592" s="1" t="s">
        <v>571</v>
      </c>
      <c r="J592" s="1" t="s">
        <v>591</v>
      </c>
      <c r="K592" s="1" t="str">
        <f>VLOOKUP(J592,'[1]Base SCA 02 2026'!V:X,3,0)</f>
        <v>THALITA SABINA</v>
      </c>
      <c r="L592" s="1" t="str">
        <f>VLOOKUP(J592,'[1]Base SCA 02 2026'!V:Y,4,0)</f>
        <v>THALITA SABINA</v>
      </c>
      <c r="N592" s="1" t="str">
        <f t="shared" si="9"/>
        <v>THALITA SABINA</v>
      </c>
    </row>
    <row r="593" spans="1:14" x14ac:dyDescent="0.3">
      <c r="A593" s="1">
        <v>702550</v>
      </c>
      <c r="B593" s="1" t="s">
        <v>593</v>
      </c>
      <c r="C593" s="5" t="s">
        <v>15</v>
      </c>
      <c r="D593" s="2">
        <v>44452</v>
      </c>
      <c r="E593" s="1" t="s">
        <v>594</v>
      </c>
      <c r="F593" s="1">
        <v>11101</v>
      </c>
      <c r="G593" s="1" t="s">
        <v>595</v>
      </c>
      <c r="H593" s="1" t="s">
        <v>571</v>
      </c>
      <c r="J593" s="1" t="s">
        <v>596</v>
      </c>
      <c r="K593" s="1" t="s">
        <v>597</v>
      </c>
      <c r="N593" s="1" t="str">
        <f t="shared" si="9"/>
        <v>MIGUEL PRADO</v>
      </c>
    </row>
    <row r="594" spans="1:14" x14ac:dyDescent="0.3">
      <c r="A594" s="1">
        <v>21</v>
      </c>
      <c r="B594" s="1" t="s">
        <v>598</v>
      </c>
      <c r="C594" s="5" t="s">
        <v>15</v>
      </c>
      <c r="D594" s="2">
        <v>40708</v>
      </c>
      <c r="E594" s="1" t="s">
        <v>599</v>
      </c>
      <c r="F594" s="1">
        <v>12107</v>
      </c>
      <c r="G594" s="1" t="s">
        <v>600</v>
      </c>
      <c r="H594" s="1" t="s">
        <v>571</v>
      </c>
      <c r="J594" s="1" t="s">
        <v>601</v>
      </c>
      <c r="K594" s="1" t="str">
        <f>VLOOKUP(J594,'[1]Base SCA 02 2026'!V:X,3,0)</f>
        <v>THALITA SABINA</v>
      </c>
      <c r="L594" s="1" t="str">
        <f>VLOOKUP(J594,'[1]Base SCA 02 2026'!V:Y,4,0)</f>
        <v>THALITA SABINA</v>
      </c>
      <c r="N594" s="1" t="str">
        <f t="shared" si="9"/>
        <v>THALITA SABINA</v>
      </c>
    </row>
    <row r="595" spans="1:14" x14ac:dyDescent="0.3">
      <c r="A595" s="1">
        <v>115</v>
      </c>
      <c r="B595" s="1" t="s">
        <v>602</v>
      </c>
      <c r="C595" s="5" t="s">
        <v>15</v>
      </c>
      <c r="D595" s="2">
        <v>44361</v>
      </c>
      <c r="E595" s="1" t="s">
        <v>47</v>
      </c>
      <c r="F595" s="1">
        <v>35101</v>
      </c>
      <c r="G595" s="1" t="s">
        <v>48</v>
      </c>
      <c r="H595" s="1" t="s">
        <v>571</v>
      </c>
      <c r="J595" s="1" t="s">
        <v>49</v>
      </c>
      <c r="K595" s="1" t="str">
        <f>VLOOKUP(J595,'[1]Base SCA 02 2026'!V:X,3,0)</f>
        <v>ANDREZA LARDO</v>
      </c>
      <c r="L595" s="1" t="str">
        <f>VLOOKUP(J595,'[1]Base SCA 02 2026'!V:Y,4,0)</f>
        <v>ANDREZA LARDO</v>
      </c>
      <c r="M595" s="1" t="str">
        <f>VLOOKUP(J595,'[1]Base SCA 02 2026'!V:Z,5,0)</f>
        <v>NICHOLLAS OLIVEIRA</v>
      </c>
      <c r="N595" s="1" t="str">
        <f t="shared" si="9"/>
        <v>NICHOLLAS OLIVEIRA</v>
      </c>
    </row>
    <row r="596" spans="1:14" x14ac:dyDescent="0.3">
      <c r="A596" s="1">
        <v>177</v>
      </c>
      <c r="B596" s="1" t="s">
        <v>1561</v>
      </c>
      <c r="C596" s="5" t="s">
        <v>15</v>
      </c>
      <c r="D596" s="2">
        <v>46063</v>
      </c>
      <c r="E596" s="1" t="s">
        <v>603</v>
      </c>
      <c r="F596" s="1">
        <v>14105</v>
      </c>
      <c r="G596" s="1" t="s">
        <v>1442</v>
      </c>
      <c r="H596" s="1" t="s">
        <v>571</v>
      </c>
      <c r="J596" s="1" t="s">
        <v>607</v>
      </c>
      <c r="K596" s="1" t="str">
        <f>VLOOKUP(J596,'[1]Base SCA 02 2026'!V:X,3,0)</f>
        <v>JOÃO GORGULHO</v>
      </c>
      <c r="L596" s="1" t="str">
        <f>VLOOKUP(J596,'[1]Base SCA 02 2026'!V:Y,4,0)</f>
        <v>JOÃO GORGULHO</v>
      </c>
      <c r="N596" s="1" t="str">
        <f t="shared" si="9"/>
        <v>JOÃO GORGULHO</v>
      </c>
    </row>
    <row r="597" spans="1:14" x14ac:dyDescent="0.3">
      <c r="A597" s="1">
        <v>173</v>
      </c>
      <c r="B597" s="1" t="s">
        <v>1458</v>
      </c>
      <c r="C597" s="5" t="s">
        <v>15</v>
      </c>
      <c r="D597" s="2">
        <v>45965</v>
      </c>
      <c r="E597" s="1" t="s">
        <v>1459</v>
      </c>
      <c r="F597" s="1">
        <v>12104</v>
      </c>
      <c r="G597" s="1" t="s">
        <v>583</v>
      </c>
      <c r="H597" s="1" t="s">
        <v>571</v>
      </c>
      <c r="J597" s="1" t="s">
        <v>584</v>
      </c>
      <c r="K597" s="1" t="str">
        <f>VLOOKUP(J597,'[1]Base SCA 02 2026'!V:X,3,0)</f>
        <v>RAFAEL PREVELATO</v>
      </c>
      <c r="L597" s="1" t="str">
        <f>VLOOKUP(J597,'[1]Base SCA 02 2026'!V:Y,4,0)</f>
        <v>RAFAEL PREVELATO</v>
      </c>
      <c r="N597" s="1" t="str">
        <f t="shared" si="9"/>
        <v>RAFAEL PREVELATO</v>
      </c>
    </row>
    <row r="598" spans="1:14" x14ac:dyDescent="0.3">
      <c r="A598" s="1">
        <v>82</v>
      </c>
      <c r="B598" s="1" t="s">
        <v>604</v>
      </c>
      <c r="C598" s="5" t="s">
        <v>15</v>
      </c>
      <c r="D598" s="2">
        <v>43052</v>
      </c>
      <c r="E598" s="1" t="s">
        <v>605</v>
      </c>
      <c r="F598" s="1">
        <v>14102</v>
      </c>
      <c r="G598" s="1" t="s">
        <v>606</v>
      </c>
      <c r="H598" s="1" t="s">
        <v>571</v>
      </c>
      <c r="J598" s="1" t="s">
        <v>572</v>
      </c>
      <c r="K598" s="1" t="str">
        <f>VLOOKUP(J598,'[1]Base SCA 02 2026'!V:X,3,0)</f>
        <v xml:space="preserve">LEIDJANE MARTINS </v>
      </c>
      <c r="L598" s="1" t="str">
        <f>VLOOKUP(J598,'[1]Base SCA 02 2026'!V:Y,4,0)</f>
        <v xml:space="preserve">LEIDJANE MARTINS </v>
      </c>
      <c r="N598" s="1" t="str">
        <f t="shared" si="9"/>
        <v xml:space="preserve">LEIDJANE MARTINS </v>
      </c>
    </row>
    <row r="599" spans="1:14" x14ac:dyDescent="0.3">
      <c r="A599" s="1">
        <v>67</v>
      </c>
      <c r="B599" s="1" t="s">
        <v>608</v>
      </c>
      <c r="C599" s="5" t="s">
        <v>15</v>
      </c>
      <c r="D599" s="2">
        <v>42681</v>
      </c>
      <c r="E599" s="1" t="s">
        <v>609</v>
      </c>
      <c r="F599" s="1">
        <v>11101</v>
      </c>
      <c r="G599" s="1" t="s">
        <v>595</v>
      </c>
      <c r="H599" s="1" t="s">
        <v>571</v>
      </c>
      <c r="J599" s="1" t="s">
        <v>610</v>
      </c>
      <c r="K599" s="1" t="str">
        <f>VLOOKUP(J599,'[1]Base SCA 02 2026'!V:X,3,0)</f>
        <v>MIGUEL PRADO</v>
      </c>
      <c r="N599" s="1" t="str">
        <f t="shared" si="9"/>
        <v>MIGUEL PRADO</v>
      </c>
    </row>
    <row r="600" spans="1:14" x14ac:dyDescent="0.3">
      <c r="A600" s="1">
        <v>112</v>
      </c>
      <c r="B600" s="1" t="s">
        <v>611</v>
      </c>
      <c r="C600" s="5" t="s">
        <v>15</v>
      </c>
      <c r="D600" s="2">
        <v>44249</v>
      </c>
      <c r="E600" s="1" t="s">
        <v>1507</v>
      </c>
      <c r="F600" s="1">
        <v>35101</v>
      </c>
      <c r="G600" s="1" t="s">
        <v>48</v>
      </c>
      <c r="H600" s="1" t="s">
        <v>571</v>
      </c>
      <c r="J600" s="1" t="s">
        <v>49</v>
      </c>
      <c r="K600" s="1" t="str">
        <f>VLOOKUP(J600,'[1]Base SCA 02 2026'!V:X,3,0)</f>
        <v>ANDREZA LARDO</v>
      </c>
      <c r="L600" s="1" t="str">
        <f>VLOOKUP(J600,'[1]Base SCA 02 2026'!V:Y,4,0)</f>
        <v>ANDREZA LARDO</v>
      </c>
      <c r="M600" s="1" t="str">
        <f>VLOOKUP(J600,'[1]Base SCA 02 2026'!V:Z,5,0)</f>
        <v>NICHOLLAS OLIVEIRA</v>
      </c>
      <c r="N600" s="1" t="str">
        <f t="shared" si="9"/>
        <v>NICHOLLAS OLIVEIRA</v>
      </c>
    </row>
    <row r="601" spans="1:14" x14ac:dyDescent="0.3">
      <c r="A601" s="1">
        <v>174</v>
      </c>
      <c r="B601" s="1" t="s">
        <v>1460</v>
      </c>
      <c r="C601" s="5" t="s">
        <v>15</v>
      </c>
      <c r="D601" s="2">
        <v>45973</v>
      </c>
      <c r="E601" s="1" t="s">
        <v>77</v>
      </c>
      <c r="F601" s="1">
        <v>14105</v>
      </c>
      <c r="G601" s="1" t="s">
        <v>1442</v>
      </c>
      <c r="H601" s="1" t="s">
        <v>571</v>
      </c>
      <c r="J601" s="1" t="s">
        <v>49</v>
      </c>
      <c r="K601" s="1" t="str">
        <f>VLOOKUP(J601,'[1]Base SCA 02 2026'!V:X,3,0)</f>
        <v>ANDREZA LARDO</v>
      </c>
      <c r="L601" s="1" t="str">
        <f>VLOOKUP(J601,'[1]Base SCA 02 2026'!V:Y,4,0)</f>
        <v>ANDREZA LARDO</v>
      </c>
      <c r="M601" s="1" t="str">
        <f>VLOOKUP(J601,'[1]Base SCA 02 2026'!V:Z,5,0)</f>
        <v>NICHOLLAS OLIVEIRA</v>
      </c>
      <c r="N601" s="1" t="str">
        <f t="shared" si="9"/>
        <v>NICHOLLAS OLIVEIRA</v>
      </c>
    </row>
    <row r="602" spans="1:14" x14ac:dyDescent="0.3">
      <c r="A602" s="1">
        <v>161</v>
      </c>
      <c r="B602" s="1" t="s">
        <v>612</v>
      </c>
      <c r="C602" s="5" t="s">
        <v>15</v>
      </c>
      <c r="D602" s="2">
        <v>45446</v>
      </c>
      <c r="E602" s="1" t="s">
        <v>613</v>
      </c>
      <c r="F602" s="1">
        <v>12107</v>
      </c>
      <c r="G602" s="1" t="s">
        <v>600</v>
      </c>
      <c r="H602" s="1" t="s">
        <v>571</v>
      </c>
      <c r="J602" s="1" t="s">
        <v>601</v>
      </c>
      <c r="K602" s="1" t="str">
        <f>VLOOKUP(J602,'[1]Base SCA 02 2026'!V:X,3,0)</f>
        <v>THALITA SABINA</v>
      </c>
      <c r="L602" s="1" t="str">
        <f>VLOOKUP(J602,'[1]Base SCA 02 2026'!V:Y,4,0)</f>
        <v>THALITA SABINA</v>
      </c>
      <c r="N602" s="1" t="str">
        <f t="shared" si="9"/>
        <v>THALITA SABINA</v>
      </c>
    </row>
    <row r="603" spans="1:14" x14ac:dyDescent="0.3">
      <c r="A603" s="1">
        <v>120</v>
      </c>
      <c r="B603" s="1" t="s">
        <v>614</v>
      </c>
      <c r="C603" s="5" t="s">
        <v>15</v>
      </c>
      <c r="D603" s="2">
        <v>44447</v>
      </c>
      <c r="E603" s="1" t="s">
        <v>615</v>
      </c>
      <c r="F603" s="1">
        <v>12101</v>
      </c>
      <c r="G603" s="1" t="s">
        <v>579</v>
      </c>
      <c r="H603" s="1" t="s">
        <v>571</v>
      </c>
      <c r="J603" s="1" t="s">
        <v>616</v>
      </c>
      <c r="K603" s="1" t="s">
        <v>581</v>
      </c>
      <c r="N603" s="1" t="str">
        <f t="shared" si="9"/>
        <v>RENAN ROVAI</v>
      </c>
    </row>
    <row r="604" spans="1:14" x14ac:dyDescent="0.3">
      <c r="A604" s="1">
        <v>155</v>
      </c>
      <c r="B604" s="1" t="s">
        <v>617</v>
      </c>
      <c r="C604" s="5" t="s">
        <v>15</v>
      </c>
      <c r="D604" s="2">
        <v>45341</v>
      </c>
      <c r="E604" s="1" t="s">
        <v>47</v>
      </c>
      <c r="F604" s="1">
        <v>35101</v>
      </c>
      <c r="G604" s="1" t="s">
        <v>48</v>
      </c>
      <c r="H604" s="1" t="s">
        <v>571</v>
      </c>
      <c r="J604" s="1" t="s">
        <v>49</v>
      </c>
      <c r="K604" s="1" t="str">
        <f>VLOOKUP(J604,'[1]Base SCA 02 2026'!V:X,3,0)</f>
        <v>ANDREZA LARDO</v>
      </c>
      <c r="L604" s="1" t="str">
        <f>VLOOKUP(J604,'[1]Base SCA 02 2026'!V:Y,4,0)</f>
        <v>ANDREZA LARDO</v>
      </c>
      <c r="M604" s="1" t="str">
        <f>VLOOKUP(J604,'[1]Base SCA 02 2026'!V:Z,5,0)</f>
        <v>NICHOLLAS OLIVEIRA</v>
      </c>
      <c r="N604" s="1" t="str">
        <f t="shared" si="9"/>
        <v>NICHOLLAS OLIVEIRA</v>
      </c>
    </row>
    <row r="605" spans="1:14" x14ac:dyDescent="0.3">
      <c r="A605" s="1">
        <v>178</v>
      </c>
      <c r="B605" s="1" t="s">
        <v>1562</v>
      </c>
      <c r="C605" s="5" t="s">
        <v>15</v>
      </c>
      <c r="D605" s="2">
        <v>46062</v>
      </c>
      <c r="E605" s="1" t="s">
        <v>618</v>
      </c>
      <c r="F605" s="1">
        <v>35101</v>
      </c>
      <c r="G605" s="1" t="s">
        <v>48</v>
      </c>
      <c r="H605" s="1" t="s">
        <v>571</v>
      </c>
      <c r="J605" s="1" t="s">
        <v>49</v>
      </c>
      <c r="K605" s="1" t="str">
        <f>VLOOKUP(J605,'[1]Base SCA 02 2026'!V:X,3,0)</f>
        <v>ANDREZA LARDO</v>
      </c>
      <c r="L605" s="1" t="str">
        <f>VLOOKUP(J605,'[1]Base SCA 02 2026'!V:Y,4,0)</f>
        <v>ANDREZA LARDO</v>
      </c>
      <c r="M605" s="1" t="str">
        <f>VLOOKUP(J605,'[1]Base SCA 02 2026'!V:Z,5,0)</f>
        <v>NICHOLLAS OLIVEIRA</v>
      </c>
      <c r="N605" s="1" t="str">
        <f t="shared" si="9"/>
        <v>NICHOLLAS OLIVEIRA</v>
      </c>
    </row>
    <row r="606" spans="1:14" x14ac:dyDescent="0.3">
      <c r="A606" s="1">
        <v>170</v>
      </c>
      <c r="B606" s="1" t="s">
        <v>619</v>
      </c>
      <c r="C606" s="5" t="s">
        <v>15</v>
      </c>
      <c r="D606" s="2">
        <v>45602</v>
      </c>
      <c r="E606" s="1" t="s">
        <v>620</v>
      </c>
      <c r="F606" s="1">
        <v>12106</v>
      </c>
      <c r="G606" s="1" t="s">
        <v>590</v>
      </c>
      <c r="H606" s="1" t="s">
        <v>571</v>
      </c>
      <c r="J606" s="1" t="s">
        <v>591</v>
      </c>
      <c r="K606" s="1" t="str">
        <f>VLOOKUP(J606,'[1]Base SCA 02 2026'!V:X,3,0)</f>
        <v>THALITA SABINA</v>
      </c>
      <c r="L606" s="1" t="str">
        <f>VLOOKUP(J606,'[1]Base SCA 02 2026'!V:Y,4,0)</f>
        <v>THALITA SABINA</v>
      </c>
      <c r="N606" s="1" t="str">
        <f t="shared" si="9"/>
        <v>THALITA SABINA</v>
      </c>
    </row>
    <row r="607" spans="1:14" x14ac:dyDescent="0.3">
      <c r="A607" s="1">
        <v>179</v>
      </c>
      <c r="B607" s="1" t="s">
        <v>1563</v>
      </c>
      <c r="C607" s="5" t="s">
        <v>15</v>
      </c>
      <c r="D607" s="2">
        <v>46062</v>
      </c>
      <c r="E607" s="1" t="s">
        <v>77</v>
      </c>
      <c r="F607" s="1">
        <v>14105</v>
      </c>
      <c r="G607" s="1" t="s">
        <v>1442</v>
      </c>
      <c r="H607" s="1" t="s">
        <v>571</v>
      </c>
      <c r="J607" s="1" t="s">
        <v>49</v>
      </c>
      <c r="K607" s="1" t="str">
        <f>VLOOKUP(J607,'[1]Base SCA 02 2026'!V:X,3,0)</f>
        <v>ANDREZA LARDO</v>
      </c>
      <c r="L607" s="1" t="str">
        <f>VLOOKUP(J607,'[1]Base SCA 02 2026'!V:Y,4,0)</f>
        <v>ANDREZA LARDO</v>
      </c>
      <c r="M607" s="1" t="str">
        <f>VLOOKUP(J607,'[1]Base SCA 02 2026'!V:Z,5,0)</f>
        <v>NICHOLLAS OLIVEIRA</v>
      </c>
      <c r="N607" s="1" t="str">
        <f t="shared" si="9"/>
        <v>NICHOLLAS OLIVEIRA</v>
      </c>
    </row>
    <row r="608" spans="1:14" x14ac:dyDescent="0.3">
      <c r="A608" s="1">
        <v>176</v>
      </c>
      <c r="B608" s="1" t="s">
        <v>621</v>
      </c>
      <c r="C608" s="5" t="s">
        <v>15</v>
      </c>
      <c r="D608" s="2">
        <v>46034</v>
      </c>
      <c r="E608" s="1" t="s">
        <v>653</v>
      </c>
      <c r="F608" s="1">
        <v>35101</v>
      </c>
      <c r="G608" s="1" t="s">
        <v>48</v>
      </c>
      <c r="H608" s="1" t="s">
        <v>571</v>
      </c>
      <c r="J608" s="1" t="s">
        <v>49</v>
      </c>
      <c r="K608" s="1" t="str">
        <f>VLOOKUP(J608,'[1]Base SCA 02 2026'!V:X,3,0)</f>
        <v>ANDREZA LARDO</v>
      </c>
      <c r="L608" s="1" t="str">
        <f>VLOOKUP(J608,'[1]Base SCA 02 2026'!V:Y,4,0)</f>
        <v>ANDREZA LARDO</v>
      </c>
      <c r="M608" s="1" t="str">
        <f>VLOOKUP(J608,'[1]Base SCA 02 2026'!V:Z,5,0)</f>
        <v>NICHOLLAS OLIVEIRA</v>
      </c>
      <c r="N608" s="1" t="str">
        <f t="shared" si="9"/>
        <v>NICHOLLAS OLIVEIRA</v>
      </c>
    </row>
    <row r="609" spans="1:14" x14ac:dyDescent="0.3">
      <c r="A609" s="1">
        <v>114</v>
      </c>
      <c r="B609" s="1" t="s">
        <v>622</v>
      </c>
      <c r="C609" s="5" t="s">
        <v>15</v>
      </c>
      <c r="D609" s="2">
        <v>44263</v>
      </c>
      <c r="E609" s="1" t="s">
        <v>613</v>
      </c>
      <c r="F609" s="1">
        <v>12107</v>
      </c>
      <c r="G609" s="1" t="s">
        <v>600</v>
      </c>
      <c r="H609" s="1" t="s">
        <v>571</v>
      </c>
      <c r="J609" s="1" t="s">
        <v>601</v>
      </c>
      <c r="K609" s="1" t="str">
        <f>VLOOKUP(J609,'[1]Base SCA 02 2026'!V:X,3,0)</f>
        <v>THALITA SABINA</v>
      </c>
      <c r="L609" s="1" t="str">
        <f>VLOOKUP(J609,'[1]Base SCA 02 2026'!V:Y,4,0)</f>
        <v>THALITA SABINA</v>
      </c>
      <c r="N609" s="1" t="str">
        <f t="shared" si="9"/>
        <v>THALITA SABINA</v>
      </c>
    </row>
    <row r="610" spans="1:14" x14ac:dyDescent="0.3">
      <c r="A610" s="1">
        <v>59</v>
      </c>
      <c r="B610" s="1" t="s">
        <v>623</v>
      </c>
      <c r="C610" s="5" t="s">
        <v>15</v>
      </c>
      <c r="D610" s="2">
        <v>42339</v>
      </c>
      <c r="E610" s="1" t="s">
        <v>624</v>
      </c>
      <c r="F610" s="1">
        <v>14101</v>
      </c>
      <c r="G610" s="1" t="s">
        <v>277</v>
      </c>
      <c r="H610" s="1" t="s">
        <v>571</v>
      </c>
      <c r="J610" s="1" t="s">
        <v>572</v>
      </c>
      <c r="K610" s="1" t="str">
        <f>VLOOKUP(J610,'[1]Base SCA 02 2026'!V:X,3,0)</f>
        <v xml:space="preserve">LEIDJANE MARTINS </v>
      </c>
      <c r="L610" s="1" t="str">
        <f>VLOOKUP(J610,'[1]Base SCA 02 2026'!V:Y,4,0)</f>
        <v xml:space="preserve">LEIDJANE MARTINS </v>
      </c>
      <c r="N610" s="1" t="str">
        <f t="shared" si="9"/>
        <v xml:space="preserve">LEIDJANE MARTINS </v>
      </c>
    </row>
    <row r="611" spans="1:14" x14ac:dyDescent="0.3">
      <c r="A611" s="1">
        <v>55</v>
      </c>
      <c r="B611" s="1" t="s">
        <v>625</v>
      </c>
      <c r="C611" s="5" t="s">
        <v>15</v>
      </c>
      <c r="D611" s="2">
        <v>42303</v>
      </c>
      <c r="E611" s="1" t="s">
        <v>626</v>
      </c>
      <c r="F611" s="1">
        <v>15101</v>
      </c>
      <c r="G611" s="1" t="s">
        <v>447</v>
      </c>
      <c r="H611" s="1" t="s">
        <v>571</v>
      </c>
      <c r="J611" s="1" t="s">
        <v>627</v>
      </c>
      <c r="K611" s="1" t="str">
        <f>VLOOKUP(J611,'[1]Base SCA 02 2026'!V:X,3,0)</f>
        <v>RAFAEL VIRGENS</v>
      </c>
      <c r="L611" s="1" t="str">
        <f>VLOOKUP(J611,'[1]Base SCA 02 2026'!V:Y,4,0)</f>
        <v>RAFAEL VIRGENS</v>
      </c>
      <c r="N611" s="1" t="str">
        <f t="shared" si="9"/>
        <v>RAFAEL VIRGENS</v>
      </c>
    </row>
    <row r="612" spans="1:14" x14ac:dyDescent="0.3">
      <c r="A612" s="1">
        <v>1013</v>
      </c>
      <c r="B612" s="1" t="s">
        <v>628</v>
      </c>
      <c r="C612" s="5" t="s">
        <v>15</v>
      </c>
      <c r="D612" s="2">
        <v>44317</v>
      </c>
      <c r="E612" s="1" t="s">
        <v>629</v>
      </c>
      <c r="F612" s="1">
        <v>11101</v>
      </c>
      <c r="G612" s="1" t="s">
        <v>595</v>
      </c>
      <c r="H612" s="1" t="s">
        <v>571</v>
      </c>
      <c r="J612" s="1" t="s">
        <v>630</v>
      </c>
    </row>
    <row r="613" spans="1:14" x14ac:dyDescent="0.3">
      <c r="A613" s="1">
        <v>149</v>
      </c>
      <c r="B613" s="1" t="s">
        <v>631</v>
      </c>
      <c r="C613" s="5" t="s">
        <v>15</v>
      </c>
      <c r="D613" s="2">
        <v>45048</v>
      </c>
      <c r="E613" s="1" t="s">
        <v>632</v>
      </c>
      <c r="F613" s="1">
        <v>12103</v>
      </c>
      <c r="G613" s="1" t="s">
        <v>633</v>
      </c>
      <c r="H613" s="1" t="s">
        <v>571</v>
      </c>
      <c r="J613" s="1" t="s">
        <v>634</v>
      </c>
      <c r="K613" s="1" t="str">
        <f>VLOOKUP(J613,'[1]Base SCA 02 2026'!V:X,3,0)</f>
        <v>RAFAEL PREVELATO</v>
      </c>
      <c r="L613" s="1" t="str">
        <f>VLOOKUP(J613,'[1]Base SCA 02 2026'!V:Y,4,0)</f>
        <v>RAFAEL PREVELATO</v>
      </c>
      <c r="N613" s="1" t="str">
        <f t="shared" si="9"/>
        <v>RAFAEL PREVELATO</v>
      </c>
    </row>
    <row r="614" spans="1:14" x14ac:dyDescent="0.3">
      <c r="A614" s="1">
        <v>62</v>
      </c>
      <c r="B614" s="1" t="s">
        <v>635</v>
      </c>
      <c r="C614" s="5" t="s">
        <v>15</v>
      </c>
      <c r="D614" s="2">
        <v>42562</v>
      </c>
      <c r="E614" s="1" t="s">
        <v>636</v>
      </c>
      <c r="F614" s="1">
        <v>12103</v>
      </c>
      <c r="G614" s="1" t="s">
        <v>633</v>
      </c>
      <c r="H614" s="1" t="s">
        <v>571</v>
      </c>
      <c r="J614" s="1" t="s">
        <v>634</v>
      </c>
      <c r="K614" s="1" t="str">
        <f>VLOOKUP(J614,'[1]Base SCA 02 2026'!V:X,3,0)</f>
        <v>RAFAEL PREVELATO</v>
      </c>
      <c r="L614" s="1" t="str">
        <f>VLOOKUP(J614,'[1]Base SCA 02 2026'!V:Y,4,0)</f>
        <v>RAFAEL PREVELATO</v>
      </c>
      <c r="N614" s="1" t="str">
        <f t="shared" si="9"/>
        <v>RAFAEL PREVELATO</v>
      </c>
    </row>
    <row r="615" spans="1:14" x14ac:dyDescent="0.3">
      <c r="A615" s="1">
        <v>142</v>
      </c>
      <c r="B615" s="1" t="s">
        <v>637</v>
      </c>
      <c r="C615" s="5" t="s">
        <v>15</v>
      </c>
      <c r="D615" s="2">
        <v>44991</v>
      </c>
      <c r="E615" s="1" t="s">
        <v>1361</v>
      </c>
      <c r="F615" s="1">
        <v>35101</v>
      </c>
      <c r="G615" s="1" t="s">
        <v>48</v>
      </c>
      <c r="H615" s="1" t="s">
        <v>571</v>
      </c>
      <c r="J615" s="1" t="s">
        <v>49</v>
      </c>
      <c r="K615" s="1" t="str">
        <f>VLOOKUP(J615,'[1]Base SCA 02 2026'!V:X,3,0)</f>
        <v>ANDREZA LARDO</v>
      </c>
      <c r="L615" s="1" t="str">
        <f>VLOOKUP(J615,'[1]Base SCA 02 2026'!V:Y,4,0)</f>
        <v>ANDREZA LARDO</v>
      </c>
      <c r="M615" s="1" t="str">
        <f>VLOOKUP(J615,'[1]Base SCA 02 2026'!V:Z,5,0)</f>
        <v>NICHOLLAS OLIVEIRA</v>
      </c>
      <c r="N615" s="1" t="str">
        <f t="shared" si="9"/>
        <v>NICHOLLAS OLIVEIRA</v>
      </c>
    </row>
    <row r="616" spans="1:14" x14ac:dyDescent="0.3">
      <c r="A616" s="1">
        <v>106</v>
      </c>
      <c r="B616" s="1" t="s">
        <v>638</v>
      </c>
      <c r="C616" s="5" t="s">
        <v>15</v>
      </c>
      <c r="D616" s="2">
        <v>43773</v>
      </c>
      <c r="E616" s="1" t="s">
        <v>639</v>
      </c>
      <c r="F616" s="1">
        <v>15101</v>
      </c>
      <c r="G616" s="1" t="s">
        <v>447</v>
      </c>
      <c r="H616" s="1" t="s">
        <v>571</v>
      </c>
      <c r="J616" s="1" t="s">
        <v>627</v>
      </c>
      <c r="K616" s="1" t="s">
        <v>597</v>
      </c>
      <c r="L616" s="1" t="str">
        <f>VLOOKUP(J616,'[1]Base SCA 02 2026'!V:Y,4,0)</f>
        <v>RAFAEL VIRGENS</v>
      </c>
      <c r="N616" s="1" t="str">
        <f t="shared" si="9"/>
        <v>RAFAEL VIRGENS</v>
      </c>
    </row>
    <row r="617" spans="1:14" x14ac:dyDescent="0.3">
      <c r="A617" s="1">
        <v>90</v>
      </c>
      <c r="B617" s="1" t="s">
        <v>640</v>
      </c>
      <c r="C617" s="5" t="s">
        <v>15</v>
      </c>
      <c r="D617" s="2">
        <v>43314</v>
      </c>
      <c r="E617" s="1" t="s">
        <v>641</v>
      </c>
      <c r="F617" s="1">
        <v>17101</v>
      </c>
      <c r="G617" s="1" t="s">
        <v>575</v>
      </c>
      <c r="H617" s="1" t="s">
        <v>571</v>
      </c>
      <c r="J617" s="1" t="s">
        <v>576</v>
      </c>
      <c r="K617" s="1" t="s">
        <v>597</v>
      </c>
      <c r="L617" s="1" t="str">
        <f>VLOOKUP(J617,'[1]Base SCA 02 2026'!V:Y,4,0)</f>
        <v>RAFAEL NETTO</v>
      </c>
      <c r="N617" s="1" t="str">
        <f t="shared" si="9"/>
        <v>RAFAEL NETTO</v>
      </c>
    </row>
    <row r="618" spans="1:14" x14ac:dyDescent="0.3">
      <c r="A618" s="1">
        <v>118</v>
      </c>
      <c r="B618" s="1" t="s">
        <v>585</v>
      </c>
      <c r="C618" s="5" t="s">
        <v>15</v>
      </c>
      <c r="D618" s="2">
        <v>44410</v>
      </c>
      <c r="E618" s="1" t="s">
        <v>642</v>
      </c>
      <c r="F618" s="1">
        <v>12101</v>
      </c>
      <c r="G618" s="1" t="s">
        <v>579</v>
      </c>
      <c r="H618" s="1" t="s">
        <v>571</v>
      </c>
      <c r="J618" s="1" t="s">
        <v>643</v>
      </c>
      <c r="K618" s="1" t="s">
        <v>581</v>
      </c>
      <c r="N618" s="1" t="str">
        <f t="shared" si="9"/>
        <v>RENAN ROVAI</v>
      </c>
    </row>
    <row r="619" spans="1:14" x14ac:dyDescent="0.3">
      <c r="A619" s="1">
        <v>180</v>
      </c>
      <c r="B619" s="1" t="s">
        <v>1564</v>
      </c>
      <c r="C619" s="5" t="s">
        <v>15</v>
      </c>
      <c r="D619" s="2">
        <v>46071</v>
      </c>
      <c r="E619" s="1" t="s">
        <v>1565</v>
      </c>
      <c r="F619" s="1">
        <v>12106</v>
      </c>
      <c r="G619" s="1" t="s">
        <v>590</v>
      </c>
      <c r="H619" s="1" t="s">
        <v>571</v>
      </c>
      <c r="J619" s="1" t="s">
        <v>591</v>
      </c>
      <c r="K619" s="1" t="str">
        <f>VLOOKUP(J619,'[1]Base SCA 02 2026'!V:X,3,0)</f>
        <v>THALITA SABINA</v>
      </c>
      <c r="L619" s="1" t="str">
        <f>VLOOKUP(J619,'[1]Base SCA 02 2026'!V:Y,4,0)</f>
        <v>THALITA SABINA</v>
      </c>
      <c r="N619" s="1" t="str">
        <f t="shared" si="9"/>
        <v>THALITA SABINA</v>
      </c>
    </row>
    <row r="620" spans="1:14" x14ac:dyDescent="0.3">
      <c r="A620" s="1">
        <v>80</v>
      </c>
      <c r="B620" s="1" t="s">
        <v>644</v>
      </c>
      <c r="C620" s="5" t="s">
        <v>15</v>
      </c>
      <c r="D620" s="2">
        <v>43045</v>
      </c>
      <c r="E620" s="1" t="s">
        <v>645</v>
      </c>
      <c r="F620" s="1">
        <v>11101</v>
      </c>
      <c r="G620" s="1" t="s">
        <v>595</v>
      </c>
      <c r="H620" s="1" t="s">
        <v>571</v>
      </c>
      <c r="J620" s="1" t="s">
        <v>646</v>
      </c>
      <c r="K620" s="1" t="s">
        <v>597</v>
      </c>
      <c r="N620" s="1" t="str">
        <f t="shared" si="9"/>
        <v>MIGUEL PRADO</v>
      </c>
    </row>
    <row r="621" spans="1:14" x14ac:dyDescent="0.3">
      <c r="A621" s="1">
        <v>175</v>
      </c>
      <c r="B621" s="1" t="s">
        <v>647</v>
      </c>
      <c r="C621" s="5" t="s">
        <v>15</v>
      </c>
      <c r="D621" s="2">
        <v>46013</v>
      </c>
      <c r="E621" s="1" t="s">
        <v>603</v>
      </c>
      <c r="F621" s="1">
        <v>14105</v>
      </c>
      <c r="G621" s="1" t="s">
        <v>1442</v>
      </c>
      <c r="H621" s="1" t="s">
        <v>571</v>
      </c>
      <c r="J621" s="1" t="s">
        <v>634</v>
      </c>
      <c r="K621" s="1" t="str">
        <f>VLOOKUP(J621,'[1]Base SCA 02 2026'!V:X,3,0)</f>
        <v>RAFAEL PREVELATO</v>
      </c>
      <c r="L621" s="1" t="str">
        <f>VLOOKUP(J621,'[1]Base SCA 02 2026'!V:Y,4,0)</f>
        <v>RAFAEL PREVELATO</v>
      </c>
      <c r="N621" s="1" t="str">
        <f t="shared" si="9"/>
        <v>RAFAEL PREVELATO</v>
      </c>
    </row>
    <row r="622" spans="1:14" x14ac:dyDescent="0.3">
      <c r="A622" s="1">
        <v>109</v>
      </c>
      <c r="B622" s="1" t="s">
        <v>648</v>
      </c>
      <c r="C622" s="5" t="s">
        <v>15</v>
      </c>
      <c r="D622" s="2">
        <v>44228</v>
      </c>
      <c r="E622" s="1" t="s">
        <v>1534</v>
      </c>
      <c r="F622" s="1">
        <v>12101</v>
      </c>
      <c r="G622" s="1" t="s">
        <v>579</v>
      </c>
      <c r="H622" s="1" t="s">
        <v>571</v>
      </c>
      <c r="J622" s="1" t="s">
        <v>649</v>
      </c>
      <c r="K622" s="1" t="str">
        <f>VLOOKUP(J622,'[1]Base SCA 02 2026'!V:X,3,0)</f>
        <v>RENAN ROVAI</v>
      </c>
      <c r="N622" s="1" t="str">
        <f t="shared" si="9"/>
        <v>RENAN ROVAI</v>
      </c>
    </row>
    <row r="623" spans="1:14" x14ac:dyDescent="0.3">
      <c r="A623" s="1">
        <v>138</v>
      </c>
      <c r="B623" s="1" t="s">
        <v>650</v>
      </c>
      <c r="C623" s="5" t="s">
        <v>15</v>
      </c>
      <c r="D623" s="2">
        <v>44909</v>
      </c>
      <c r="E623" s="1" t="s">
        <v>651</v>
      </c>
      <c r="F623" s="1">
        <v>12105</v>
      </c>
      <c r="G623" s="1" t="s">
        <v>393</v>
      </c>
      <c r="H623" s="1" t="s">
        <v>571</v>
      </c>
      <c r="J623" s="1" t="s">
        <v>607</v>
      </c>
      <c r="K623" s="1" t="str">
        <f>VLOOKUP(J623,'[1]Base SCA 02 2026'!V:X,3,0)</f>
        <v>JOÃO GORGULHO</v>
      </c>
      <c r="L623" s="1" t="str">
        <f>VLOOKUP(J623,'[1]Base SCA 02 2026'!V:Y,4,0)</f>
        <v>JOÃO GORGULHO</v>
      </c>
      <c r="N623" s="1" t="str">
        <f t="shared" si="9"/>
        <v>JOÃO GORGULHO</v>
      </c>
    </row>
    <row r="624" spans="1:14" x14ac:dyDescent="0.3">
      <c r="A624" s="1">
        <v>172</v>
      </c>
      <c r="B624" s="1" t="s">
        <v>1302</v>
      </c>
      <c r="C624" s="5" t="s">
        <v>92</v>
      </c>
      <c r="D624" s="2">
        <v>45859</v>
      </c>
      <c r="E624" s="1" t="s">
        <v>77</v>
      </c>
      <c r="F624" s="1">
        <v>14105</v>
      </c>
      <c r="G624" s="1" t="s">
        <v>1442</v>
      </c>
      <c r="H624" s="1" t="s">
        <v>571</v>
      </c>
      <c r="I624" s="2">
        <v>46055</v>
      </c>
      <c r="J624" s="1" t="s">
        <v>49</v>
      </c>
      <c r="K624" s="1" t="str">
        <f>VLOOKUP(J624,'[1]Base SCA 02 2026'!V:X,3,0)</f>
        <v>ANDREZA LARDO</v>
      </c>
      <c r="L624" s="1" t="str">
        <f>VLOOKUP(J624,'[1]Base SCA 02 2026'!V:Y,4,0)</f>
        <v>ANDREZA LARDO</v>
      </c>
      <c r="M624" s="1" t="str">
        <f>VLOOKUP(J624,'[1]Base SCA 02 2026'!V:Z,5,0)</f>
        <v>NICHOLLAS OLIVEIRA</v>
      </c>
      <c r="N624" s="1" t="str">
        <f t="shared" si="9"/>
        <v>NICHOLLAS OLIVEIRA</v>
      </c>
    </row>
    <row r="625" spans="1:14" x14ac:dyDescent="0.3">
      <c r="A625" s="1">
        <v>163</v>
      </c>
      <c r="B625" s="1" t="s">
        <v>652</v>
      </c>
      <c r="C625" s="5" t="s">
        <v>15</v>
      </c>
      <c r="D625" s="2">
        <v>45490</v>
      </c>
      <c r="E625" s="1" t="s">
        <v>618</v>
      </c>
      <c r="F625" s="1">
        <v>35101</v>
      </c>
      <c r="G625" s="1" t="s">
        <v>48</v>
      </c>
      <c r="H625" s="1" t="s">
        <v>571</v>
      </c>
      <c r="J625" s="1" t="s">
        <v>49</v>
      </c>
      <c r="K625" s="1" t="str">
        <f>VLOOKUP(J625,'[1]Base SCA 02 2026'!V:X,3,0)</f>
        <v>ANDREZA LARDO</v>
      </c>
      <c r="L625" s="1" t="str">
        <f>VLOOKUP(J625,'[1]Base SCA 02 2026'!V:Y,4,0)</f>
        <v>ANDREZA LARDO</v>
      </c>
      <c r="M625" s="1" t="str">
        <f>VLOOKUP(J625,'[1]Base SCA 02 2026'!V:Z,5,0)</f>
        <v>NICHOLLAS OLIVEIRA</v>
      </c>
      <c r="N625" s="1" t="str">
        <f t="shared" si="9"/>
        <v>NICHOLLAS OLIVEIRA</v>
      </c>
    </row>
    <row r="626" spans="1:14" x14ac:dyDescent="0.3">
      <c r="A626" s="1">
        <v>126</v>
      </c>
      <c r="B626" s="1" t="s">
        <v>654</v>
      </c>
      <c r="C626" s="5" t="s">
        <v>92</v>
      </c>
      <c r="D626" s="2">
        <v>44593</v>
      </c>
      <c r="E626" s="1" t="s">
        <v>655</v>
      </c>
      <c r="F626" s="1">
        <v>12103</v>
      </c>
      <c r="G626" s="1" t="s">
        <v>633</v>
      </c>
      <c r="H626" s="1" t="s">
        <v>571</v>
      </c>
      <c r="I626" s="2">
        <v>46057</v>
      </c>
      <c r="J626" s="1" t="s">
        <v>634</v>
      </c>
      <c r="K626" s="1" t="str">
        <f>VLOOKUP(J626,'[1]Base SCA 02 2026'!V:X,3,0)</f>
        <v>RAFAEL PREVELATO</v>
      </c>
      <c r="L626" s="1" t="str">
        <f>VLOOKUP(J626,'[1]Base SCA 02 2026'!V:Y,4,0)</f>
        <v>RAFAEL PREVELATO</v>
      </c>
      <c r="N626" s="1" t="str">
        <f t="shared" si="9"/>
        <v>RAFAEL PREVELATO</v>
      </c>
    </row>
    <row r="627" spans="1:14" x14ac:dyDescent="0.3">
      <c r="A627" s="1">
        <v>151</v>
      </c>
      <c r="B627" s="1" t="s">
        <v>656</v>
      </c>
      <c r="C627" s="5" t="s">
        <v>15</v>
      </c>
      <c r="D627" s="2">
        <v>45048</v>
      </c>
      <c r="E627" s="1" t="s">
        <v>599</v>
      </c>
      <c r="F627" s="1">
        <v>12107</v>
      </c>
      <c r="G627" s="1" t="s">
        <v>600</v>
      </c>
      <c r="H627" s="1" t="s">
        <v>571</v>
      </c>
      <c r="J627" s="1" t="s">
        <v>601</v>
      </c>
      <c r="K627" s="1" t="str">
        <f>VLOOKUP(J627,'[1]Base SCA 02 2026'!V:X,3,0)</f>
        <v>THALITA SABINA</v>
      </c>
      <c r="L627" s="1" t="str">
        <f>VLOOKUP(J627,'[1]Base SCA 02 2026'!V:Y,4,0)</f>
        <v>THALITA SABINA</v>
      </c>
      <c r="N627" s="1" t="str">
        <f t="shared" si="9"/>
        <v>THALITA SABINA</v>
      </c>
    </row>
    <row r="628" spans="1:14" x14ac:dyDescent="0.3">
      <c r="A628" s="1">
        <v>105320</v>
      </c>
      <c r="B628" s="1" t="s">
        <v>658</v>
      </c>
      <c r="C628" s="5" t="s">
        <v>15</v>
      </c>
      <c r="D628" s="2">
        <v>42786</v>
      </c>
      <c r="E628" s="1" t="s">
        <v>245</v>
      </c>
      <c r="F628" s="1">
        <v>37101</v>
      </c>
      <c r="G628" s="1" t="s">
        <v>214</v>
      </c>
      <c r="H628" s="1" t="s">
        <v>657</v>
      </c>
      <c r="J628" s="1" t="s">
        <v>215</v>
      </c>
      <c r="K628" s="1" t="str">
        <f>VLOOKUP(J628,'[1]Base SCA 02 2026'!V:X,3,0)</f>
        <v>CARSON NEVES</v>
      </c>
      <c r="L628" s="1" t="str">
        <f>VLOOKUP(J628,'[1]Base SCA 02 2026'!V:Y,4,0)</f>
        <v>CARSON NEVES</v>
      </c>
      <c r="N628" s="1" t="str">
        <f t="shared" si="9"/>
        <v>CARSON NEVES</v>
      </c>
    </row>
    <row r="629" spans="1:14" x14ac:dyDescent="0.3">
      <c r="A629" s="1">
        <v>104845</v>
      </c>
      <c r="B629" s="1" t="s">
        <v>659</v>
      </c>
      <c r="C629" s="5" t="s">
        <v>15</v>
      </c>
      <c r="D629" s="2">
        <v>42324</v>
      </c>
      <c r="E629" s="1" t="s">
        <v>31</v>
      </c>
      <c r="F629" s="1">
        <v>38101</v>
      </c>
      <c r="G629" s="1" t="s">
        <v>35</v>
      </c>
      <c r="H629" s="1" t="s">
        <v>657</v>
      </c>
      <c r="J629" s="1" t="s">
        <v>36</v>
      </c>
      <c r="K629" s="1" t="str">
        <f>VLOOKUP(J629,'[1]Base SCA 02 2026'!V:X,3,0)</f>
        <v xml:space="preserve">LEIDJANE MARTINS </v>
      </c>
      <c r="L629" s="1" t="str">
        <f>VLOOKUP(J629,'[1]Base SCA 02 2026'!V:Y,4,0)</f>
        <v xml:space="preserve">LEIDJANE MARTINS </v>
      </c>
      <c r="M629" s="1" t="str">
        <f>VLOOKUP(J629,'[1]Base SCA 02 2026'!V:Z,5,0)</f>
        <v>DENIS ACASSIO</v>
      </c>
      <c r="N629" s="1" t="str">
        <f t="shared" si="9"/>
        <v>DENIS ACASSIO</v>
      </c>
    </row>
    <row r="630" spans="1:14" x14ac:dyDescent="0.3">
      <c r="A630" s="1">
        <v>702547</v>
      </c>
      <c r="B630" s="1" t="s">
        <v>663</v>
      </c>
      <c r="C630" s="5" t="s">
        <v>15</v>
      </c>
      <c r="D630" s="2">
        <v>44452</v>
      </c>
      <c r="E630" s="1" t="s">
        <v>507</v>
      </c>
      <c r="F630" s="1">
        <v>24201</v>
      </c>
      <c r="G630" s="1" t="s">
        <v>664</v>
      </c>
      <c r="H630" s="1" t="s">
        <v>661</v>
      </c>
      <c r="J630" s="1" t="s">
        <v>665</v>
      </c>
      <c r="K630" s="1" t="str">
        <f>VLOOKUP(J630,'[1]Base SCA 02 2026'!V:X,3,0)</f>
        <v>CRISOSTOMO CASTRO</v>
      </c>
      <c r="L630" s="1" t="str">
        <f>VLOOKUP(J630,'[1]Base SCA 02 2026'!V:Y,4,0)</f>
        <v>MATHEUS ALMEIDA</v>
      </c>
      <c r="M630" s="1" t="str">
        <f>VLOOKUP(J630,'[1]Base SCA 02 2026'!V:Z,5,0)</f>
        <v>JOSIEL NEVES</v>
      </c>
      <c r="N630" s="1" t="str">
        <f t="shared" si="9"/>
        <v>JOSIEL NEVES</v>
      </c>
    </row>
    <row r="631" spans="1:14" x14ac:dyDescent="0.3">
      <c r="A631" s="1">
        <v>703075</v>
      </c>
      <c r="B631" s="1" t="s">
        <v>668</v>
      </c>
      <c r="C631" s="5" t="s">
        <v>15</v>
      </c>
      <c r="D631" s="2">
        <v>44713</v>
      </c>
      <c r="E631" s="1" t="s">
        <v>31</v>
      </c>
      <c r="F631" s="1">
        <v>24102</v>
      </c>
      <c r="G631" s="1" t="s">
        <v>669</v>
      </c>
      <c r="H631" s="1" t="s">
        <v>661</v>
      </c>
      <c r="J631" s="1" t="s">
        <v>670</v>
      </c>
      <c r="K631" s="1" t="str">
        <f>VLOOKUP(J631,'[1]Base SCA 02 2026'!V:X,3,0)</f>
        <v>CRISOSTOMO CASTRO</v>
      </c>
      <c r="L631" s="1" t="str">
        <f>VLOOKUP(J631,'[1]Base SCA 02 2026'!V:Y,4,0)</f>
        <v>YAN SILVA</v>
      </c>
      <c r="M631" s="1" t="str">
        <f>VLOOKUP(J631,'[1]Base SCA 02 2026'!V:Z,5,0)</f>
        <v>JUNIO TEIXEIRA /GEOVANI RORIZ</v>
      </c>
      <c r="N631" s="1" t="str">
        <f t="shared" si="9"/>
        <v>JUNIO TEIXEIRA /GEOVANI RORIZ</v>
      </c>
    </row>
    <row r="632" spans="1:14" x14ac:dyDescent="0.3">
      <c r="A632" s="1">
        <v>703681</v>
      </c>
      <c r="B632" s="1" t="s">
        <v>671</v>
      </c>
      <c r="C632" s="5" t="s">
        <v>15</v>
      </c>
      <c r="D632" s="2">
        <v>45019</v>
      </c>
      <c r="E632" s="1" t="s">
        <v>31</v>
      </c>
      <c r="F632" s="1">
        <v>24102</v>
      </c>
      <c r="G632" s="1" t="s">
        <v>669</v>
      </c>
      <c r="H632" s="1" t="s">
        <v>661</v>
      </c>
      <c r="J632" s="1" t="s">
        <v>672</v>
      </c>
      <c r="K632" s="1" t="str">
        <f>VLOOKUP(J632,'[1]Base SCA 02 2026'!V:X,3,0)</f>
        <v>CRISOSTOMO CASTRO</v>
      </c>
      <c r="L632" s="1" t="str">
        <f>VLOOKUP(J632,'[1]Base SCA 02 2026'!V:Y,4,0)</f>
        <v>YAN SILVA</v>
      </c>
      <c r="M632" s="1" t="str">
        <f>VLOOKUP(J632,'[1]Base SCA 02 2026'!V:Z,5,0)</f>
        <v>JUNIO TEIXEIRA /GEOVANI RORIZ</v>
      </c>
      <c r="N632" s="1" t="str">
        <f t="shared" si="9"/>
        <v>JUNIO TEIXEIRA /GEOVANI RORIZ</v>
      </c>
    </row>
    <row r="633" spans="1:14" x14ac:dyDescent="0.3">
      <c r="A633" s="1">
        <v>703726</v>
      </c>
      <c r="B633" s="1" t="s">
        <v>673</v>
      </c>
      <c r="C633" s="5" t="s">
        <v>15</v>
      </c>
      <c r="D633" s="2">
        <v>45026</v>
      </c>
      <c r="E633" s="1" t="s">
        <v>109</v>
      </c>
      <c r="F633" s="1">
        <v>32102</v>
      </c>
      <c r="G633" s="1" t="s">
        <v>674</v>
      </c>
      <c r="H633" s="1" t="s">
        <v>661</v>
      </c>
      <c r="J633" s="1" t="s">
        <v>675</v>
      </c>
      <c r="K633" s="1" t="str">
        <f>VLOOKUP(J633,'[1]Base SCA 02 2026'!V:X,3,0)</f>
        <v>RAFAEL XAVIER</v>
      </c>
      <c r="L633" s="1" t="str">
        <f>VLOOKUP(J633,'[1]Base SCA 02 2026'!V:Y,4,0)</f>
        <v>FERNANDO GUILHERME</v>
      </c>
      <c r="M633" s="1" t="str">
        <f>VLOOKUP(J633,'[1]Base SCA 02 2026'!V:Z,5,0)</f>
        <v>MARCELO DOURADO</v>
      </c>
      <c r="N633" s="1" t="str">
        <f t="shared" si="9"/>
        <v>MARCELO DOURADO</v>
      </c>
    </row>
    <row r="634" spans="1:14" x14ac:dyDescent="0.3">
      <c r="A634" s="1">
        <v>100881</v>
      </c>
      <c r="B634" s="1" t="s">
        <v>677</v>
      </c>
      <c r="C634" s="5" t="s">
        <v>15</v>
      </c>
      <c r="D634" s="2">
        <v>42444</v>
      </c>
      <c r="E634" s="1" t="s">
        <v>251</v>
      </c>
      <c r="F634" s="1">
        <v>39601</v>
      </c>
      <c r="G634" s="1" t="s">
        <v>660</v>
      </c>
      <c r="H634" s="1" t="s">
        <v>661</v>
      </c>
      <c r="J634" s="1" t="s">
        <v>662</v>
      </c>
      <c r="K634" s="1" t="str">
        <f>VLOOKUP(J634,'[1]Base SCA 02 2026'!V:X,3,0)</f>
        <v>CRISOSTOMO CASTRO</v>
      </c>
      <c r="L634" s="1" t="str">
        <f>VLOOKUP(J634,'[1]Base SCA 02 2026'!V:Y,4,0)</f>
        <v>MATHEUS ALMEIDA</v>
      </c>
      <c r="N634" s="1" t="str">
        <f t="shared" si="9"/>
        <v>MATHEUS ALMEIDA</v>
      </c>
    </row>
    <row r="635" spans="1:14" x14ac:dyDescent="0.3">
      <c r="A635" s="1">
        <v>705079</v>
      </c>
      <c r="B635" s="1" t="s">
        <v>678</v>
      </c>
      <c r="C635" s="5" t="s">
        <v>15</v>
      </c>
      <c r="D635" s="2">
        <v>45671</v>
      </c>
      <c r="E635" s="1" t="s">
        <v>31</v>
      </c>
      <c r="F635" s="1">
        <v>24102</v>
      </c>
      <c r="G635" s="1" t="s">
        <v>669</v>
      </c>
      <c r="H635" s="1" t="s">
        <v>661</v>
      </c>
      <c r="J635" s="1" t="s">
        <v>672</v>
      </c>
      <c r="K635" s="1" t="str">
        <f>VLOOKUP(J635,'[1]Base SCA 02 2026'!V:X,3,0)</f>
        <v>CRISOSTOMO CASTRO</v>
      </c>
      <c r="L635" s="1" t="str">
        <f>VLOOKUP(J635,'[1]Base SCA 02 2026'!V:Y,4,0)</f>
        <v>YAN SILVA</v>
      </c>
      <c r="M635" s="1" t="str">
        <f>VLOOKUP(J635,'[1]Base SCA 02 2026'!V:Z,5,0)</f>
        <v>JUNIO TEIXEIRA /GEOVANI RORIZ</v>
      </c>
      <c r="N635" s="1" t="str">
        <f t="shared" si="9"/>
        <v>JUNIO TEIXEIRA /GEOVANI RORIZ</v>
      </c>
    </row>
    <row r="636" spans="1:14" x14ac:dyDescent="0.3">
      <c r="A636" s="1">
        <v>702946</v>
      </c>
      <c r="B636" s="1" t="s">
        <v>679</v>
      </c>
      <c r="C636" s="5" t="s">
        <v>15</v>
      </c>
      <c r="D636" s="2">
        <v>44663</v>
      </c>
      <c r="E636" s="1" t="s">
        <v>31</v>
      </c>
      <c r="F636" s="1">
        <v>24102</v>
      </c>
      <c r="G636" s="1" t="s">
        <v>669</v>
      </c>
      <c r="H636" s="1" t="s">
        <v>661</v>
      </c>
      <c r="J636" s="1" t="s">
        <v>680</v>
      </c>
      <c r="K636" s="1" t="str">
        <f>VLOOKUP(J636,'[1]Base SCA 02 2026'!V:X,3,0)</f>
        <v>CRISOSTOMO CASTRO</v>
      </c>
      <c r="L636" s="1" t="str">
        <f>VLOOKUP(J636,'[1]Base SCA 02 2026'!V:Y,4,0)</f>
        <v>YAN SILVA</v>
      </c>
      <c r="M636" s="1" t="str">
        <f>VLOOKUP(J636,'[1]Base SCA 02 2026'!V:Z,5,0)</f>
        <v>JUNIO TEIXEIRA /GEOVANI RORIZ</v>
      </c>
      <c r="N636" s="1" t="str">
        <f t="shared" si="9"/>
        <v>JUNIO TEIXEIRA /GEOVANI RORIZ</v>
      </c>
    </row>
    <row r="637" spans="1:14" x14ac:dyDescent="0.3">
      <c r="A637" s="1">
        <v>703720</v>
      </c>
      <c r="B637" s="1" t="s">
        <v>681</v>
      </c>
      <c r="C637" s="5" t="s">
        <v>15</v>
      </c>
      <c r="D637" s="2">
        <v>45026</v>
      </c>
      <c r="E637" s="1" t="s">
        <v>16</v>
      </c>
      <c r="F637" s="1">
        <v>24102</v>
      </c>
      <c r="G637" s="1" t="s">
        <v>669</v>
      </c>
      <c r="H637" s="1" t="s">
        <v>661</v>
      </c>
      <c r="J637" s="1" t="s">
        <v>682</v>
      </c>
      <c r="K637" s="1" t="str">
        <f>VLOOKUP(J637,'[1]Base SCA 02 2026'!V:X,3,0)</f>
        <v>CRISOSTOMO CASTRO</v>
      </c>
      <c r="L637" s="1" t="str">
        <f>VLOOKUP(J637,'[1]Base SCA 02 2026'!V:Y,4,0)</f>
        <v>JOÃO FILHO</v>
      </c>
      <c r="M637" s="1" t="str">
        <f>VLOOKUP(J637,'[1]Base SCA 02 2026'!V:Z,5,0)</f>
        <v>ALCENO JUNIOR/JOÃO MARCOS</v>
      </c>
      <c r="N637" s="1" t="str">
        <f t="shared" si="9"/>
        <v>ALCENO JUNIOR/JOÃO MARCOS</v>
      </c>
    </row>
    <row r="638" spans="1:14" x14ac:dyDescent="0.3">
      <c r="A638" s="1">
        <v>702157</v>
      </c>
      <c r="B638" s="1" t="s">
        <v>683</v>
      </c>
      <c r="C638" s="5" t="s">
        <v>15</v>
      </c>
      <c r="D638" s="2">
        <v>44299</v>
      </c>
      <c r="E638" s="1" t="s">
        <v>31</v>
      </c>
      <c r="F638" s="1">
        <v>24102</v>
      </c>
      <c r="G638" s="1" t="s">
        <v>669</v>
      </c>
      <c r="H638" s="1" t="s">
        <v>661</v>
      </c>
      <c r="J638" s="1" t="s">
        <v>680</v>
      </c>
      <c r="K638" s="1" t="str">
        <f>VLOOKUP(J638,'[1]Base SCA 02 2026'!V:X,3,0)</f>
        <v>CRISOSTOMO CASTRO</v>
      </c>
      <c r="L638" s="1" t="str">
        <f>VLOOKUP(J638,'[1]Base SCA 02 2026'!V:Y,4,0)</f>
        <v>YAN SILVA</v>
      </c>
      <c r="M638" s="1" t="str">
        <f>VLOOKUP(J638,'[1]Base SCA 02 2026'!V:Z,5,0)</f>
        <v>JUNIO TEIXEIRA /GEOVANI RORIZ</v>
      </c>
      <c r="N638" s="1" t="str">
        <f t="shared" si="9"/>
        <v>JUNIO TEIXEIRA /GEOVANI RORIZ</v>
      </c>
    </row>
    <row r="639" spans="1:14" x14ac:dyDescent="0.3">
      <c r="A639" s="1">
        <v>705859</v>
      </c>
      <c r="B639" s="1" t="s">
        <v>1566</v>
      </c>
      <c r="C639" s="5" t="s">
        <v>15</v>
      </c>
      <c r="D639" s="2">
        <v>46063</v>
      </c>
      <c r="E639" s="1" t="s">
        <v>31</v>
      </c>
      <c r="F639" s="1">
        <v>24102</v>
      </c>
      <c r="G639" s="1" t="s">
        <v>669</v>
      </c>
      <c r="H639" s="1" t="s">
        <v>661</v>
      </c>
      <c r="J639" s="1" t="s">
        <v>670</v>
      </c>
      <c r="K639" s="1" t="str">
        <f>VLOOKUP(J639,'[1]Base SCA 02 2026'!V:X,3,0)</f>
        <v>CRISOSTOMO CASTRO</v>
      </c>
      <c r="L639" s="1" t="str">
        <f>VLOOKUP(J639,'[1]Base SCA 02 2026'!V:Y,4,0)</f>
        <v>YAN SILVA</v>
      </c>
      <c r="M639" s="1" t="str">
        <f>VLOOKUP(J639,'[1]Base SCA 02 2026'!V:Z,5,0)</f>
        <v>JUNIO TEIXEIRA /GEOVANI RORIZ</v>
      </c>
      <c r="N639" s="1" t="str">
        <f t="shared" si="9"/>
        <v>JUNIO TEIXEIRA /GEOVANI RORIZ</v>
      </c>
    </row>
    <row r="640" spans="1:14" x14ac:dyDescent="0.3">
      <c r="A640" s="1">
        <v>704673</v>
      </c>
      <c r="B640" s="1" t="s">
        <v>685</v>
      </c>
      <c r="C640" s="5" t="s">
        <v>15</v>
      </c>
      <c r="D640" s="2">
        <v>45489</v>
      </c>
      <c r="E640" s="1" t="s">
        <v>686</v>
      </c>
      <c r="F640" s="1">
        <v>39601</v>
      </c>
      <c r="G640" s="1" t="s">
        <v>660</v>
      </c>
      <c r="H640" s="1" t="s">
        <v>661</v>
      </c>
      <c r="J640" s="1" t="s">
        <v>684</v>
      </c>
      <c r="K640" s="1" t="str">
        <f>VLOOKUP(J640,'[1]Base SCA 02 2026'!V:X,3,0)</f>
        <v>CRISOSTOMO CASTRO</v>
      </c>
      <c r="L640" s="1" t="str">
        <f>VLOOKUP(J640,'[1]Base SCA 02 2026'!V:Y,4,0)</f>
        <v>MATHEUS ALMEIDA</v>
      </c>
      <c r="M640" s="1" t="str">
        <f>VLOOKUP(J640,'[1]Base SCA 02 2026'!V:Z,5,0)</f>
        <v>ADALTON/JANILSON RORIZ/MARIVALDO</v>
      </c>
      <c r="N640" s="1" t="str">
        <f t="shared" si="9"/>
        <v>ADALTON/JANILSON RORIZ/MARIVALDO</v>
      </c>
    </row>
    <row r="641" spans="1:14" x14ac:dyDescent="0.3">
      <c r="A641" s="1">
        <v>101618</v>
      </c>
      <c r="B641" s="1" t="s">
        <v>46</v>
      </c>
      <c r="C641" s="5" t="s">
        <v>15</v>
      </c>
      <c r="D641" s="2">
        <v>41106</v>
      </c>
      <c r="E641" s="1" t="s">
        <v>1235</v>
      </c>
      <c r="F641" s="1">
        <v>39203</v>
      </c>
      <c r="G641" s="1" t="s">
        <v>709</v>
      </c>
      <c r="H641" s="1" t="s">
        <v>661</v>
      </c>
      <c r="J641" s="1" t="s">
        <v>710</v>
      </c>
      <c r="K641" s="1" t="str">
        <f>VLOOKUP(J641,'[1]Base SCA 02 2026'!V:X,3,0)</f>
        <v>ANDREZA LARDO</v>
      </c>
      <c r="L641" s="1" t="str">
        <f>VLOOKUP(J641,'[1]Base SCA 02 2026'!V:Y,4,0)</f>
        <v>ANDREZA LARDO</v>
      </c>
      <c r="M641" s="1" t="str">
        <f>VLOOKUP(J641,'[1]Base SCA 02 2026'!V:Z,5,0)</f>
        <v>ADENILTON RODRIGUES</v>
      </c>
      <c r="N641" s="1" t="str">
        <f t="shared" si="9"/>
        <v>ADENILTON RODRIGUES</v>
      </c>
    </row>
    <row r="642" spans="1:14" x14ac:dyDescent="0.3">
      <c r="A642" s="1">
        <v>705150</v>
      </c>
      <c r="B642" s="1" t="s">
        <v>1147</v>
      </c>
      <c r="C642" s="5" t="s">
        <v>15</v>
      </c>
      <c r="D642" s="2">
        <v>45705</v>
      </c>
      <c r="E642" s="1" t="s">
        <v>31</v>
      </c>
      <c r="F642" s="1">
        <v>24102</v>
      </c>
      <c r="G642" s="1" t="s">
        <v>669</v>
      </c>
      <c r="H642" s="1" t="s">
        <v>661</v>
      </c>
      <c r="J642" s="1" t="s">
        <v>680</v>
      </c>
      <c r="K642" s="1" t="str">
        <f>VLOOKUP(J642,'[1]Base SCA 02 2026'!V:X,3,0)</f>
        <v>CRISOSTOMO CASTRO</v>
      </c>
      <c r="L642" s="1" t="str">
        <f>VLOOKUP(J642,'[1]Base SCA 02 2026'!V:Y,4,0)</f>
        <v>YAN SILVA</v>
      </c>
      <c r="M642" s="1" t="str">
        <f>VLOOKUP(J642,'[1]Base SCA 02 2026'!V:Z,5,0)</f>
        <v>JUNIO TEIXEIRA /GEOVANI RORIZ</v>
      </c>
      <c r="N642" s="1" t="str">
        <f t="shared" si="9"/>
        <v>JUNIO TEIXEIRA /GEOVANI RORIZ</v>
      </c>
    </row>
    <row r="643" spans="1:14" x14ac:dyDescent="0.3">
      <c r="A643" s="1">
        <v>702797</v>
      </c>
      <c r="B643" s="1" t="s">
        <v>687</v>
      </c>
      <c r="C643" s="5" t="s">
        <v>15</v>
      </c>
      <c r="D643" s="2">
        <v>44607</v>
      </c>
      <c r="E643" s="1" t="s">
        <v>146</v>
      </c>
      <c r="F643" s="1">
        <v>39601</v>
      </c>
      <c r="G643" s="1" t="s">
        <v>660</v>
      </c>
      <c r="H643" s="1" t="s">
        <v>661</v>
      </c>
      <c r="J643" s="1" t="s">
        <v>684</v>
      </c>
      <c r="K643" s="1" t="str">
        <f>VLOOKUP(J643,'[1]Base SCA 02 2026'!V:X,3,0)</f>
        <v>CRISOSTOMO CASTRO</v>
      </c>
      <c r="L643" s="1" t="str">
        <f>VLOOKUP(J643,'[1]Base SCA 02 2026'!V:Y,4,0)</f>
        <v>MATHEUS ALMEIDA</v>
      </c>
      <c r="M643" s="1" t="str">
        <f>VLOOKUP(J643,'[1]Base SCA 02 2026'!V:Z,5,0)</f>
        <v>ADALTON/JANILSON RORIZ/MARIVALDO</v>
      </c>
      <c r="N643" s="1" t="str">
        <f t="shared" ref="N643:N706" si="10">IF(M643&lt;&gt;"", M643, IF(L643&lt;&gt;"", L643, K643))</f>
        <v>ADALTON/JANILSON RORIZ/MARIVALDO</v>
      </c>
    </row>
    <row r="644" spans="1:14" x14ac:dyDescent="0.3">
      <c r="A644" s="1">
        <v>702594</v>
      </c>
      <c r="B644" s="1" t="s">
        <v>688</v>
      </c>
      <c r="C644" s="5" t="s">
        <v>15</v>
      </c>
      <c r="D644" s="2">
        <v>44474</v>
      </c>
      <c r="E644" s="1" t="s">
        <v>507</v>
      </c>
      <c r="F644" s="1">
        <v>24201</v>
      </c>
      <c r="G644" s="1" t="s">
        <v>664</v>
      </c>
      <c r="H644" s="1" t="s">
        <v>661</v>
      </c>
      <c r="J644" s="1" t="s">
        <v>665</v>
      </c>
      <c r="K644" s="1" t="str">
        <f>VLOOKUP(J644,'[1]Base SCA 02 2026'!V:X,3,0)</f>
        <v>CRISOSTOMO CASTRO</v>
      </c>
      <c r="L644" s="1" t="str">
        <f>VLOOKUP(J644,'[1]Base SCA 02 2026'!V:Y,4,0)</f>
        <v>MATHEUS ALMEIDA</v>
      </c>
      <c r="M644" s="1" t="str">
        <f>VLOOKUP(J644,'[1]Base SCA 02 2026'!V:Z,5,0)</f>
        <v>JOSIEL NEVES</v>
      </c>
      <c r="N644" s="1" t="str">
        <f t="shared" si="10"/>
        <v>JOSIEL NEVES</v>
      </c>
    </row>
    <row r="645" spans="1:14" x14ac:dyDescent="0.3">
      <c r="A645" s="1">
        <v>702578</v>
      </c>
      <c r="B645" s="1" t="s">
        <v>689</v>
      </c>
      <c r="C645" s="5" t="s">
        <v>15</v>
      </c>
      <c r="D645" s="2">
        <v>44474</v>
      </c>
      <c r="E645" s="1" t="s">
        <v>60</v>
      </c>
      <c r="F645" s="1">
        <v>24102</v>
      </c>
      <c r="G645" s="1" t="s">
        <v>669</v>
      </c>
      <c r="H645" s="1" t="s">
        <v>661</v>
      </c>
      <c r="J645" s="1" t="s">
        <v>682</v>
      </c>
      <c r="K645" s="1" t="str">
        <f>VLOOKUP(J645,'[1]Base SCA 02 2026'!V:X,3,0)</f>
        <v>CRISOSTOMO CASTRO</v>
      </c>
      <c r="L645" s="1" t="str">
        <f>VLOOKUP(J645,'[1]Base SCA 02 2026'!V:Y,4,0)</f>
        <v>JOÃO FILHO</v>
      </c>
      <c r="M645" s="1" t="str">
        <f>VLOOKUP(J645,'[1]Base SCA 02 2026'!V:Z,5,0)</f>
        <v>ALCENO JUNIOR/JOÃO MARCOS</v>
      </c>
      <c r="N645" s="1" t="str">
        <f t="shared" si="10"/>
        <v>ALCENO JUNIOR/JOÃO MARCOS</v>
      </c>
    </row>
    <row r="646" spans="1:14" x14ac:dyDescent="0.3">
      <c r="A646" s="1">
        <v>705736</v>
      </c>
      <c r="B646" s="1" t="s">
        <v>690</v>
      </c>
      <c r="C646" s="5" t="s">
        <v>15</v>
      </c>
      <c r="D646" s="2">
        <v>45972</v>
      </c>
      <c r="E646" s="1" t="s">
        <v>31</v>
      </c>
      <c r="F646" s="1">
        <v>24102</v>
      </c>
      <c r="G646" s="1" t="s">
        <v>669</v>
      </c>
      <c r="H646" s="1" t="s">
        <v>661</v>
      </c>
      <c r="J646" s="1" t="s">
        <v>680</v>
      </c>
      <c r="K646" s="1" t="str">
        <f>VLOOKUP(J646,'[1]Base SCA 02 2026'!V:X,3,0)</f>
        <v>CRISOSTOMO CASTRO</v>
      </c>
      <c r="L646" s="1" t="str">
        <f>VLOOKUP(J646,'[1]Base SCA 02 2026'!V:Y,4,0)</f>
        <v>YAN SILVA</v>
      </c>
      <c r="M646" s="1" t="str">
        <f>VLOOKUP(J646,'[1]Base SCA 02 2026'!V:Z,5,0)</f>
        <v>JUNIO TEIXEIRA /GEOVANI RORIZ</v>
      </c>
      <c r="N646" s="1" t="str">
        <f t="shared" si="10"/>
        <v>JUNIO TEIXEIRA /GEOVANI RORIZ</v>
      </c>
    </row>
    <row r="647" spans="1:14" x14ac:dyDescent="0.3">
      <c r="A647" s="1">
        <v>705296</v>
      </c>
      <c r="B647" s="1" t="s">
        <v>1188</v>
      </c>
      <c r="C647" s="5" t="s">
        <v>15</v>
      </c>
      <c r="D647" s="2">
        <v>45762</v>
      </c>
      <c r="E647" s="1" t="s">
        <v>31</v>
      </c>
      <c r="F647" s="1">
        <v>39601</v>
      </c>
      <c r="G647" s="1" t="s">
        <v>660</v>
      </c>
      <c r="H647" s="1" t="s">
        <v>661</v>
      </c>
      <c r="J647" s="1" t="s">
        <v>684</v>
      </c>
      <c r="K647" s="1" t="str">
        <f>VLOOKUP(J647,'[1]Base SCA 02 2026'!V:X,3,0)</f>
        <v>CRISOSTOMO CASTRO</v>
      </c>
      <c r="L647" s="1" t="str">
        <f>VLOOKUP(J647,'[1]Base SCA 02 2026'!V:Y,4,0)</f>
        <v>MATHEUS ALMEIDA</v>
      </c>
      <c r="M647" s="1" t="str">
        <f>VLOOKUP(J647,'[1]Base SCA 02 2026'!V:Z,5,0)</f>
        <v>ADALTON/JANILSON RORIZ/MARIVALDO</v>
      </c>
      <c r="N647" s="1" t="str">
        <f t="shared" si="10"/>
        <v>ADALTON/JANILSON RORIZ/MARIVALDO</v>
      </c>
    </row>
    <row r="648" spans="1:14" x14ac:dyDescent="0.3">
      <c r="A648" s="1">
        <v>705422</v>
      </c>
      <c r="B648" s="1" t="s">
        <v>1237</v>
      </c>
      <c r="C648" s="5" t="s">
        <v>92</v>
      </c>
      <c r="D648" s="2">
        <v>45791</v>
      </c>
      <c r="E648" s="1" t="s">
        <v>31</v>
      </c>
      <c r="F648" s="1">
        <v>39601</v>
      </c>
      <c r="G648" s="1" t="s">
        <v>660</v>
      </c>
      <c r="H648" s="1" t="s">
        <v>661</v>
      </c>
      <c r="I648" s="2">
        <v>46058</v>
      </c>
      <c r="J648" s="1" t="s">
        <v>684</v>
      </c>
      <c r="K648" s="1" t="str">
        <f>VLOOKUP(J648,'[1]Base SCA 02 2026'!V:X,3,0)</f>
        <v>CRISOSTOMO CASTRO</v>
      </c>
      <c r="L648" s="1" t="str">
        <f>VLOOKUP(J648,'[1]Base SCA 02 2026'!V:Y,4,0)</f>
        <v>MATHEUS ALMEIDA</v>
      </c>
      <c r="M648" s="1" t="str">
        <f>VLOOKUP(J648,'[1]Base SCA 02 2026'!V:Z,5,0)</f>
        <v>ADALTON/JANILSON RORIZ/MARIVALDO</v>
      </c>
      <c r="N648" s="1" t="str">
        <f t="shared" si="10"/>
        <v>ADALTON/JANILSON RORIZ/MARIVALDO</v>
      </c>
    </row>
    <row r="649" spans="1:14" x14ac:dyDescent="0.3">
      <c r="A649" s="1">
        <v>703949</v>
      </c>
      <c r="B649" s="1" t="s">
        <v>691</v>
      </c>
      <c r="C649" s="5" t="s">
        <v>15</v>
      </c>
      <c r="D649" s="2">
        <v>45089</v>
      </c>
      <c r="E649" s="1" t="s">
        <v>686</v>
      </c>
      <c r="F649" s="1">
        <v>39601</v>
      </c>
      <c r="G649" s="1" t="s">
        <v>660</v>
      </c>
      <c r="H649" s="1" t="s">
        <v>661</v>
      </c>
      <c r="J649" s="1" t="s">
        <v>684</v>
      </c>
      <c r="K649" s="1" t="str">
        <f>VLOOKUP(J649,'[1]Base SCA 02 2026'!V:X,3,0)</f>
        <v>CRISOSTOMO CASTRO</v>
      </c>
      <c r="L649" s="1" t="str">
        <f>VLOOKUP(J649,'[1]Base SCA 02 2026'!V:Y,4,0)</f>
        <v>MATHEUS ALMEIDA</v>
      </c>
      <c r="M649" s="1" t="str">
        <f>VLOOKUP(J649,'[1]Base SCA 02 2026'!V:Z,5,0)</f>
        <v>ADALTON/JANILSON RORIZ/MARIVALDO</v>
      </c>
      <c r="N649" s="1" t="str">
        <f t="shared" si="10"/>
        <v>ADALTON/JANILSON RORIZ/MARIVALDO</v>
      </c>
    </row>
    <row r="650" spans="1:14" x14ac:dyDescent="0.3">
      <c r="A650" s="1">
        <v>705060</v>
      </c>
      <c r="B650" s="1" t="s">
        <v>692</v>
      </c>
      <c r="C650" s="5" t="s">
        <v>15</v>
      </c>
      <c r="D650" s="2">
        <v>45635</v>
      </c>
      <c r="E650" s="1" t="s">
        <v>31</v>
      </c>
      <c r="F650" s="1">
        <v>24102</v>
      </c>
      <c r="G650" s="1" t="s">
        <v>669</v>
      </c>
      <c r="H650" s="1" t="s">
        <v>661</v>
      </c>
      <c r="J650" s="1" t="s">
        <v>672</v>
      </c>
      <c r="K650" s="1" t="str">
        <f>VLOOKUP(J650,'[1]Base SCA 02 2026'!V:X,3,0)</f>
        <v>CRISOSTOMO CASTRO</v>
      </c>
      <c r="L650" s="1" t="str">
        <f>VLOOKUP(J650,'[1]Base SCA 02 2026'!V:Y,4,0)</f>
        <v>YAN SILVA</v>
      </c>
      <c r="M650" s="1" t="str">
        <f>VLOOKUP(J650,'[1]Base SCA 02 2026'!V:Z,5,0)</f>
        <v>JUNIO TEIXEIRA /GEOVANI RORIZ</v>
      </c>
      <c r="N650" s="1" t="str">
        <f t="shared" si="10"/>
        <v>JUNIO TEIXEIRA /GEOVANI RORIZ</v>
      </c>
    </row>
    <row r="651" spans="1:14" x14ac:dyDescent="0.3">
      <c r="A651" s="1">
        <v>705548</v>
      </c>
      <c r="B651" s="1" t="s">
        <v>1328</v>
      </c>
      <c r="C651" s="5" t="s">
        <v>15</v>
      </c>
      <c r="D651" s="2">
        <v>45881</v>
      </c>
      <c r="E651" s="1" t="s">
        <v>16</v>
      </c>
      <c r="F651" s="1">
        <v>24102</v>
      </c>
      <c r="G651" s="1" t="s">
        <v>669</v>
      </c>
      <c r="H651" s="1" t="s">
        <v>661</v>
      </c>
      <c r="J651" s="1" t="s">
        <v>682</v>
      </c>
      <c r="K651" s="1" t="str">
        <f>VLOOKUP(J651,'[1]Base SCA 02 2026'!V:X,3,0)</f>
        <v>CRISOSTOMO CASTRO</v>
      </c>
      <c r="L651" s="1" t="str">
        <f>VLOOKUP(J651,'[1]Base SCA 02 2026'!V:Y,4,0)</f>
        <v>JOÃO FILHO</v>
      </c>
      <c r="M651" s="1" t="str">
        <f>VLOOKUP(J651,'[1]Base SCA 02 2026'!V:Z,5,0)</f>
        <v>ALCENO JUNIOR/JOÃO MARCOS</v>
      </c>
      <c r="N651" s="1" t="str">
        <f t="shared" si="10"/>
        <v>ALCENO JUNIOR/JOÃO MARCOS</v>
      </c>
    </row>
    <row r="652" spans="1:14" x14ac:dyDescent="0.3">
      <c r="A652" s="1">
        <v>705848</v>
      </c>
      <c r="B652" s="1" t="s">
        <v>1567</v>
      </c>
      <c r="C652" s="5" t="s">
        <v>15</v>
      </c>
      <c r="D652" s="2">
        <v>46063</v>
      </c>
      <c r="E652" s="1" t="s">
        <v>31</v>
      </c>
      <c r="F652" s="1">
        <v>24102</v>
      </c>
      <c r="G652" s="1" t="s">
        <v>669</v>
      </c>
      <c r="H652" s="1" t="s">
        <v>661</v>
      </c>
      <c r="J652" s="1" t="s">
        <v>670</v>
      </c>
      <c r="K652" s="1" t="str">
        <f>VLOOKUP(J652,'[1]Base SCA 02 2026'!V:X,3,0)</f>
        <v>CRISOSTOMO CASTRO</v>
      </c>
      <c r="L652" s="1" t="str">
        <f>VLOOKUP(J652,'[1]Base SCA 02 2026'!V:Y,4,0)</f>
        <v>YAN SILVA</v>
      </c>
      <c r="M652" s="1" t="str">
        <f>VLOOKUP(J652,'[1]Base SCA 02 2026'!V:Z,5,0)</f>
        <v>JUNIO TEIXEIRA /GEOVANI RORIZ</v>
      </c>
      <c r="N652" s="1" t="str">
        <f t="shared" si="10"/>
        <v>JUNIO TEIXEIRA /GEOVANI RORIZ</v>
      </c>
    </row>
    <row r="653" spans="1:14" x14ac:dyDescent="0.3">
      <c r="A653" s="1">
        <v>703632</v>
      </c>
      <c r="B653" s="1" t="s">
        <v>693</v>
      </c>
      <c r="C653" s="5" t="s">
        <v>233</v>
      </c>
      <c r="D653" s="2">
        <v>44991</v>
      </c>
      <c r="E653" s="1" t="s">
        <v>457</v>
      </c>
      <c r="F653" s="1">
        <v>24102</v>
      </c>
      <c r="G653" s="1" t="s">
        <v>669</v>
      </c>
      <c r="H653" s="1" t="s">
        <v>661</v>
      </c>
      <c r="J653" s="1" t="s">
        <v>682</v>
      </c>
      <c r="K653" s="1" t="str">
        <f>VLOOKUP(J653,'[1]Base SCA 02 2026'!V:X,3,0)</f>
        <v>CRISOSTOMO CASTRO</v>
      </c>
      <c r="L653" s="1" t="str">
        <f>VLOOKUP(J653,'[1]Base SCA 02 2026'!V:Y,4,0)</f>
        <v>JOÃO FILHO</v>
      </c>
      <c r="M653" s="1" t="str">
        <f>VLOOKUP(J653,'[1]Base SCA 02 2026'!V:Z,5,0)</f>
        <v>ALCENO JUNIOR/JOÃO MARCOS</v>
      </c>
      <c r="N653" s="1" t="str">
        <f t="shared" si="10"/>
        <v>ALCENO JUNIOR/JOÃO MARCOS</v>
      </c>
    </row>
    <row r="654" spans="1:14" x14ac:dyDescent="0.3">
      <c r="A654" s="1">
        <v>703013</v>
      </c>
      <c r="B654" s="1" t="s">
        <v>695</v>
      </c>
      <c r="C654" s="5" t="s">
        <v>15</v>
      </c>
      <c r="D654" s="2">
        <v>44691</v>
      </c>
      <c r="E654" s="1" t="s">
        <v>507</v>
      </c>
      <c r="F654" s="1">
        <v>24102</v>
      </c>
      <c r="G654" s="1" t="s">
        <v>669</v>
      </c>
      <c r="H654" s="1" t="s">
        <v>661</v>
      </c>
      <c r="J654" s="1" t="s">
        <v>670</v>
      </c>
      <c r="K654" s="1" t="str">
        <f>VLOOKUP(J654,'[1]Base SCA 02 2026'!V:X,3,0)</f>
        <v>CRISOSTOMO CASTRO</v>
      </c>
      <c r="L654" s="1" t="str">
        <f>VLOOKUP(J654,'[1]Base SCA 02 2026'!V:Y,4,0)</f>
        <v>YAN SILVA</v>
      </c>
      <c r="M654" s="1" t="str">
        <f>VLOOKUP(J654,'[1]Base SCA 02 2026'!V:Z,5,0)</f>
        <v>JUNIO TEIXEIRA /GEOVANI RORIZ</v>
      </c>
      <c r="N654" s="1" t="str">
        <f t="shared" si="10"/>
        <v>JUNIO TEIXEIRA /GEOVANI RORIZ</v>
      </c>
    </row>
    <row r="655" spans="1:14" x14ac:dyDescent="0.3">
      <c r="A655" s="1">
        <v>705603</v>
      </c>
      <c r="B655" s="1" t="s">
        <v>1362</v>
      </c>
      <c r="C655" s="5" t="s">
        <v>15</v>
      </c>
      <c r="D655" s="2">
        <v>45902</v>
      </c>
      <c r="E655" s="1" t="s">
        <v>381</v>
      </c>
      <c r="F655" s="1">
        <v>39602</v>
      </c>
      <c r="G655" s="1" t="s">
        <v>699</v>
      </c>
      <c r="H655" s="1" t="s">
        <v>661</v>
      </c>
      <c r="J655" s="1" t="s">
        <v>700</v>
      </c>
      <c r="K655" s="1" t="str">
        <f>VLOOKUP(J655,'[1]Base SCA 02 2026'!V:X,3,0)</f>
        <v>CRISOSTOMO CASTRO</v>
      </c>
      <c r="L655" s="1" t="str">
        <f>VLOOKUP(J655,'[1]Base SCA 02 2026'!V:Y,4,0)</f>
        <v>MATHEUS ALMEIDA</v>
      </c>
      <c r="M655" s="1" t="str">
        <f>VLOOKUP(J655,'[1]Base SCA 02 2026'!V:Z,5,0)</f>
        <v>IURY GUEDES</v>
      </c>
      <c r="N655" s="1" t="str">
        <f t="shared" si="10"/>
        <v>IURY GUEDES</v>
      </c>
    </row>
    <row r="656" spans="1:14" x14ac:dyDescent="0.3">
      <c r="A656" s="1">
        <v>704490</v>
      </c>
      <c r="B656" s="1" t="s">
        <v>696</v>
      </c>
      <c r="C656" s="5" t="s">
        <v>15</v>
      </c>
      <c r="D656" s="2">
        <v>45420</v>
      </c>
      <c r="E656" s="1" t="s">
        <v>31</v>
      </c>
      <c r="F656" s="1">
        <v>24102</v>
      </c>
      <c r="G656" s="1" t="s">
        <v>669</v>
      </c>
      <c r="H656" s="1" t="s">
        <v>661</v>
      </c>
      <c r="J656" s="1" t="s">
        <v>682</v>
      </c>
      <c r="K656" s="1" t="str">
        <f>VLOOKUP(J656,'[1]Base SCA 02 2026'!V:X,3,0)</f>
        <v>CRISOSTOMO CASTRO</v>
      </c>
      <c r="L656" s="1" t="str">
        <f>VLOOKUP(J656,'[1]Base SCA 02 2026'!V:Y,4,0)</f>
        <v>JOÃO FILHO</v>
      </c>
      <c r="M656" s="1" t="str">
        <f>VLOOKUP(J656,'[1]Base SCA 02 2026'!V:Z,5,0)</f>
        <v>ALCENO JUNIOR/JOÃO MARCOS</v>
      </c>
      <c r="N656" s="1" t="str">
        <f t="shared" si="10"/>
        <v>ALCENO JUNIOR/JOÃO MARCOS</v>
      </c>
    </row>
    <row r="657" spans="1:14" x14ac:dyDescent="0.3">
      <c r="A657" s="1">
        <v>704438</v>
      </c>
      <c r="B657" s="1" t="s">
        <v>698</v>
      </c>
      <c r="C657" s="5" t="s">
        <v>15</v>
      </c>
      <c r="D657" s="2">
        <v>45419</v>
      </c>
      <c r="E657" s="1" t="s">
        <v>427</v>
      </c>
      <c r="F657" s="1">
        <v>39602</v>
      </c>
      <c r="G657" s="1" t="s">
        <v>699</v>
      </c>
      <c r="H657" s="1" t="s">
        <v>661</v>
      </c>
      <c r="J657" s="1" t="s">
        <v>700</v>
      </c>
      <c r="K657" s="1" t="str">
        <f>VLOOKUP(J657,'[1]Base SCA 02 2026'!V:X,3,0)</f>
        <v>CRISOSTOMO CASTRO</v>
      </c>
      <c r="L657" s="1" t="str">
        <f>VLOOKUP(J657,'[1]Base SCA 02 2026'!V:Y,4,0)</f>
        <v>MATHEUS ALMEIDA</v>
      </c>
      <c r="M657" s="1" t="str">
        <f>VLOOKUP(J657,'[1]Base SCA 02 2026'!V:Z,5,0)</f>
        <v>IURY GUEDES</v>
      </c>
      <c r="N657" s="1" t="str">
        <f t="shared" si="10"/>
        <v>IURY GUEDES</v>
      </c>
    </row>
    <row r="658" spans="1:14" x14ac:dyDescent="0.3">
      <c r="A658" s="1">
        <v>705481</v>
      </c>
      <c r="B658" s="1" t="s">
        <v>1280</v>
      </c>
      <c r="C658" s="5" t="s">
        <v>15</v>
      </c>
      <c r="D658" s="2">
        <v>45824</v>
      </c>
      <c r="E658" s="1" t="s">
        <v>173</v>
      </c>
      <c r="F658" s="1">
        <v>32102</v>
      </c>
      <c r="G658" s="1" t="s">
        <v>674</v>
      </c>
      <c r="H658" s="1" t="s">
        <v>661</v>
      </c>
      <c r="J658" s="1" t="s">
        <v>675</v>
      </c>
      <c r="K658" s="1" t="str">
        <f>VLOOKUP(J658,'[1]Base SCA 02 2026'!V:X,3,0)</f>
        <v>RAFAEL XAVIER</v>
      </c>
      <c r="L658" s="1" t="str">
        <f>VLOOKUP(J658,'[1]Base SCA 02 2026'!V:Y,4,0)</f>
        <v>FERNANDO GUILHERME</v>
      </c>
      <c r="M658" s="1" t="str">
        <f>VLOOKUP(J658,'[1]Base SCA 02 2026'!V:Z,5,0)</f>
        <v>MARCELO DOURADO</v>
      </c>
      <c r="N658" s="1" t="str">
        <f t="shared" si="10"/>
        <v>MARCELO DOURADO</v>
      </c>
    </row>
    <row r="659" spans="1:14" x14ac:dyDescent="0.3">
      <c r="A659" s="1">
        <v>704337</v>
      </c>
      <c r="B659" s="1" t="s">
        <v>702</v>
      </c>
      <c r="C659" s="5" t="s">
        <v>15</v>
      </c>
      <c r="D659" s="2">
        <v>45363</v>
      </c>
      <c r="E659" s="1" t="s">
        <v>31</v>
      </c>
      <c r="F659" s="1">
        <v>24102</v>
      </c>
      <c r="G659" s="1" t="s">
        <v>669</v>
      </c>
      <c r="H659" s="1" t="s">
        <v>661</v>
      </c>
      <c r="J659" s="1" t="s">
        <v>680</v>
      </c>
      <c r="K659" s="1" t="str">
        <f>VLOOKUP(J659,'[1]Base SCA 02 2026'!V:X,3,0)</f>
        <v>CRISOSTOMO CASTRO</v>
      </c>
      <c r="L659" s="1" t="str">
        <f>VLOOKUP(J659,'[1]Base SCA 02 2026'!V:Y,4,0)</f>
        <v>YAN SILVA</v>
      </c>
      <c r="M659" s="1" t="str">
        <f>VLOOKUP(J659,'[1]Base SCA 02 2026'!V:Z,5,0)</f>
        <v>JUNIO TEIXEIRA /GEOVANI RORIZ</v>
      </c>
      <c r="N659" s="1" t="str">
        <f t="shared" si="10"/>
        <v>JUNIO TEIXEIRA /GEOVANI RORIZ</v>
      </c>
    </row>
    <row r="660" spans="1:14" x14ac:dyDescent="0.3">
      <c r="A660" s="1">
        <v>700280</v>
      </c>
      <c r="B660" s="1" t="s">
        <v>703</v>
      </c>
      <c r="C660" s="5" t="s">
        <v>15</v>
      </c>
      <c r="D660" s="2">
        <v>43290</v>
      </c>
      <c r="E660" s="1" t="s">
        <v>16</v>
      </c>
      <c r="F660" s="1">
        <v>24102</v>
      </c>
      <c r="G660" s="1" t="s">
        <v>669</v>
      </c>
      <c r="H660" s="1" t="s">
        <v>661</v>
      </c>
      <c r="J660" s="1" t="s">
        <v>682</v>
      </c>
      <c r="K660" s="1" t="str">
        <f>VLOOKUP(J660,'[1]Base SCA 02 2026'!V:X,3,0)</f>
        <v>CRISOSTOMO CASTRO</v>
      </c>
      <c r="L660" s="1" t="str">
        <f>VLOOKUP(J660,'[1]Base SCA 02 2026'!V:Y,4,0)</f>
        <v>JOÃO FILHO</v>
      </c>
      <c r="M660" s="1" t="str">
        <f>VLOOKUP(J660,'[1]Base SCA 02 2026'!V:Z,5,0)</f>
        <v>ALCENO JUNIOR/JOÃO MARCOS</v>
      </c>
      <c r="N660" s="1" t="str">
        <f t="shared" si="10"/>
        <v>ALCENO JUNIOR/JOÃO MARCOS</v>
      </c>
    </row>
    <row r="661" spans="1:14" x14ac:dyDescent="0.3">
      <c r="A661" s="1">
        <v>704861</v>
      </c>
      <c r="B661" s="1" t="s">
        <v>704</v>
      </c>
      <c r="C661" s="5" t="s">
        <v>15</v>
      </c>
      <c r="D661" s="2">
        <v>45579</v>
      </c>
      <c r="E661" s="1" t="s">
        <v>31</v>
      </c>
      <c r="F661" s="1">
        <v>39601</v>
      </c>
      <c r="G661" s="1" t="s">
        <v>660</v>
      </c>
      <c r="H661" s="1" t="s">
        <v>661</v>
      </c>
      <c r="J661" s="1" t="s">
        <v>684</v>
      </c>
      <c r="K661" s="1" t="str">
        <f>VLOOKUP(J661,'[1]Base SCA 02 2026'!V:X,3,0)</f>
        <v>CRISOSTOMO CASTRO</v>
      </c>
      <c r="L661" s="1" t="str">
        <f>VLOOKUP(J661,'[1]Base SCA 02 2026'!V:Y,4,0)</f>
        <v>MATHEUS ALMEIDA</v>
      </c>
      <c r="M661" s="1" t="str">
        <f>VLOOKUP(J661,'[1]Base SCA 02 2026'!V:Z,5,0)</f>
        <v>ADALTON/JANILSON RORIZ/MARIVALDO</v>
      </c>
      <c r="N661" s="1" t="str">
        <f t="shared" si="10"/>
        <v>ADALTON/JANILSON RORIZ/MARIVALDO</v>
      </c>
    </row>
    <row r="662" spans="1:14" x14ac:dyDescent="0.3">
      <c r="A662" s="1">
        <v>700220</v>
      </c>
      <c r="B662" s="1" t="s">
        <v>705</v>
      </c>
      <c r="C662" s="5" t="s">
        <v>15</v>
      </c>
      <c r="D662" s="2">
        <v>43255</v>
      </c>
      <c r="E662" s="1" t="s">
        <v>60</v>
      </c>
      <c r="F662" s="1">
        <v>24102</v>
      </c>
      <c r="G662" s="1" t="s">
        <v>669</v>
      </c>
      <c r="H662" s="1" t="s">
        <v>661</v>
      </c>
      <c r="J662" s="1" t="s">
        <v>672</v>
      </c>
      <c r="K662" s="1" t="str">
        <f>VLOOKUP(J662,'[1]Base SCA 02 2026'!V:X,3,0)</f>
        <v>CRISOSTOMO CASTRO</v>
      </c>
      <c r="L662" s="1" t="str">
        <f>VLOOKUP(J662,'[1]Base SCA 02 2026'!V:Y,4,0)</f>
        <v>YAN SILVA</v>
      </c>
      <c r="M662" s="1" t="str">
        <f>VLOOKUP(J662,'[1]Base SCA 02 2026'!V:Z,5,0)</f>
        <v>JUNIO TEIXEIRA /GEOVANI RORIZ</v>
      </c>
      <c r="N662" s="1" t="str">
        <f t="shared" si="10"/>
        <v>JUNIO TEIXEIRA /GEOVANI RORIZ</v>
      </c>
    </row>
    <row r="663" spans="1:14" x14ac:dyDescent="0.3">
      <c r="A663" s="1">
        <v>705778</v>
      </c>
      <c r="B663" s="1" t="s">
        <v>1494</v>
      </c>
      <c r="C663" s="5" t="s">
        <v>15</v>
      </c>
      <c r="D663" s="2">
        <v>45993</v>
      </c>
      <c r="E663" s="1" t="s">
        <v>1086</v>
      </c>
      <c r="F663" s="1">
        <v>31103</v>
      </c>
      <c r="G663" s="1" t="s">
        <v>718</v>
      </c>
      <c r="H663" s="1" t="s">
        <v>661</v>
      </c>
      <c r="J663" s="1" t="s">
        <v>719</v>
      </c>
      <c r="K663" s="1" t="str">
        <f>VLOOKUP(J663,'[1]Base SCA 02 2026'!V:X,3,0)</f>
        <v xml:space="preserve">GISELE NASCENTE </v>
      </c>
      <c r="L663" s="1" t="str">
        <f>VLOOKUP(J663,'[1]Base SCA 02 2026'!V:Y,4,0)</f>
        <v xml:space="preserve">GISELE NASCENTE </v>
      </c>
      <c r="M663" s="1" t="str">
        <f>VLOOKUP(J663,'[1]Base SCA 02 2026'!V:Z,5,0)</f>
        <v>MARCOS OLIVEIRA</v>
      </c>
      <c r="N663" s="1" t="str">
        <f t="shared" si="10"/>
        <v>MARCOS OLIVEIRA</v>
      </c>
    </row>
    <row r="664" spans="1:14" x14ac:dyDescent="0.3">
      <c r="A664" s="1">
        <v>701686</v>
      </c>
      <c r="B664" s="1" t="s">
        <v>706</v>
      </c>
      <c r="C664" s="5" t="s">
        <v>15</v>
      </c>
      <c r="D664" s="2">
        <v>44025</v>
      </c>
      <c r="E664" s="1" t="s">
        <v>27</v>
      </c>
      <c r="F664" s="1">
        <v>39601</v>
      </c>
      <c r="G664" s="1" t="s">
        <v>660</v>
      </c>
      <c r="H664" s="1" t="s">
        <v>661</v>
      </c>
      <c r="J664" s="1" t="s">
        <v>662</v>
      </c>
      <c r="K664" s="1" t="str">
        <f>VLOOKUP(J664,'[1]Base SCA 02 2026'!V:X,3,0)</f>
        <v>CRISOSTOMO CASTRO</v>
      </c>
      <c r="L664" s="1" t="str">
        <f>VLOOKUP(J664,'[1]Base SCA 02 2026'!V:Y,4,0)</f>
        <v>MATHEUS ALMEIDA</v>
      </c>
      <c r="N664" s="1" t="str">
        <f t="shared" si="10"/>
        <v>MATHEUS ALMEIDA</v>
      </c>
    </row>
    <row r="665" spans="1:14" x14ac:dyDescent="0.3">
      <c r="A665" s="1">
        <v>703272</v>
      </c>
      <c r="B665" s="1" t="s">
        <v>707</v>
      </c>
      <c r="C665" s="5" t="s">
        <v>15</v>
      </c>
      <c r="D665" s="2">
        <v>44781</v>
      </c>
      <c r="E665" s="1" t="s">
        <v>146</v>
      </c>
      <c r="F665" s="1">
        <v>24102</v>
      </c>
      <c r="G665" s="1" t="s">
        <v>669</v>
      </c>
      <c r="H665" s="1" t="s">
        <v>661</v>
      </c>
      <c r="J665" s="1" t="s">
        <v>680</v>
      </c>
      <c r="K665" s="1" t="str">
        <f>VLOOKUP(J665,'[1]Base SCA 02 2026'!V:X,3,0)</f>
        <v>CRISOSTOMO CASTRO</v>
      </c>
      <c r="L665" s="1" t="str">
        <f>VLOOKUP(J665,'[1]Base SCA 02 2026'!V:Y,4,0)</f>
        <v>YAN SILVA</v>
      </c>
      <c r="M665" s="1" t="str">
        <f>VLOOKUP(J665,'[1]Base SCA 02 2026'!V:Z,5,0)</f>
        <v>JUNIO TEIXEIRA /GEOVANI RORIZ</v>
      </c>
      <c r="N665" s="1" t="str">
        <f t="shared" si="10"/>
        <v>JUNIO TEIXEIRA /GEOVANI RORIZ</v>
      </c>
    </row>
    <row r="666" spans="1:14" x14ac:dyDescent="0.3">
      <c r="A666" s="1">
        <v>705777</v>
      </c>
      <c r="B666" s="1" t="s">
        <v>1495</v>
      </c>
      <c r="C666" s="5" t="s">
        <v>15</v>
      </c>
      <c r="D666" s="2">
        <v>45993</v>
      </c>
      <c r="E666" s="1" t="s">
        <v>129</v>
      </c>
      <c r="F666" s="1">
        <v>31103</v>
      </c>
      <c r="G666" s="1" t="s">
        <v>718</v>
      </c>
      <c r="H666" s="1" t="s">
        <v>661</v>
      </c>
      <c r="J666" s="1" t="s">
        <v>719</v>
      </c>
      <c r="K666" s="1" t="str">
        <f>VLOOKUP(J666,'[1]Base SCA 02 2026'!V:X,3,0)</f>
        <v xml:space="preserve">GISELE NASCENTE </v>
      </c>
      <c r="L666" s="1" t="str">
        <f>VLOOKUP(J666,'[1]Base SCA 02 2026'!V:Y,4,0)</f>
        <v xml:space="preserve">GISELE NASCENTE </v>
      </c>
      <c r="M666" s="1" t="str">
        <f>VLOOKUP(J666,'[1]Base SCA 02 2026'!V:Z,5,0)</f>
        <v>MARCOS OLIVEIRA</v>
      </c>
      <c r="N666" s="1" t="str">
        <f t="shared" si="10"/>
        <v>MARCOS OLIVEIRA</v>
      </c>
    </row>
    <row r="667" spans="1:14" x14ac:dyDescent="0.3">
      <c r="A667" s="1">
        <v>702005</v>
      </c>
      <c r="B667" s="1" t="s">
        <v>708</v>
      </c>
      <c r="C667" s="5" t="s">
        <v>15</v>
      </c>
      <c r="D667" s="2">
        <v>44229</v>
      </c>
      <c r="E667" s="1" t="s">
        <v>1363</v>
      </c>
      <c r="F667" s="1">
        <v>39203</v>
      </c>
      <c r="G667" s="1" t="s">
        <v>709</v>
      </c>
      <c r="H667" s="1" t="s">
        <v>661</v>
      </c>
      <c r="J667" s="1" t="s">
        <v>710</v>
      </c>
      <c r="K667" s="1" t="str">
        <f>VLOOKUP(J667,'[1]Base SCA 02 2026'!V:X,3,0)</f>
        <v>ANDREZA LARDO</v>
      </c>
      <c r="L667" s="1" t="str">
        <f>VLOOKUP(J667,'[1]Base SCA 02 2026'!V:Y,4,0)</f>
        <v>ANDREZA LARDO</v>
      </c>
      <c r="M667" s="1" t="str">
        <f>VLOOKUP(J667,'[1]Base SCA 02 2026'!V:Z,5,0)</f>
        <v>ADENILTON RODRIGUES</v>
      </c>
      <c r="N667" s="1" t="str">
        <f t="shared" si="10"/>
        <v>ADENILTON RODRIGUES</v>
      </c>
    </row>
    <row r="668" spans="1:14" x14ac:dyDescent="0.3">
      <c r="A668" s="1">
        <v>700657</v>
      </c>
      <c r="B668" s="1" t="s">
        <v>711</v>
      </c>
      <c r="C668" s="5" t="s">
        <v>15</v>
      </c>
      <c r="D668" s="2">
        <v>42989</v>
      </c>
      <c r="E668" s="1" t="s">
        <v>219</v>
      </c>
      <c r="F668" s="1">
        <v>32102</v>
      </c>
      <c r="G668" s="1" t="s">
        <v>674</v>
      </c>
      <c r="H668" s="1" t="s">
        <v>661</v>
      </c>
      <c r="J668" s="1" t="s">
        <v>675</v>
      </c>
      <c r="K668" s="1" t="str">
        <f>VLOOKUP(J668,'[1]Base SCA 02 2026'!V:X,3,0)</f>
        <v>RAFAEL XAVIER</v>
      </c>
      <c r="L668" s="1" t="str">
        <f>VLOOKUP(J668,'[1]Base SCA 02 2026'!V:Y,4,0)</f>
        <v>FERNANDO GUILHERME</v>
      </c>
      <c r="M668" s="1" t="str">
        <f>VLOOKUP(J668,'[1]Base SCA 02 2026'!V:Z,5,0)</f>
        <v>MARCELO DOURADO</v>
      </c>
      <c r="N668" s="1" t="str">
        <f t="shared" si="10"/>
        <v>MARCELO DOURADO</v>
      </c>
    </row>
    <row r="669" spans="1:14" x14ac:dyDescent="0.3">
      <c r="A669" s="1">
        <v>101561</v>
      </c>
      <c r="B669" s="1" t="s">
        <v>712</v>
      </c>
      <c r="C669" s="5" t="s">
        <v>15</v>
      </c>
      <c r="D669" s="2">
        <v>42989</v>
      </c>
      <c r="E669" s="1" t="s">
        <v>255</v>
      </c>
      <c r="F669" s="1">
        <v>24102</v>
      </c>
      <c r="G669" s="1" t="s">
        <v>669</v>
      </c>
      <c r="H669" s="1" t="s">
        <v>661</v>
      </c>
      <c r="J669" s="1" t="s">
        <v>680</v>
      </c>
      <c r="K669" s="1" t="str">
        <f>VLOOKUP(J669,'[1]Base SCA 02 2026'!V:X,3,0)</f>
        <v>CRISOSTOMO CASTRO</v>
      </c>
      <c r="L669" s="1" t="str">
        <f>VLOOKUP(J669,'[1]Base SCA 02 2026'!V:Y,4,0)</f>
        <v>YAN SILVA</v>
      </c>
      <c r="M669" s="1" t="str">
        <f>VLOOKUP(J669,'[1]Base SCA 02 2026'!V:Z,5,0)</f>
        <v>JUNIO TEIXEIRA /GEOVANI RORIZ</v>
      </c>
      <c r="N669" s="1" t="str">
        <f t="shared" si="10"/>
        <v>JUNIO TEIXEIRA /GEOVANI RORIZ</v>
      </c>
    </row>
    <row r="670" spans="1:14" x14ac:dyDescent="0.3">
      <c r="A670" s="1">
        <v>703844</v>
      </c>
      <c r="B670" s="1" t="s">
        <v>713</v>
      </c>
      <c r="C670" s="5" t="s">
        <v>15</v>
      </c>
      <c r="D670" s="2">
        <v>45054</v>
      </c>
      <c r="E670" s="1" t="s">
        <v>299</v>
      </c>
      <c r="F670" s="1">
        <v>39601</v>
      </c>
      <c r="G670" s="1" t="s">
        <v>660</v>
      </c>
      <c r="H670" s="1" t="s">
        <v>661</v>
      </c>
      <c r="J670" s="1" t="s">
        <v>684</v>
      </c>
      <c r="K670" s="1" t="str">
        <f>VLOOKUP(J670,'[1]Base SCA 02 2026'!V:X,3,0)</f>
        <v>CRISOSTOMO CASTRO</v>
      </c>
      <c r="L670" s="1" t="str">
        <f>VLOOKUP(J670,'[1]Base SCA 02 2026'!V:Y,4,0)</f>
        <v>MATHEUS ALMEIDA</v>
      </c>
      <c r="M670" s="1" t="str">
        <f>VLOOKUP(J670,'[1]Base SCA 02 2026'!V:Z,5,0)</f>
        <v>ADALTON/JANILSON RORIZ/MARIVALDO</v>
      </c>
      <c r="N670" s="1" t="str">
        <f t="shared" si="10"/>
        <v>ADALTON/JANILSON RORIZ/MARIVALDO</v>
      </c>
    </row>
    <row r="671" spans="1:14" x14ac:dyDescent="0.3">
      <c r="A671" s="1">
        <v>705131</v>
      </c>
      <c r="B671" s="1" t="s">
        <v>1148</v>
      </c>
      <c r="C671" s="5" t="s">
        <v>15</v>
      </c>
      <c r="D671" s="2">
        <v>45698</v>
      </c>
      <c r="E671" s="1" t="s">
        <v>230</v>
      </c>
      <c r="F671" s="1">
        <v>39601</v>
      </c>
      <c r="G671" s="1" t="s">
        <v>660</v>
      </c>
      <c r="H671" s="1" t="s">
        <v>661</v>
      </c>
      <c r="J671" s="1" t="s">
        <v>662</v>
      </c>
      <c r="K671" s="1" t="str">
        <f>VLOOKUP(J671,'[1]Base SCA 02 2026'!V:X,3,0)</f>
        <v>CRISOSTOMO CASTRO</v>
      </c>
      <c r="L671" s="1" t="str">
        <f>VLOOKUP(J671,'[1]Base SCA 02 2026'!V:Y,4,0)</f>
        <v>MATHEUS ALMEIDA</v>
      </c>
      <c r="N671" s="1" t="str">
        <f t="shared" si="10"/>
        <v>MATHEUS ALMEIDA</v>
      </c>
    </row>
    <row r="672" spans="1:14" x14ac:dyDescent="0.3">
      <c r="A672" s="1">
        <v>703945</v>
      </c>
      <c r="B672" s="1" t="s">
        <v>714</v>
      </c>
      <c r="C672" s="5" t="s">
        <v>15</v>
      </c>
      <c r="D672" s="2">
        <v>45089</v>
      </c>
      <c r="E672" s="1" t="s">
        <v>16</v>
      </c>
      <c r="F672" s="1">
        <v>24102</v>
      </c>
      <c r="G672" s="1" t="s">
        <v>669</v>
      </c>
      <c r="H672" s="1" t="s">
        <v>661</v>
      </c>
      <c r="J672" s="1" t="s">
        <v>682</v>
      </c>
      <c r="K672" s="1" t="str">
        <f>VLOOKUP(J672,'[1]Base SCA 02 2026'!V:X,3,0)</f>
        <v>CRISOSTOMO CASTRO</v>
      </c>
      <c r="L672" s="1" t="str">
        <f>VLOOKUP(J672,'[1]Base SCA 02 2026'!V:Y,4,0)</f>
        <v>JOÃO FILHO</v>
      </c>
      <c r="M672" s="1" t="str">
        <f>VLOOKUP(J672,'[1]Base SCA 02 2026'!V:Z,5,0)</f>
        <v>ALCENO JUNIOR/JOÃO MARCOS</v>
      </c>
      <c r="N672" s="1" t="str">
        <f t="shared" si="10"/>
        <v>ALCENO JUNIOR/JOÃO MARCOS</v>
      </c>
    </row>
    <row r="673" spans="1:14" x14ac:dyDescent="0.3">
      <c r="A673" s="1">
        <v>704625</v>
      </c>
      <c r="B673" s="1" t="s">
        <v>715</v>
      </c>
      <c r="C673" s="5" t="s">
        <v>15</v>
      </c>
      <c r="D673" s="2">
        <v>45476</v>
      </c>
      <c r="E673" s="1" t="s">
        <v>31</v>
      </c>
      <c r="F673" s="1">
        <v>24201</v>
      </c>
      <c r="G673" s="1" t="s">
        <v>664</v>
      </c>
      <c r="H673" s="1" t="s">
        <v>661</v>
      </c>
      <c r="J673" s="1" t="s">
        <v>665</v>
      </c>
      <c r="K673" s="1" t="str">
        <f>VLOOKUP(J673,'[1]Base SCA 02 2026'!V:X,3,0)</f>
        <v>CRISOSTOMO CASTRO</v>
      </c>
      <c r="L673" s="1" t="str">
        <f>VLOOKUP(J673,'[1]Base SCA 02 2026'!V:Y,4,0)</f>
        <v>MATHEUS ALMEIDA</v>
      </c>
      <c r="M673" s="1" t="str">
        <f>VLOOKUP(J673,'[1]Base SCA 02 2026'!V:Z,5,0)</f>
        <v>JOSIEL NEVES</v>
      </c>
      <c r="N673" s="1" t="str">
        <f t="shared" si="10"/>
        <v>JOSIEL NEVES</v>
      </c>
    </row>
    <row r="674" spans="1:14" x14ac:dyDescent="0.3">
      <c r="A674" s="1">
        <v>705322</v>
      </c>
      <c r="B674" s="1" t="s">
        <v>1238</v>
      </c>
      <c r="C674" s="5" t="s">
        <v>15</v>
      </c>
      <c r="D674" s="2">
        <v>45784</v>
      </c>
      <c r="E674" s="1" t="s">
        <v>31</v>
      </c>
      <c r="F674" s="1">
        <v>24102</v>
      </c>
      <c r="G674" s="1" t="s">
        <v>669</v>
      </c>
      <c r="H674" s="1" t="s">
        <v>661</v>
      </c>
      <c r="J674" s="1" t="s">
        <v>670</v>
      </c>
      <c r="K674" s="1" t="str">
        <f>VLOOKUP(J674,'[1]Base SCA 02 2026'!V:X,3,0)</f>
        <v>CRISOSTOMO CASTRO</v>
      </c>
      <c r="L674" s="1" t="str">
        <f>VLOOKUP(J674,'[1]Base SCA 02 2026'!V:Y,4,0)</f>
        <v>YAN SILVA</v>
      </c>
      <c r="M674" s="1" t="str">
        <f>VLOOKUP(J674,'[1]Base SCA 02 2026'!V:Z,5,0)</f>
        <v>JUNIO TEIXEIRA /GEOVANI RORIZ</v>
      </c>
      <c r="N674" s="1" t="str">
        <f t="shared" si="10"/>
        <v>JUNIO TEIXEIRA /GEOVANI RORIZ</v>
      </c>
    </row>
    <row r="675" spans="1:14" x14ac:dyDescent="0.3">
      <c r="A675" s="1">
        <v>704666</v>
      </c>
      <c r="B675" s="1" t="s">
        <v>716</v>
      </c>
      <c r="C675" s="5" t="s">
        <v>15</v>
      </c>
      <c r="D675" s="2">
        <v>45482</v>
      </c>
      <c r="E675" s="1" t="s">
        <v>418</v>
      </c>
      <c r="F675" s="1">
        <v>39601</v>
      </c>
      <c r="G675" s="1" t="s">
        <v>660</v>
      </c>
      <c r="H675" s="1" t="s">
        <v>661</v>
      </c>
      <c r="J675" s="1" t="s">
        <v>684</v>
      </c>
      <c r="K675" s="1" t="str">
        <f>VLOOKUP(J675,'[1]Base SCA 02 2026'!V:X,3,0)</f>
        <v>CRISOSTOMO CASTRO</v>
      </c>
      <c r="L675" s="1" t="str">
        <f>VLOOKUP(J675,'[1]Base SCA 02 2026'!V:Y,4,0)</f>
        <v>MATHEUS ALMEIDA</v>
      </c>
      <c r="M675" s="1" t="str">
        <f>VLOOKUP(J675,'[1]Base SCA 02 2026'!V:Z,5,0)</f>
        <v>ADALTON/JANILSON RORIZ/MARIVALDO</v>
      </c>
      <c r="N675" s="1" t="str">
        <f t="shared" si="10"/>
        <v>ADALTON/JANILSON RORIZ/MARIVALDO</v>
      </c>
    </row>
    <row r="676" spans="1:14" x14ac:dyDescent="0.3">
      <c r="A676" s="1">
        <v>705487</v>
      </c>
      <c r="B676" s="1" t="s">
        <v>1303</v>
      </c>
      <c r="C676" s="5" t="s">
        <v>233</v>
      </c>
      <c r="D676" s="2">
        <v>45839</v>
      </c>
      <c r="E676" s="1" t="s">
        <v>230</v>
      </c>
      <c r="F676" s="1">
        <v>39601</v>
      </c>
      <c r="G676" s="1" t="s">
        <v>660</v>
      </c>
      <c r="H676" s="1" t="s">
        <v>661</v>
      </c>
      <c r="J676" s="1" t="s">
        <v>662</v>
      </c>
      <c r="K676" s="1" t="str">
        <f>VLOOKUP(J676,'[1]Base SCA 02 2026'!V:X,3,0)</f>
        <v>CRISOSTOMO CASTRO</v>
      </c>
      <c r="L676" s="1" t="str">
        <f>VLOOKUP(J676,'[1]Base SCA 02 2026'!V:Y,4,0)</f>
        <v>MATHEUS ALMEIDA</v>
      </c>
      <c r="N676" s="1" t="str">
        <f t="shared" si="10"/>
        <v>MATHEUS ALMEIDA</v>
      </c>
    </row>
    <row r="677" spans="1:14" x14ac:dyDescent="0.3">
      <c r="A677" s="1">
        <v>705013</v>
      </c>
      <c r="B677" s="1" t="s">
        <v>717</v>
      </c>
      <c r="C677" s="5" t="s">
        <v>15</v>
      </c>
      <c r="D677" s="2">
        <v>45635</v>
      </c>
      <c r="E677" s="1" t="s">
        <v>1086</v>
      </c>
      <c r="F677" s="1">
        <v>31103</v>
      </c>
      <c r="G677" s="1" t="s">
        <v>718</v>
      </c>
      <c r="H677" s="1" t="s">
        <v>661</v>
      </c>
      <c r="J677" s="1" t="s">
        <v>719</v>
      </c>
      <c r="K677" s="1" t="str">
        <f>VLOOKUP(J677,'[1]Base SCA 02 2026'!V:X,3,0)</f>
        <v xml:space="preserve">GISELE NASCENTE </v>
      </c>
      <c r="L677" s="1" t="str">
        <f>VLOOKUP(J677,'[1]Base SCA 02 2026'!V:Y,4,0)</f>
        <v xml:space="preserve">GISELE NASCENTE </v>
      </c>
      <c r="M677" s="1" t="str">
        <f>VLOOKUP(J677,'[1]Base SCA 02 2026'!V:Z,5,0)</f>
        <v>MARCOS OLIVEIRA</v>
      </c>
      <c r="N677" s="1" t="str">
        <f t="shared" si="10"/>
        <v>MARCOS OLIVEIRA</v>
      </c>
    </row>
    <row r="678" spans="1:14" x14ac:dyDescent="0.3">
      <c r="A678" s="1">
        <v>705169</v>
      </c>
      <c r="B678" s="1" t="s">
        <v>1169</v>
      </c>
      <c r="C678" s="5" t="s">
        <v>15</v>
      </c>
      <c r="D678" s="2">
        <v>45726</v>
      </c>
      <c r="E678" s="1" t="s">
        <v>31</v>
      </c>
      <c r="F678" s="1">
        <v>24102</v>
      </c>
      <c r="G678" s="1" t="s">
        <v>669</v>
      </c>
      <c r="H678" s="1" t="s">
        <v>661</v>
      </c>
      <c r="J678" s="1" t="s">
        <v>670</v>
      </c>
      <c r="K678" s="1" t="str">
        <f>VLOOKUP(J678,'[1]Base SCA 02 2026'!V:X,3,0)</f>
        <v>CRISOSTOMO CASTRO</v>
      </c>
      <c r="L678" s="1" t="str">
        <f>VLOOKUP(J678,'[1]Base SCA 02 2026'!V:Y,4,0)</f>
        <v>YAN SILVA</v>
      </c>
      <c r="M678" s="1" t="str">
        <f>VLOOKUP(J678,'[1]Base SCA 02 2026'!V:Z,5,0)</f>
        <v>JUNIO TEIXEIRA /GEOVANI RORIZ</v>
      </c>
      <c r="N678" s="1" t="str">
        <f t="shared" si="10"/>
        <v>JUNIO TEIXEIRA /GEOVANI RORIZ</v>
      </c>
    </row>
    <row r="679" spans="1:14" x14ac:dyDescent="0.3">
      <c r="A679" s="1">
        <v>702696</v>
      </c>
      <c r="B679" s="1" t="s">
        <v>720</v>
      </c>
      <c r="C679" s="5" t="s">
        <v>15</v>
      </c>
      <c r="D679" s="2">
        <v>44537</v>
      </c>
      <c r="E679" s="1" t="s">
        <v>179</v>
      </c>
      <c r="F679" s="1">
        <v>32102</v>
      </c>
      <c r="G679" s="1" t="s">
        <v>674</v>
      </c>
      <c r="H679" s="1" t="s">
        <v>661</v>
      </c>
      <c r="J679" s="1" t="s">
        <v>675</v>
      </c>
      <c r="K679" s="1" t="str">
        <f>VLOOKUP(J679,'[1]Base SCA 02 2026'!V:X,3,0)</f>
        <v>RAFAEL XAVIER</v>
      </c>
      <c r="L679" s="1" t="str">
        <f>VLOOKUP(J679,'[1]Base SCA 02 2026'!V:Y,4,0)</f>
        <v>FERNANDO GUILHERME</v>
      </c>
      <c r="M679" s="1" t="str">
        <f>VLOOKUP(J679,'[1]Base SCA 02 2026'!V:Z,5,0)</f>
        <v>MARCELO DOURADO</v>
      </c>
      <c r="N679" s="1" t="str">
        <f t="shared" si="10"/>
        <v>MARCELO DOURADO</v>
      </c>
    </row>
    <row r="680" spans="1:14" x14ac:dyDescent="0.3">
      <c r="A680" s="1">
        <v>704714</v>
      </c>
      <c r="B680" s="1" t="s">
        <v>721</v>
      </c>
      <c r="C680" s="5" t="s">
        <v>15</v>
      </c>
      <c r="D680" s="2">
        <v>45518</v>
      </c>
      <c r="E680" s="1" t="s">
        <v>31</v>
      </c>
      <c r="F680" s="1">
        <v>39601</v>
      </c>
      <c r="G680" s="1" t="s">
        <v>660</v>
      </c>
      <c r="H680" s="1" t="s">
        <v>661</v>
      </c>
      <c r="J680" s="1" t="s">
        <v>684</v>
      </c>
      <c r="K680" s="1" t="str">
        <f>VLOOKUP(J680,'[1]Base SCA 02 2026'!V:X,3,0)</f>
        <v>CRISOSTOMO CASTRO</v>
      </c>
      <c r="L680" s="1" t="str">
        <f>VLOOKUP(J680,'[1]Base SCA 02 2026'!V:Y,4,0)</f>
        <v>MATHEUS ALMEIDA</v>
      </c>
      <c r="M680" s="1" t="str">
        <f>VLOOKUP(J680,'[1]Base SCA 02 2026'!V:Z,5,0)</f>
        <v>ADALTON/JANILSON RORIZ/MARIVALDO</v>
      </c>
      <c r="N680" s="1" t="str">
        <f t="shared" si="10"/>
        <v>ADALTON/JANILSON RORIZ/MARIVALDO</v>
      </c>
    </row>
    <row r="681" spans="1:14" x14ac:dyDescent="0.3">
      <c r="A681" s="1">
        <v>705648</v>
      </c>
      <c r="B681" s="1" t="s">
        <v>1418</v>
      </c>
      <c r="C681" s="5" t="s">
        <v>15</v>
      </c>
      <c r="D681" s="2">
        <v>45944</v>
      </c>
      <c r="E681" s="1" t="s">
        <v>31</v>
      </c>
      <c r="F681" s="1">
        <v>39601</v>
      </c>
      <c r="G681" s="1" t="s">
        <v>660</v>
      </c>
      <c r="H681" s="1" t="s">
        <v>661</v>
      </c>
      <c r="J681" s="1" t="s">
        <v>662</v>
      </c>
      <c r="K681" s="1" t="str">
        <f>VLOOKUP(J681,'[1]Base SCA 02 2026'!V:X,3,0)</f>
        <v>CRISOSTOMO CASTRO</v>
      </c>
      <c r="L681" s="1" t="str">
        <f>VLOOKUP(J681,'[1]Base SCA 02 2026'!V:Y,4,0)</f>
        <v>MATHEUS ALMEIDA</v>
      </c>
      <c r="N681" s="1" t="str">
        <f t="shared" si="10"/>
        <v>MATHEUS ALMEIDA</v>
      </c>
    </row>
    <row r="682" spans="1:14" x14ac:dyDescent="0.3">
      <c r="A682" s="1">
        <v>101551</v>
      </c>
      <c r="B682" s="1" t="s">
        <v>722</v>
      </c>
      <c r="C682" s="5" t="s">
        <v>15</v>
      </c>
      <c r="D682" s="2">
        <v>42989</v>
      </c>
      <c r="E682" s="1" t="s">
        <v>16</v>
      </c>
      <c r="F682" s="1">
        <v>24102</v>
      </c>
      <c r="G682" s="1" t="s">
        <v>669</v>
      </c>
      <c r="H682" s="1" t="s">
        <v>661</v>
      </c>
      <c r="J682" s="1" t="s">
        <v>682</v>
      </c>
      <c r="K682" s="1" t="str">
        <f>VLOOKUP(J682,'[1]Base SCA 02 2026'!V:X,3,0)</f>
        <v>CRISOSTOMO CASTRO</v>
      </c>
      <c r="L682" s="1" t="str">
        <f>VLOOKUP(J682,'[1]Base SCA 02 2026'!V:Y,4,0)</f>
        <v>JOÃO FILHO</v>
      </c>
      <c r="M682" s="1" t="str">
        <f>VLOOKUP(J682,'[1]Base SCA 02 2026'!V:Z,5,0)</f>
        <v>ALCENO JUNIOR/JOÃO MARCOS</v>
      </c>
      <c r="N682" s="1" t="str">
        <f t="shared" si="10"/>
        <v>ALCENO JUNIOR/JOÃO MARCOS</v>
      </c>
    </row>
    <row r="683" spans="1:14" x14ac:dyDescent="0.3">
      <c r="A683" s="1">
        <v>704463</v>
      </c>
      <c r="B683" s="1" t="s">
        <v>723</v>
      </c>
      <c r="C683" s="5" t="s">
        <v>15</v>
      </c>
      <c r="D683" s="2">
        <v>45419</v>
      </c>
      <c r="E683" s="1" t="s">
        <v>60</v>
      </c>
      <c r="F683" s="1">
        <v>39601</v>
      </c>
      <c r="G683" s="1" t="s">
        <v>660</v>
      </c>
      <c r="H683" s="1" t="s">
        <v>661</v>
      </c>
      <c r="J683" s="1" t="s">
        <v>684</v>
      </c>
      <c r="K683" s="1" t="str">
        <f>VLOOKUP(J683,'[1]Base SCA 02 2026'!V:X,3,0)</f>
        <v>CRISOSTOMO CASTRO</v>
      </c>
      <c r="L683" s="1" t="str">
        <f>VLOOKUP(J683,'[1]Base SCA 02 2026'!V:Y,4,0)</f>
        <v>MATHEUS ALMEIDA</v>
      </c>
      <c r="M683" s="1" t="str">
        <f>VLOOKUP(J683,'[1]Base SCA 02 2026'!V:Z,5,0)</f>
        <v>ADALTON/JANILSON RORIZ/MARIVALDO</v>
      </c>
      <c r="N683" s="1" t="str">
        <f t="shared" si="10"/>
        <v>ADALTON/JANILSON RORIZ/MARIVALDO</v>
      </c>
    </row>
    <row r="684" spans="1:14" x14ac:dyDescent="0.3">
      <c r="A684" s="1">
        <v>702873</v>
      </c>
      <c r="B684" s="1" t="s">
        <v>724</v>
      </c>
      <c r="C684" s="5" t="s">
        <v>15</v>
      </c>
      <c r="D684" s="2">
        <v>44635</v>
      </c>
      <c r="E684" s="1" t="s">
        <v>230</v>
      </c>
      <c r="F684" s="1">
        <v>38102</v>
      </c>
      <c r="G684" s="1" t="s">
        <v>725</v>
      </c>
      <c r="H684" s="1" t="s">
        <v>661</v>
      </c>
      <c r="J684" s="1" t="s">
        <v>726</v>
      </c>
      <c r="K684" s="1" t="str">
        <f>VLOOKUP(J684,'[1]Base SCA 02 2026'!V:X,3,0)</f>
        <v xml:space="preserve">LEIDJANE MARTINS </v>
      </c>
      <c r="L684" s="1" t="str">
        <f>VLOOKUP(J684,'[1]Base SCA 02 2026'!V:Y,4,0)</f>
        <v xml:space="preserve">LEIDJANE MARTINS </v>
      </c>
      <c r="M684" s="1" t="str">
        <f>VLOOKUP(J684,'[1]Base SCA 02 2026'!V:Z,5,0)</f>
        <v>DENIS ACASSIO</v>
      </c>
      <c r="N684" s="1" t="str">
        <f t="shared" si="10"/>
        <v>DENIS ACASSIO</v>
      </c>
    </row>
    <row r="685" spans="1:14" x14ac:dyDescent="0.3">
      <c r="A685" s="1">
        <v>704393</v>
      </c>
      <c r="B685" s="1" t="s">
        <v>727</v>
      </c>
      <c r="C685" s="5" t="s">
        <v>15</v>
      </c>
      <c r="D685" s="2">
        <v>45391</v>
      </c>
      <c r="E685" s="1" t="s">
        <v>418</v>
      </c>
      <c r="F685" s="1">
        <v>39601</v>
      </c>
      <c r="G685" s="1" t="s">
        <v>660</v>
      </c>
      <c r="H685" s="1" t="s">
        <v>661</v>
      </c>
      <c r="J685" s="1" t="s">
        <v>684</v>
      </c>
      <c r="K685" s="1" t="str">
        <f>VLOOKUP(J685,'[1]Base SCA 02 2026'!V:X,3,0)</f>
        <v>CRISOSTOMO CASTRO</v>
      </c>
      <c r="L685" s="1" t="str">
        <f>VLOOKUP(J685,'[1]Base SCA 02 2026'!V:Y,4,0)</f>
        <v>MATHEUS ALMEIDA</v>
      </c>
      <c r="M685" s="1" t="str">
        <f>VLOOKUP(J685,'[1]Base SCA 02 2026'!V:Z,5,0)</f>
        <v>ADALTON/JANILSON RORIZ/MARIVALDO</v>
      </c>
      <c r="N685" s="1" t="str">
        <f t="shared" si="10"/>
        <v>ADALTON/JANILSON RORIZ/MARIVALDO</v>
      </c>
    </row>
    <row r="686" spans="1:14" x14ac:dyDescent="0.3">
      <c r="A686" s="1">
        <v>702416</v>
      </c>
      <c r="B686" s="1" t="s">
        <v>728</v>
      </c>
      <c r="C686" s="5" t="s">
        <v>15</v>
      </c>
      <c r="D686" s="2">
        <v>44390</v>
      </c>
      <c r="E686" s="1" t="s">
        <v>31</v>
      </c>
      <c r="F686" s="1">
        <v>24102</v>
      </c>
      <c r="G686" s="1" t="s">
        <v>669</v>
      </c>
      <c r="H686" s="1" t="s">
        <v>661</v>
      </c>
      <c r="J686" s="1" t="s">
        <v>672</v>
      </c>
      <c r="K686" s="1" t="str">
        <f>VLOOKUP(J686,'[1]Base SCA 02 2026'!V:X,3,0)</f>
        <v>CRISOSTOMO CASTRO</v>
      </c>
      <c r="L686" s="1" t="str">
        <f>VLOOKUP(J686,'[1]Base SCA 02 2026'!V:Y,4,0)</f>
        <v>YAN SILVA</v>
      </c>
      <c r="M686" s="1" t="str">
        <f>VLOOKUP(J686,'[1]Base SCA 02 2026'!V:Z,5,0)</f>
        <v>JUNIO TEIXEIRA /GEOVANI RORIZ</v>
      </c>
      <c r="N686" s="1" t="str">
        <f t="shared" si="10"/>
        <v>JUNIO TEIXEIRA /GEOVANI RORIZ</v>
      </c>
    </row>
    <row r="687" spans="1:14" x14ac:dyDescent="0.3">
      <c r="A687" s="1">
        <v>704341</v>
      </c>
      <c r="B687" s="1" t="s">
        <v>729</v>
      </c>
      <c r="C687" s="5" t="s">
        <v>15</v>
      </c>
      <c r="D687" s="2">
        <v>45363</v>
      </c>
      <c r="E687" s="1" t="s">
        <v>686</v>
      </c>
      <c r="F687" s="1">
        <v>39601</v>
      </c>
      <c r="G687" s="1" t="s">
        <v>660</v>
      </c>
      <c r="H687" s="1" t="s">
        <v>661</v>
      </c>
      <c r="J687" s="1" t="s">
        <v>684</v>
      </c>
      <c r="K687" s="1" t="str">
        <f>VLOOKUP(J687,'[1]Base SCA 02 2026'!V:X,3,0)</f>
        <v>CRISOSTOMO CASTRO</v>
      </c>
      <c r="L687" s="1" t="str">
        <f>VLOOKUP(J687,'[1]Base SCA 02 2026'!V:Y,4,0)</f>
        <v>MATHEUS ALMEIDA</v>
      </c>
      <c r="M687" s="1" t="str">
        <f>VLOOKUP(J687,'[1]Base SCA 02 2026'!V:Z,5,0)</f>
        <v>ADALTON/JANILSON RORIZ/MARIVALDO</v>
      </c>
      <c r="N687" s="1" t="str">
        <f t="shared" si="10"/>
        <v>ADALTON/JANILSON RORIZ/MARIVALDO</v>
      </c>
    </row>
    <row r="688" spans="1:14" x14ac:dyDescent="0.3">
      <c r="A688" s="1">
        <v>704208</v>
      </c>
      <c r="B688" s="1" t="s">
        <v>730</v>
      </c>
      <c r="C688" s="5" t="s">
        <v>15</v>
      </c>
      <c r="D688" s="2">
        <v>45300</v>
      </c>
      <c r="E688" s="1" t="s">
        <v>138</v>
      </c>
      <c r="F688" s="1">
        <v>24102</v>
      </c>
      <c r="G688" s="1" t="s">
        <v>669</v>
      </c>
      <c r="H688" s="1" t="s">
        <v>661</v>
      </c>
      <c r="J688" s="1" t="s">
        <v>682</v>
      </c>
      <c r="K688" s="1" t="str">
        <f>VLOOKUP(J688,'[1]Base SCA 02 2026'!V:X,3,0)</f>
        <v>CRISOSTOMO CASTRO</v>
      </c>
      <c r="L688" s="1" t="str">
        <f>VLOOKUP(J688,'[1]Base SCA 02 2026'!V:Y,4,0)</f>
        <v>JOÃO FILHO</v>
      </c>
      <c r="M688" s="1" t="str">
        <f>VLOOKUP(J688,'[1]Base SCA 02 2026'!V:Z,5,0)</f>
        <v>ALCENO JUNIOR/JOÃO MARCOS</v>
      </c>
      <c r="N688" s="1" t="str">
        <f t="shared" si="10"/>
        <v>ALCENO JUNIOR/JOÃO MARCOS</v>
      </c>
    </row>
    <row r="689" spans="1:14" x14ac:dyDescent="0.3">
      <c r="A689" s="1">
        <v>701113</v>
      </c>
      <c r="B689" s="1" t="s">
        <v>731</v>
      </c>
      <c r="C689" s="5" t="s">
        <v>15</v>
      </c>
      <c r="D689" s="2">
        <v>43641</v>
      </c>
      <c r="E689" s="1" t="s">
        <v>146</v>
      </c>
      <c r="F689" s="1">
        <v>39601</v>
      </c>
      <c r="G689" s="1" t="s">
        <v>660</v>
      </c>
      <c r="H689" s="1" t="s">
        <v>661</v>
      </c>
      <c r="J689" s="1" t="s">
        <v>684</v>
      </c>
      <c r="K689" s="1" t="str">
        <f>VLOOKUP(J689,'[1]Base SCA 02 2026'!V:X,3,0)</f>
        <v>CRISOSTOMO CASTRO</v>
      </c>
      <c r="L689" s="1" t="str">
        <f>VLOOKUP(J689,'[1]Base SCA 02 2026'!V:Y,4,0)</f>
        <v>MATHEUS ALMEIDA</v>
      </c>
      <c r="M689" s="1" t="str">
        <f>VLOOKUP(J689,'[1]Base SCA 02 2026'!V:Z,5,0)</f>
        <v>ADALTON/JANILSON RORIZ/MARIVALDO</v>
      </c>
      <c r="N689" s="1" t="str">
        <f t="shared" si="10"/>
        <v>ADALTON/JANILSON RORIZ/MARIVALDO</v>
      </c>
    </row>
    <row r="690" spans="1:14" x14ac:dyDescent="0.3">
      <c r="A690" s="1">
        <v>703397</v>
      </c>
      <c r="B690" s="1" t="s">
        <v>732</v>
      </c>
      <c r="C690" s="5" t="s">
        <v>15</v>
      </c>
      <c r="D690" s="2">
        <v>44851</v>
      </c>
      <c r="E690" s="1" t="s">
        <v>146</v>
      </c>
      <c r="F690" s="1">
        <v>39601</v>
      </c>
      <c r="G690" s="1" t="s">
        <v>660</v>
      </c>
      <c r="H690" s="1" t="s">
        <v>661</v>
      </c>
      <c r="J690" s="1" t="s">
        <v>684</v>
      </c>
      <c r="K690" s="1" t="str">
        <f>VLOOKUP(J690,'[1]Base SCA 02 2026'!V:X,3,0)</f>
        <v>CRISOSTOMO CASTRO</v>
      </c>
      <c r="L690" s="1" t="str">
        <f>VLOOKUP(J690,'[1]Base SCA 02 2026'!V:Y,4,0)</f>
        <v>MATHEUS ALMEIDA</v>
      </c>
      <c r="M690" s="1" t="str">
        <f>VLOOKUP(J690,'[1]Base SCA 02 2026'!V:Z,5,0)</f>
        <v>ADALTON/JANILSON RORIZ/MARIVALDO</v>
      </c>
      <c r="N690" s="1" t="str">
        <f t="shared" si="10"/>
        <v>ADALTON/JANILSON RORIZ/MARIVALDO</v>
      </c>
    </row>
    <row r="691" spans="1:14" x14ac:dyDescent="0.3">
      <c r="A691" s="1">
        <v>702558</v>
      </c>
      <c r="B691" s="1" t="s">
        <v>733</v>
      </c>
      <c r="C691" s="5" t="s">
        <v>15</v>
      </c>
      <c r="D691" s="2">
        <v>44459</v>
      </c>
      <c r="E691" s="1" t="s">
        <v>734</v>
      </c>
      <c r="F691" s="1">
        <v>24201</v>
      </c>
      <c r="G691" s="1" t="s">
        <v>664</v>
      </c>
      <c r="H691" s="1" t="s">
        <v>661</v>
      </c>
      <c r="J691" s="1" t="s">
        <v>665</v>
      </c>
      <c r="K691" s="1" t="str">
        <f>VLOOKUP(J691,'[1]Base SCA 02 2026'!V:X,3,0)</f>
        <v>CRISOSTOMO CASTRO</v>
      </c>
      <c r="L691" s="1" t="str">
        <f>VLOOKUP(J691,'[1]Base SCA 02 2026'!V:Y,4,0)</f>
        <v>MATHEUS ALMEIDA</v>
      </c>
      <c r="M691" s="1" t="str">
        <f>VLOOKUP(J691,'[1]Base SCA 02 2026'!V:Z,5,0)</f>
        <v>JOSIEL NEVES</v>
      </c>
      <c r="N691" s="1" t="str">
        <f t="shared" si="10"/>
        <v>JOSIEL NEVES</v>
      </c>
    </row>
    <row r="692" spans="1:14" x14ac:dyDescent="0.3">
      <c r="A692" s="1">
        <v>704424</v>
      </c>
      <c r="B692" s="1" t="s">
        <v>735</v>
      </c>
      <c r="C692" s="5" t="s">
        <v>15</v>
      </c>
      <c r="D692" s="2">
        <v>45391</v>
      </c>
      <c r="E692" s="1" t="s">
        <v>27</v>
      </c>
      <c r="F692" s="1">
        <v>39601</v>
      </c>
      <c r="G692" s="1" t="s">
        <v>660</v>
      </c>
      <c r="H692" s="1" t="s">
        <v>661</v>
      </c>
      <c r="J692" s="1" t="s">
        <v>684</v>
      </c>
      <c r="K692" s="1" t="str">
        <f>VLOOKUP(J692,'[1]Base SCA 02 2026'!V:X,3,0)</f>
        <v>CRISOSTOMO CASTRO</v>
      </c>
      <c r="L692" s="1" t="str">
        <f>VLOOKUP(J692,'[1]Base SCA 02 2026'!V:Y,4,0)</f>
        <v>MATHEUS ALMEIDA</v>
      </c>
      <c r="M692" s="1" t="str">
        <f>VLOOKUP(J692,'[1]Base SCA 02 2026'!V:Z,5,0)</f>
        <v>ADALTON/JANILSON RORIZ/MARIVALDO</v>
      </c>
      <c r="N692" s="1" t="str">
        <f t="shared" si="10"/>
        <v>ADALTON/JANILSON RORIZ/MARIVALDO</v>
      </c>
    </row>
    <row r="693" spans="1:14" x14ac:dyDescent="0.3">
      <c r="A693" s="1">
        <v>705349</v>
      </c>
      <c r="B693" s="1" t="s">
        <v>1239</v>
      </c>
      <c r="C693" s="5" t="s">
        <v>15</v>
      </c>
      <c r="D693" s="2">
        <v>45784</v>
      </c>
      <c r="E693" s="1" t="s">
        <v>31</v>
      </c>
      <c r="F693" s="1">
        <v>24201</v>
      </c>
      <c r="G693" s="1" t="s">
        <v>664</v>
      </c>
      <c r="H693" s="1" t="s">
        <v>661</v>
      </c>
      <c r="J693" s="1" t="s">
        <v>665</v>
      </c>
      <c r="K693" s="1" t="str">
        <f>VLOOKUP(J693,'[1]Base SCA 02 2026'!V:X,3,0)</f>
        <v>CRISOSTOMO CASTRO</v>
      </c>
      <c r="L693" s="1" t="str">
        <f>VLOOKUP(J693,'[1]Base SCA 02 2026'!V:Y,4,0)</f>
        <v>MATHEUS ALMEIDA</v>
      </c>
      <c r="M693" s="1" t="str">
        <f>VLOOKUP(J693,'[1]Base SCA 02 2026'!V:Z,5,0)</f>
        <v>JOSIEL NEVES</v>
      </c>
      <c r="N693" s="1" t="str">
        <f t="shared" si="10"/>
        <v>JOSIEL NEVES</v>
      </c>
    </row>
    <row r="694" spans="1:14" x14ac:dyDescent="0.3">
      <c r="A694" s="1">
        <v>704408</v>
      </c>
      <c r="B694" s="1" t="s">
        <v>736</v>
      </c>
      <c r="C694" s="5" t="s">
        <v>15</v>
      </c>
      <c r="D694" s="2">
        <v>45391</v>
      </c>
      <c r="E694" s="1" t="s">
        <v>16</v>
      </c>
      <c r="F694" s="1">
        <v>24102</v>
      </c>
      <c r="G694" s="1" t="s">
        <v>669</v>
      </c>
      <c r="H694" s="1" t="s">
        <v>661</v>
      </c>
      <c r="J694" s="1" t="s">
        <v>682</v>
      </c>
      <c r="K694" s="1" t="str">
        <f>VLOOKUP(J694,'[1]Base SCA 02 2026'!V:X,3,0)</f>
        <v>CRISOSTOMO CASTRO</v>
      </c>
      <c r="L694" s="1" t="str">
        <f>VLOOKUP(J694,'[1]Base SCA 02 2026'!V:Y,4,0)</f>
        <v>JOÃO FILHO</v>
      </c>
      <c r="M694" s="1" t="str">
        <f>VLOOKUP(J694,'[1]Base SCA 02 2026'!V:Z,5,0)</f>
        <v>ALCENO JUNIOR/JOÃO MARCOS</v>
      </c>
      <c r="N694" s="1" t="str">
        <f t="shared" si="10"/>
        <v>ALCENO JUNIOR/JOÃO MARCOS</v>
      </c>
    </row>
    <row r="695" spans="1:14" x14ac:dyDescent="0.3">
      <c r="A695" s="1">
        <v>704871</v>
      </c>
      <c r="B695" s="1" t="s">
        <v>737</v>
      </c>
      <c r="C695" s="5" t="s">
        <v>15</v>
      </c>
      <c r="D695" s="2">
        <v>45579</v>
      </c>
      <c r="E695" s="1" t="s">
        <v>31</v>
      </c>
      <c r="F695" s="1">
        <v>24201</v>
      </c>
      <c r="G695" s="1" t="s">
        <v>664</v>
      </c>
      <c r="H695" s="1" t="s">
        <v>661</v>
      </c>
      <c r="J695" s="1" t="s">
        <v>665</v>
      </c>
      <c r="K695" s="1" t="str">
        <f>VLOOKUP(J695,'[1]Base SCA 02 2026'!V:X,3,0)</f>
        <v>CRISOSTOMO CASTRO</v>
      </c>
      <c r="L695" s="1" t="str">
        <f>VLOOKUP(J695,'[1]Base SCA 02 2026'!V:Y,4,0)</f>
        <v>MATHEUS ALMEIDA</v>
      </c>
      <c r="M695" s="1" t="str">
        <f>VLOOKUP(J695,'[1]Base SCA 02 2026'!V:Z,5,0)</f>
        <v>JOSIEL NEVES</v>
      </c>
      <c r="N695" s="1" t="str">
        <f t="shared" si="10"/>
        <v>JOSIEL NEVES</v>
      </c>
    </row>
    <row r="696" spans="1:14" x14ac:dyDescent="0.3">
      <c r="A696" s="1">
        <v>705865</v>
      </c>
      <c r="B696" s="1" t="s">
        <v>1568</v>
      </c>
      <c r="C696" s="5" t="s">
        <v>15</v>
      </c>
      <c r="D696" s="2">
        <v>46063</v>
      </c>
      <c r="E696" s="1" t="s">
        <v>31</v>
      </c>
      <c r="F696" s="1">
        <v>24102</v>
      </c>
      <c r="G696" s="1" t="s">
        <v>669</v>
      </c>
      <c r="H696" s="1" t="s">
        <v>661</v>
      </c>
      <c r="J696" s="1" t="s">
        <v>670</v>
      </c>
      <c r="K696" s="1" t="str">
        <f>VLOOKUP(J696,'[1]Base SCA 02 2026'!V:X,3,0)</f>
        <v>CRISOSTOMO CASTRO</v>
      </c>
      <c r="L696" s="1" t="str">
        <f>VLOOKUP(J696,'[1]Base SCA 02 2026'!V:Y,4,0)</f>
        <v>YAN SILVA</v>
      </c>
      <c r="M696" s="1" t="str">
        <f>VLOOKUP(J696,'[1]Base SCA 02 2026'!V:Z,5,0)</f>
        <v>JUNIO TEIXEIRA /GEOVANI RORIZ</v>
      </c>
      <c r="N696" s="1" t="str">
        <f t="shared" si="10"/>
        <v>JUNIO TEIXEIRA /GEOVANI RORIZ</v>
      </c>
    </row>
    <row r="697" spans="1:14" x14ac:dyDescent="0.3">
      <c r="A697" s="1">
        <v>705771</v>
      </c>
      <c r="B697" s="1" t="s">
        <v>1496</v>
      </c>
      <c r="C697" s="5" t="s">
        <v>15</v>
      </c>
      <c r="D697" s="2">
        <v>45993</v>
      </c>
      <c r="E697" s="1" t="s">
        <v>31</v>
      </c>
      <c r="F697" s="1">
        <v>24201</v>
      </c>
      <c r="G697" s="1" t="s">
        <v>664</v>
      </c>
      <c r="H697" s="1" t="s">
        <v>661</v>
      </c>
      <c r="J697" s="1" t="s">
        <v>665</v>
      </c>
      <c r="K697" s="1" t="str">
        <f>VLOOKUP(J697,'[1]Base SCA 02 2026'!V:X,3,0)</f>
        <v>CRISOSTOMO CASTRO</v>
      </c>
      <c r="L697" s="1" t="str">
        <f>VLOOKUP(J697,'[1]Base SCA 02 2026'!V:Y,4,0)</f>
        <v>MATHEUS ALMEIDA</v>
      </c>
      <c r="M697" s="1" t="str">
        <f>VLOOKUP(J697,'[1]Base SCA 02 2026'!V:Z,5,0)</f>
        <v>JOSIEL NEVES</v>
      </c>
      <c r="N697" s="1" t="str">
        <f t="shared" si="10"/>
        <v>JOSIEL NEVES</v>
      </c>
    </row>
    <row r="698" spans="1:14" x14ac:dyDescent="0.3">
      <c r="A698" s="1">
        <v>702994</v>
      </c>
      <c r="B698" s="1" t="s">
        <v>738</v>
      </c>
      <c r="C698" s="5" t="s">
        <v>15</v>
      </c>
      <c r="D698" s="2">
        <v>44691</v>
      </c>
      <c r="E698" s="1" t="s">
        <v>31</v>
      </c>
      <c r="F698" s="1">
        <v>24201</v>
      </c>
      <c r="G698" s="1" t="s">
        <v>664</v>
      </c>
      <c r="H698" s="1" t="s">
        <v>661</v>
      </c>
      <c r="J698" s="1" t="s">
        <v>665</v>
      </c>
      <c r="K698" s="1" t="str">
        <f>VLOOKUP(J698,'[1]Base SCA 02 2026'!V:X,3,0)</f>
        <v>CRISOSTOMO CASTRO</v>
      </c>
      <c r="L698" s="1" t="str">
        <f>VLOOKUP(J698,'[1]Base SCA 02 2026'!V:Y,4,0)</f>
        <v>MATHEUS ALMEIDA</v>
      </c>
      <c r="M698" s="1" t="str">
        <f>VLOOKUP(J698,'[1]Base SCA 02 2026'!V:Z,5,0)</f>
        <v>JOSIEL NEVES</v>
      </c>
      <c r="N698" s="1" t="str">
        <f t="shared" si="10"/>
        <v>JOSIEL NEVES</v>
      </c>
    </row>
    <row r="699" spans="1:14" x14ac:dyDescent="0.3">
      <c r="A699" s="1">
        <v>703178</v>
      </c>
      <c r="B699" s="1" t="s">
        <v>739</v>
      </c>
      <c r="C699" s="5" t="s">
        <v>15</v>
      </c>
      <c r="D699" s="2">
        <v>44753</v>
      </c>
      <c r="E699" s="1" t="s">
        <v>255</v>
      </c>
      <c r="F699" s="1">
        <v>24201</v>
      </c>
      <c r="G699" s="1" t="s">
        <v>664</v>
      </c>
      <c r="H699" s="1" t="s">
        <v>661</v>
      </c>
      <c r="J699" s="1" t="s">
        <v>665</v>
      </c>
      <c r="K699" s="1" t="str">
        <f>VLOOKUP(J699,'[1]Base SCA 02 2026'!V:X,3,0)</f>
        <v>CRISOSTOMO CASTRO</v>
      </c>
      <c r="L699" s="1" t="str">
        <f>VLOOKUP(J699,'[1]Base SCA 02 2026'!V:Y,4,0)</f>
        <v>MATHEUS ALMEIDA</v>
      </c>
      <c r="M699" s="1" t="str">
        <f>VLOOKUP(J699,'[1]Base SCA 02 2026'!V:Z,5,0)</f>
        <v>JOSIEL NEVES</v>
      </c>
      <c r="N699" s="1" t="str">
        <f t="shared" si="10"/>
        <v>JOSIEL NEVES</v>
      </c>
    </row>
    <row r="700" spans="1:14" x14ac:dyDescent="0.3">
      <c r="A700" s="1">
        <v>705523</v>
      </c>
      <c r="B700" s="1" t="s">
        <v>1329</v>
      </c>
      <c r="C700" s="5" t="s">
        <v>15</v>
      </c>
      <c r="D700" s="2">
        <v>45874</v>
      </c>
      <c r="E700" s="1" t="s">
        <v>31</v>
      </c>
      <c r="F700" s="1">
        <v>39601</v>
      </c>
      <c r="G700" s="1" t="s">
        <v>660</v>
      </c>
      <c r="H700" s="1" t="s">
        <v>661</v>
      </c>
      <c r="J700" s="1" t="s">
        <v>684</v>
      </c>
      <c r="K700" s="1" t="str">
        <f>VLOOKUP(J700,'[1]Base SCA 02 2026'!V:X,3,0)</f>
        <v>CRISOSTOMO CASTRO</v>
      </c>
      <c r="L700" s="1" t="str">
        <f>VLOOKUP(J700,'[1]Base SCA 02 2026'!V:Y,4,0)</f>
        <v>MATHEUS ALMEIDA</v>
      </c>
      <c r="M700" s="1" t="str">
        <f>VLOOKUP(J700,'[1]Base SCA 02 2026'!V:Z,5,0)</f>
        <v>ADALTON/JANILSON RORIZ/MARIVALDO</v>
      </c>
      <c r="N700" s="1" t="str">
        <f t="shared" si="10"/>
        <v>ADALTON/JANILSON RORIZ/MARIVALDO</v>
      </c>
    </row>
    <row r="701" spans="1:14" x14ac:dyDescent="0.3">
      <c r="A701" s="1">
        <v>705290</v>
      </c>
      <c r="B701" s="1" t="s">
        <v>1189</v>
      </c>
      <c r="C701" s="5" t="s">
        <v>92</v>
      </c>
      <c r="D701" s="2">
        <v>45762</v>
      </c>
      <c r="E701" s="1" t="s">
        <v>31</v>
      </c>
      <c r="F701" s="1">
        <v>24201</v>
      </c>
      <c r="G701" s="1" t="s">
        <v>664</v>
      </c>
      <c r="H701" s="1" t="s">
        <v>661</v>
      </c>
      <c r="I701" s="2">
        <v>46058</v>
      </c>
      <c r="J701" s="1" t="s">
        <v>665</v>
      </c>
      <c r="K701" s="1" t="str">
        <f>VLOOKUP(J701,'[1]Base SCA 02 2026'!V:X,3,0)</f>
        <v>CRISOSTOMO CASTRO</v>
      </c>
      <c r="L701" s="1" t="str">
        <f>VLOOKUP(J701,'[1]Base SCA 02 2026'!V:Y,4,0)</f>
        <v>MATHEUS ALMEIDA</v>
      </c>
      <c r="M701" s="1" t="str">
        <f>VLOOKUP(J701,'[1]Base SCA 02 2026'!V:Z,5,0)</f>
        <v>JOSIEL NEVES</v>
      </c>
      <c r="N701" s="1" t="str">
        <f t="shared" si="10"/>
        <v>JOSIEL NEVES</v>
      </c>
    </row>
    <row r="702" spans="1:14" x14ac:dyDescent="0.3">
      <c r="A702" s="1">
        <v>705430</v>
      </c>
      <c r="B702" s="1" t="s">
        <v>1240</v>
      </c>
      <c r="C702" s="5" t="s">
        <v>15</v>
      </c>
      <c r="D702" s="2">
        <v>45797</v>
      </c>
      <c r="E702" s="1" t="s">
        <v>31</v>
      </c>
      <c r="F702" s="1">
        <v>39601</v>
      </c>
      <c r="G702" s="1" t="s">
        <v>660</v>
      </c>
      <c r="H702" s="1" t="s">
        <v>661</v>
      </c>
      <c r="J702" s="1" t="s">
        <v>662</v>
      </c>
      <c r="K702" s="1" t="str">
        <f>VLOOKUP(J702,'[1]Base SCA 02 2026'!V:X,3,0)</f>
        <v>CRISOSTOMO CASTRO</v>
      </c>
      <c r="L702" s="1" t="str">
        <f>VLOOKUP(J702,'[1]Base SCA 02 2026'!V:Y,4,0)</f>
        <v>MATHEUS ALMEIDA</v>
      </c>
      <c r="N702" s="1" t="str">
        <f t="shared" si="10"/>
        <v>MATHEUS ALMEIDA</v>
      </c>
    </row>
    <row r="703" spans="1:14" x14ac:dyDescent="0.3">
      <c r="A703" s="1">
        <v>702324</v>
      </c>
      <c r="B703" s="1" t="s">
        <v>741</v>
      </c>
      <c r="C703" s="5" t="s">
        <v>15</v>
      </c>
      <c r="D703" s="2">
        <v>44355</v>
      </c>
      <c r="E703" s="1" t="s">
        <v>255</v>
      </c>
      <c r="F703" s="1">
        <v>39601</v>
      </c>
      <c r="G703" s="1" t="s">
        <v>660</v>
      </c>
      <c r="H703" s="1" t="s">
        <v>661</v>
      </c>
      <c r="J703" s="1" t="s">
        <v>684</v>
      </c>
      <c r="K703" s="1" t="str">
        <f>VLOOKUP(J703,'[1]Base SCA 02 2026'!V:X,3,0)</f>
        <v>CRISOSTOMO CASTRO</v>
      </c>
      <c r="L703" s="1" t="str">
        <f>VLOOKUP(J703,'[1]Base SCA 02 2026'!V:Y,4,0)</f>
        <v>MATHEUS ALMEIDA</v>
      </c>
      <c r="M703" s="1" t="str">
        <f>VLOOKUP(J703,'[1]Base SCA 02 2026'!V:Z,5,0)</f>
        <v>ADALTON/JANILSON RORIZ/MARIVALDO</v>
      </c>
      <c r="N703" s="1" t="str">
        <f t="shared" si="10"/>
        <v>ADALTON/JANILSON RORIZ/MARIVALDO</v>
      </c>
    </row>
    <row r="704" spans="1:14" x14ac:dyDescent="0.3">
      <c r="A704" s="1">
        <v>700890</v>
      </c>
      <c r="B704" s="1" t="s">
        <v>742</v>
      </c>
      <c r="C704" s="5" t="s">
        <v>15</v>
      </c>
      <c r="D704" s="2">
        <v>43529</v>
      </c>
      <c r="E704" s="1" t="s">
        <v>166</v>
      </c>
      <c r="F704" s="1">
        <v>24102</v>
      </c>
      <c r="G704" s="1" t="s">
        <v>669</v>
      </c>
      <c r="H704" s="1" t="s">
        <v>661</v>
      </c>
      <c r="J704" s="1" t="s">
        <v>670</v>
      </c>
      <c r="K704" s="1" t="str">
        <f>VLOOKUP(J704,'[1]Base SCA 02 2026'!V:X,3,0)</f>
        <v>CRISOSTOMO CASTRO</v>
      </c>
      <c r="L704" s="1" t="str">
        <f>VLOOKUP(J704,'[1]Base SCA 02 2026'!V:Y,4,0)</f>
        <v>YAN SILVA</v>
      </c>
      <c r="M704" s="1" t="str">
        <f>VLOOKUP(J704,'[1]Base SCA 02 2026'!V:Z,5,0)</f>
        <v>JUNIO TEIXEIRA /GEOVANI RORIZ</v>
      </c>
      <c r="N704" s="1" t="str">
        <f t="shared" si="10"/>
        <v>JUNIO TEIXEIRA /GEOVANI RORIZ</v>
      </c>
    </row>
    <row r="705" spans="1:14" x14ac:dyDescent="0.3">
      <c r="A705" s="1">
        <v>705844</v>
      </c>
      <c r="B705" s="1" t="s">
        <v>1569</v>
      </c>
      <c r="C705" s="5" t="s">
        <v>15</v>
      </c>
      <c r="D705" s="2">
        <v>46063</v>
      </c>
      <c r="E705" s="1" t="s">
        <v>31</v>
      </c>
      <c r="F705" s="1">
        <v>24102</v>
      </c>
      <c r="G705" s="1" t="s">
        <v>669</v>
      </c>
      <c r="H705" s="1" t="s">
        <v>661</v>
      </c>
      <c r="J705" s="1" t="s">
        <v>670</v>
      </c>
      <c r="K705" s="1" t="str">
        <f>VLOOKUP(J705,'[1]Base SCA 02 2026'!V:X,3,0)</f>
        <v>CRISOSTOMO CASTRO</v>
      </c>
      <c r="L705" s="1" t="str">
        <f>VLOOKUP(J705,'[1]Base SCA 02 2026'!V:Y,4,0)</f>
        <v>YAN SILVA</v>
      </c>
      <c r="M705" s="1" t="str">
        <f>VLOOKUP(J705,'[1]Base SCA 02 2026'!V:Z,5,0)</f>
        <v>JUNIO TEIXEIRA /GEOVANI RORIZ</v>
      </c>
      <c r="N705" s="1" t="str">
        <f t="shared" si="10"/>
        <v>JUNIO TEIXEIRA /GEOVANI RORIZ</v>
      </c>
    </row>
    <row r="706" spans="1:14" x14ac:dyDescent="0.3">
      <c r="A706" s="1">
        <v>702360</v>
      </c>
      <c r="B706" s="1" t="s">
        <v>743</v>
      </c>
      <c r="C706" s="5" t="s">
        <v>15</v>
      </c>
      <c r="D706" s="2">
        <v>44362</v>
      </c>
      <c r="E706" s="1" t="s">
        <v>1364</v>
      </c>
      <c r="F706" s="1">
        <v>37102</v>
      </c>
      <c r="G706" s="1" t="s">
        <v>694</v>
      </c>
      <c r="H706" s="1" t="s">
        <v>661</v>
      </c>
      <c r="J706" s="1" t="s">
        <v>744</v>
      </c>
      <c r="K706" s="1" t="str">
        <f>VLOOKUP(J706,'[1]Base SCA 02 2026'!V:X,3,0)</f>
        <v xml:space="preserve">GISELE NASCENTE </v>
      </c>
      <c r="N706" s="1" t="str">
        <f t="shared" si="10"/>
        <v xml:space="preserve">GISELE NASCENTE </v>
      </c>
    </row>
    <row r="707" spans="1:14" x14ac:dyDescent="0.3">
      <c r="A707" s="1">
        <v>705550</v>
      </c>
      <c r="B707" s="1" t="s">
        <v>1330</v>
      </c>
      <c r="C707" s="5" t="s">
        <v>15</v>
      </c>
      <c r="D707" s="2">
        <v>45881</v>
      </c>
      <c r="E707" s="1" t="s">
        <v>336</v>
      </c>
      <c r="F707" s="1">
        <v>24102</v>
      </c>
      <c r="G707" s="1" t="s">
        <v>669</v>
      </c>
      <c r="H707" s="1" t="s">
        <v>661</v>
      </c>
      <c r="J707" s="1" t="s">
        <v>680</v>
      </c>
      <c r="K707" s="1" t="str">
        <f>VLOOKUP(J707,'[1]Base SCA 02 2026'!V:X,3,0)</f>
        <v>CRISOSTOMO CASTRO</v>
      </c>
      <c r="L707" s="1" t="str">
        <f>VLOOKUP(J707,'[1]Base SCA 02 2026'!V:Y,4,0)</f>
        <v>YAN SILVA</v>
      </c>
      <c r="M707" s="1" t="str">
        <f>VLOOKUP(J707,'[1]Base SCA 02 2026'!V:Z,5,0)</f>
        <v>JUNIO TEIXEIRA /GEOVANI RORIZ</v>
      </c>
      <c r="N707" s="1" t="str">
        <f t="shared" ref="N707:N770" si="11">IF(M707&lt;&gt;"", M707, IF(L707&lt;&gt;"", L707, K707))</f>
        <v>JUNIO TEIXEIRA /GEOVANI RORIZ</v>
      </c>
    </row>
    <row r="708" spans="1:14" x14ac:dyDescent="0.3">
      <c r="A708" s="1">
        <v>705696</v>
      </c>
      <c r="B708" s="1" t="s">
        <v>1461</v>
      </c>
      <c r="C708" s="5" t="s">
        <v>92</v>
      </c>
      <c r="D708" s="2">
        <v>45971</v>
      </c>
      <c r="E708" s="1" t="s">
        <v>1346</v>
      </c>
      <c r="F708" s="1">
        <v>39203</v>
      </c>
      <c r="G708" s="1" t="s">
        <v>709</v>
      </c>
      <c r="H708" s="1" t="s">
        <v>661</v>
      </c>
      <c r="I708" s="2">
        <v>46060</v>
      </c>
      <c r="J708" s="1" t="s">
        <v>710</v>
      </c>
      <c r="K708" s="1" t="str">
        <f>VLOOKUP(J708,'[1]Base SCA 02 2026'!V:X,3,0)</f>
        <v>ANDREZA LARDO</v>
      </c>
      <c r="L708" s="1" t="str">
        <f>VLOOKUP(J708,'[1]Base SCA 02 2026'!V:Y,4,0)</f>
        <v>ANDREZA LARDO</v>
      </c>
      <c r="M708" s="1" t="str">
        <f>VLOOKUP(J708,'[1]Base SCA 02 2026'!V:Z,5,0)</f>
        <v>ADENILTON RODRIGUES</v>
      </c>
      <c r="N708" s="1" t="str">
        <f t="shared" si="11"/>
        <v>ADENILTON RODRIGUES</v>
      </c>
    </row>
    <row r="709" spans="1:14" x14ac:dyDescent="0.3">
      <c r="A709" s="1">
        <v>705651</v>
      </c>
      <c r="B709" s="1" t="s">
        <v>1420</v>
      </c>
      <c r="C709" s="5" t="s">
        <v>15</v>
      </c>
      <c r="D709" s="2">
        <v>45944</v>
      </c>
      <c r="E709" s="1" t="s">
        <v>31</v>
      </c>
      <c r="F709" s="1">
        <v>39601</v>
      </c>
      <c r="G709" s="1" t="s">
        <v>660</v>
      </c>
      <c r="H709" s="1" t="s">
        <v>661</v>
      </c>
      <c r="J709" s="1" t="s">
        <v>684</v>
      </c>
      <c r="K709" s="1" t="str">
        <f>VLOOKUP(J709,'[1]Base SCA 02 2026'!V:X,3,0)</f>
        <v>CRISOSTOMO CASTRO</v>
      </c>
      <c r="L709" s="1" t="str">
        <f>VLOOKUP(J709,'[1]Base SCA 02 2026'!V:Y,4,0)</f>
        <v>MATHEUS ALMEIDA</v>
      </c>
      <c r="M709" s="1" t="str">
        <f>VLOOKUP(J709,'[1]Base SCA 02 2026'!V:Z,5,0)</f>
        <v>ADALTON/JANILSON RORIZ/MARIVALDO</v>
      </c>
      <c r="N709" s="1" t="str">
        <f t="shared" si="11"/>
        <v>ADALTON/JANILSON RORIZ/MARIVALDO</v>
      </c>
    </row>
    <row r="710" spans="1:14" x14ac:dyDescent="0.3">
      <c r="A710" s="1">
        <v>702534</v>
      </c>
      <c r="B710" s="1" t="s">
        <v>745</v>
      </c>
      <c r="C710" s="5" t="s">
        <v>15</v>
      </c>
      <c r="D710" s="2">
        <v>44425</v>
      </c>
      <c r="E710" s="1" t="s">
        <v>686</v>
      </c>
      <c r="F710" s="1">
        <v>39601</v>
      </c>
      <c r="G710" s="1" t="s">
        <v>660</v>
      </c>
      <c r="H710" s="1" t="s">
        <v>661</v>
      </c>
      <c r="J710" s="1" t="s">
        <v>684</v>
      </c>
      <c r="K710" s="1" t="str">
        <f>VLOOKUP(J710,'[1]Base SCA 02 2026'!V:X,3,0)</f>
        <v>CRISOSTOMO CASTRO</v>
      </c>
      <c r="L710" s="1" t="str">
        <f>VLOOKUP(J710,'[1]Base SCA 02 2026'!V:Y,4,0)</f>
        <v>MATHEUS ALMEIDA</v>
      </c>
      <c r="M710" s="1" t="str">
        <f>VLOOKUP(J710,'[1]Base SCA 02 2026'!V:Z,5,0)</f>
        <v>ADALTON/JANILSON RORIZ/MARIVALDO</v>
      </c>
      <c r="N710" s="1" t="str">
        <f t="shared" si="11"/>
        <v>ADALTON/JANILSON RORIZ/MARIVALDO</v>
      </c>
    </row>
    <row r="711" spans="1:14" x14ac:dyDescent="0.3">
      <c r="A711" s="1">
        <v>703234</v>
      </c>
      <c r="B711" s="1" t="s">
        <v>746</v>
      </c>
      <c r="C711" s="5" t="s">
        <v>15</v>
      </c>
      <c r="D711" s="2">
        <v>44760</v>
      </c>
      <c r="E711" s="1" t="s">
        <v>686</v>
      </c>
      <c r="F711" s="1">
        <v>39601</v>
      </c>
      <c r="G711" s="1" t="s">
        <v>660</v>
      </c>
      <c r="H711" s="1" t="s">
        <v>661</v>
      </c>
      <c r="J711" s="1" t="s">
        <v>684</v>
      </c>
      <c r="K711" s="1" t="str">
        <f>VLOOKUP(J711,'[1]Base SCA 02 2026'!V:X,3,0)</f>
        <v>CRISOSTOMO CASTRO</v>
      </c>
      <c r="L711" s="1" t="str">
        <f>VLOOKUP(J711,'[1]Base SCA 02 2026'!V:Y,4,0)</f>
        <v>MATHEUS ALMEIDA</v>
      </c>
      <c r="M711" s="1" t="str">
        <f>VLOOKUP(J711,'[1]Base SCA 02 2026'!V:Z,5,0)</f>
        <v>ADALTON/JANILSON RORIZ/MARIVALDO</v>
      </c>
      <c r="N711" s="1" t="str">
        <f t="shared" si="11"/>
        <v>ADALTON/JANILSON RORIZ/MARIVALDO</v>
      </c>
    </row>
    <row r="712" spans="1:14" x14ac:dyDescent="0.3">
      <c r="A712" s="1">
        <v>705870</v>
      </c>
      <c r="B712" s="1" t="s">
        <v>1570</v>
      </c>
      <c r="C712" s="5" t="s">
        <v>15</v>
      </c>
      <c r="D712" s="2">
        <v>46063</v>
      </c>
      <c r="E712" s="1" t="s">
        <v>31</v>
      </c>
      <c r="F712" s="1">
        <v>24102</v>
      </c>
      <c r="G712" s="1" t="s">
        <v>669</v>
      </c>
      <c r="H712" s="1" t="s">
        <v>661</v>
      </c>
      <c r="J712" s="1" t="s">
        <v>682</v>
      </c>
      <c r="K712" s="1" t="str">
        <f>VLOOKUP(J712,'[1]Base SCA 02 2026'!V:X,3,0)</f>
        <v>CRISOSTOMO CASTRO</v>
      </c>
      <c r="L712" s="1" t="str">
        <f>VLOOKUP(J712,'[1]Base SCA 02 2026'!V:Y,4,0)</f>
        <v>JOÃO FILHO</v>
      </c>
      <c r="M712" s="1" t="str">
        <f>VLOOKUP(J712,'[1]Base SCA 02 2026'!V:Z,5,0)</f>
        <v>ALCENO JUNIOR/JOÃO MARCOS</v>
      </c>
      <c r="N712" s="1" t="str">
        <f t="shared" si="11"/>
        <v>ALCENO JUNIOR/JOÃO MARCOS</v>
      </c>
    </row>
    <row r="713" spans="1:14" x14ac:dyDescent="0.3">
      <c r="A713" s="1">
        <v>101108</v>
      </c>
      <c r="B713" s="1" t="s">
        <v>748</v>
      </c>
      <c r="C713" s="5" t="s">
        <v>15</v>
      </c>
      <c r="D713" s="2">
        <v>42681</v>
      </c>
      <c r="E713" s="1" t="s">
        <v>166</v>
      </c>
      <c r="F713" s="1">
        <v>24102</v>
      </c>
      <c r="G713" s="1" t="s">
        <v>669</v>
      </c>
      <c r="H713" s="1" t="s">
        <v>661</v>
      </c>
      <c r="J713" s="1" t="s">
        <v>682</v>
      </c>
      <c r="K713" s="1" t="str">
        <f>VLOOKUP(J713,'[1]Base SCA 02 2026'!V:X,3,0)</f>
        <v>CRISOSTOMO CASTRO</v>
      </c>
      <c r="L713" s="1" t="str">
        <f>VLOOKUP(J713,'[1]Base SCA 02 2026'!V:Y,4,0)</f>
        <v>JOÃO FILHO</v>
      </c>
      <c r="M713" s="1" t="str">
        <f>VLOOKUP(J713,'[1]Base SCA 02 2026'!V:Z,5,0)</f>
        <v>ALCENO JUNIOR/JOÃO MARCOS</v>
      </c>
      <c r="N713" s="1" t="str">
        <f t="shared" si="11"/>
        <v>ALCENO JUNIOR/JOÃO MARCOS</v>
      </c>
    </row>
    <row r="714" spans="1:14" x14ac:dyDescent="0.3">
      <c r="A714" s="1">
        <v>704340</v>
      </c>
      <c r="B714" s="1" t="s">
        <v>749</v>
      </c>
      <c r="C714" s="5" t="s">
        <v>15</v>
      </c>
      <c r="D714" s="2">
        <v>45363</v>
      </c>
      <c r="E714" s="1" t="s">
        <v>31</v>
      </c>
      <c r="F714" s="1">
        <v>24102</v>
      </c>
      <c r="G714" s="1" t="s">
        <v>669</v>
      </c>
      <c r="H714" s="1" t="s">
        <v>661</v>
      </c>
      <c r="J714" s="1" t="s">
        <v>670</v>
      </c>
      <c r="K714" s="1" t="str">
        <f>VLOOKUP(J714,'[1]Base SCA 02 2026'!V:X,3,0)</f>
        <v>CRISOSTOMO CASTRO</v>
      </c>
      <c r="L714" s="1" t="str">
        <f>VLOOKUP(J714,'[1]Base SCA 02 2026'!V:Y,4,0)</f>
        <v>YAN SILVA</v>
      </c>
      <c r="M714" s="1" t="str">
        <f>VLOOKUP(J714,'[1]Base SCA 02 2026'!V:Z,5,0)</f>
        <v>JUNIO TEIXEIRA /GEOVANI RORIZ</v>
      </c>
      <c r="N714" s="1" t="str">
        <f t="shared" si="11"/>
        <v>JUNIO TEIXEIRA /GEOVANI RORIZ</v>
      </c>
    </row>
    <row r="715" spans="1:14" x14ac:dyDescent="0.3">
      <c r="A715" s="1">
        <v>705653</v>
      </c>
      <c r="B715" s="1" t="s">
        <v>1421</v>
      </c>
      <c r="C715" s="5" t="s">
        <v>15</v>
      </c>
      <c r="D715" s="2">
        <v>45944</v>
      </c>
      <c r="E715" s="1" t="s">
        <v>31</v>
      </c>
      <c r="F715" s="1">
        <v>39601</v>
      </c>
      <c r="G715" s="1" t="s">
        <v>660</v>
      </c>
      <c r="H715" s="1" t="s">
        <v>661</v>
      </c>
      <c r="J715" s="1" t="s">
        <v>662</v>
      </c>
      <c r="K715" s="1" t="str">
        <f>VLOOKUP(J715,'[1]Base SCA 02 2026'!V:X,3,0)</f>
        <v>CRISOSTOMO CASTRO</v>
      </c>
      <c r="L715" s="1" t="str">
        <f>VLOOKUP(J715,'[1]Base SCA 02 2026'!V:Y,4,0)</f>
        <v>MATHEUS ALMEIDA</v>
      </c>
      <c r="N715" s="1" t="str">
        <f t="shared" si="11"/>
        <v>MATHEUS ALMEIDA</v>
      </c>
    </row>
    <row r="716" spans="1:14" x14ac:dyDescent="0.3">
      <c r="A716" s="1">
        <v>700930</v>
      </c>
      <c r="B716" s="1" t="s">
        <v>751</v>
      </c>
      <c r="C716" s="5" t="s">
        <v>15</v>
      </c>
      <c r="D716" s="2">
        <v>43542</v>
      </c>
      <c r="E716" s="1" t="s">
        <v>179</v>
      </c>
      <c r="F716" s="1">
        <v>32102</v>
      </c>
      <c r="G716" s="1" t="s">
        <v>674</v>
      </c>
      <c r="H716" s="1" t="s">
        <v>661</v>
      </c>
      <c r="J716" s="1" t="s">
        <v>675</v>
      </c>
      <c r="K716" s="1" t="str">
        <f>VLOOKUP(J716,'[1]Base SCA 02 2026'!V:X,3,0)</f>
        <v>RAFAEL XAVIER</v>
      </c>
      <c r="L716" s="1" t="str">
        <f>VLOOKUP(J716,'[1]Base SCA 02 2026'!V:Y,4,0)</f>
        <v>FERNANDO GUILHERME</v>
      </c>
      <c r="M716" s="1" t="str">
        <f>VLOOKUP(J716,'[1]Base SCA 02 2026'!V:Z,5,0)</f>
        <v>MARCELO DOURADO</v>
      </c>
      <c r="N716" s="1" t="str">
        <f t="shared" si="11"/>
        <v>MARCELO DOURADO</v>
      </c>
    </row>
    <row r="717" spans="1:14" x14ac:dyDescent="0.3">
      <c r="A717" s="1">
        <v>704850</v>
      </c>
      <c r="B717" s="1" t="s">
        <v>752</v>
      </c>
      <c r="C717" s="5" t="s">
        <v>15</v>
      </c>
      <c r="D717" s="2">
        <v>45580</v>
      </c>
      <c r="E717" s="1" t="s">
        <v>474</v>
      </c>
      <c r="F717" s="1">
        <v>32102</v>
      </c>
      <c r="G717" s="1" t="s">
        <v>674</v>
      </c>
      <c r="H717" s="1" t="s">
        <v>661</v>
      </c>
      <c r="J717" s="1" t="s">
        <v>675</v>
      </c>
      <c r="K717" s="1" t="str">
        <f>VLOOKUP(J717,'[1]Base SCA 02 2026'!V:X,3,0)</f>
        <v>RAFAEL XAVIER</v>
      </c>
      <c r="L717" s="1" t="str">
        <f>VLOOKUP(J717,'[1]Base SCA 02 2026'!V:Y,4,0)</f>
        <v>FERNANDO GUILHERME</v>
      </c>
      <c r="M717" s="1" t="str">
        <f>VLOOKUP(J717,'[1]Base SCA 02 2026'!V:Z,5,0)</f>
        <v>MARCELO DOURADO</v>
      </c>
      <c r="N717" s="1" t="str">
        <f t="shared" si="11"/>
        <v>MARCELO DOURADO</v>
      </c>
    </row>
    <row r="718" spans="1:14" x14ac:dyDescent="0.3">
      <c r="A718" s="1">
        <v>705557</v>
      </c>
      <c r="B718" s="1" t="s">
        <v>1331</v>
      </c>
      <c r="C718" s="5" t="s">
        <v>15</v>
      </c>
      <c r="D718" s="2">
        <v>45874</v>
      </c>
      <c r="E718" s="1" t="s">
        <v>31</v>
      </c>
      <c r="F718" s="1">
        <v>39601</v>
      </c>
      <c r="G718" s="1" t="s">
        <v>660</v>
      </c>
      <c r="H718" s="1" t="s">
        <v>661</v>
      </c>
      <c r="J718" s="1" t="s">
        <v>684</v>
      </c>
      <c r="K718" s="1" t="str">
        <f>VLOOKUP(J718,'[1]Base SCA 02 2026'!V:X,3,0)</f>
        <v>CRISOSTOMO CASTRO</v>
      </c>
      <c r="L718" s="1" t="str">
        <f>VLOOKUP(J718,'[1]Base SCA 02 2026'!V:Y,4,0)</f>
        <v>MATHEUS ALMEIDA</v>
      </c>
      <c r="M718" s="1" t="str">
        <f>VLOOKUP(J718,'[1]Base SCA 02 2026'!V:Z,5,0)</f>
        <v>ADALTON/JANILSON RORIZ/MARIVALDO</v>
      </c>
      <c r="N718" s="1" t="str">
        <f t="shared" si="11"/>
        <v>ADALTON/JANILSON RORIZ/MARIVALDO</v>
      </c>
    </row>
    <row r="719" spans="1:14" x14ac:dyDescent="0.3">
      <c r="A719" s="1">
        <v>701350</v>
      </c>
      <c r="B719" s="1" t="s">
        <v>753</v>
      </c>
      <c r="C719" s="5" t="s">
        <v>15</v>
      </c>
      <c r="D719" s="2">
        <v>43759</v>
      </c>
      <c r="E719" s="1" t="s">
        <v>423</v>
      </c>
      <c r="F719" s="1">
        <v>31103</v>
      </c>
      <c r="G719" s="1" t="s">
        <v>718</v>
      </c>
      <c r="H719" s="1" t="s">
        <v>661</v>
      </c>
      <c r="J719" s="1" t="s">
        <v>719</v>
      </c>
      <c r="K719" s="1" t="str">
        <f>VLOOKUP(J719,'[1]Base SCA 02 2026'!V:X,3,0)</f>
        <v xml:space="preserve">GISELE NASCENTE </v>
      </c>
      <c r="L719" s="1" t="str">
        <f>VLOOKUP(J719,'[1]Base SCA 02 2026'!V:Y,4,0)</f>
        <v xml:space="preserve">GISELE NASCENTE </v>
      </c>
      <c r="M719" s="1" t="str">
        <f>VLOOKUP(J719,'[1]Base SCA 02 2026'!V:Z,5,0)</f>
        <v>MARCOS OLIVEIRA</v>
      </c>
      <c r="N719" s="1" t="str">
        <f t="shared" si="11"/>
        <v>MARCOS OLIVEIRA</v>
      </c>
    </row>
    <row r="720" spans="1:14" x14ac:dyDescent="0.3">
      <c r="A720" s="1">
        <v>705851</v>
      </c>
      <c r="B720" s="1" t="s">
        <v>1571</v>
      </c>
      <c r="C720" s="5" t="s">
        <v>15</v>
      </c>
      <c r="D720" s="2">
        <v>46063</v>
      </c>
      <c r="E720" s="1" t="s">
        <v>31</v>
      </c>
      <c r="F720" s="1">
        <v>24102</v>
      </c>
      <c r="G720" s="1" t="s">
        <v>669</v>
      </c>
      <c r="H720" s="1" t="s">
        <v>661</v>
      </c>
      <c r="J720" s="1" t="s">
        <v>670</v>
      </c>
      <c r="K720" s="1" t="str">
        <f>VLOOKUP(J720,'[1]Base SCA 02 2026'!V:X,3,0)</f>
        <v>CRISOSTOMO CASTRO</v>
      </c>
      <c r="L720" s="1" t="str">
        <f>VLOOKUP(J720,'[1]Base SCA 02 2026'!V:Y,4,0)</f>
        <v>YAN SILVA</v>
      </c>
      <c r="M720" s="1" t="str">
        <f>VLOOKUP(J720,'[1]Base SCA 02 2026'!V:Z,5,0)</f>
        <v>JUNIO TEIXEIRA /GEOVANI RORIZ</v>
      </c>
      <c r="N720" s="1" t="str">
        <f t="shared" si="11"/>
        <v>JUNIO TEIXEIRA /GEOVANI RORIZ</v>
      </c>
    </row>
    <row r="721" spans="1:14" x14ac:dyDescent="0.3">
      <c r="A721" s="1">
        <v>705857</v>
      </c>
      <c r="B721" s="1" t="s">
        <v>1572</v>
      </c>
      <c r="C721" s="5" t="s">
        <v>15</v>
      </c>
      <c r="D721" s="2">
        <v>46063</v>
      </c>
      <c r="E721" s="1" t="s">
        <v>31</v>
      </c>
      <c r="F721" s="1">
        <v>24102</v>
      </c>
      <c r="G721" s="1" t="s">
        <v>669</v>
      </c>
      <c r="H721" s="1" t="s">
        <v>661</v>
      </c>
      <c r="J721" s="1" t="s">
        <v>670</v>
      </c>
      <c r="K721" s="1" t="str">
        <f>VLOOKUP(J721,'[1]Base SCA 02 2026'!V:X,3,0)</f>
        <v>CRISOSTOMO CASTRO</v>
      </c>
      <c r="L721" s="1" t="str">
        <f>VLOOKUP(J721,'[1]Base SCA 02 2026'!V:Y,4,0)</f>
        <v>YAN SILVA</v>
      </c>
      <c r="M721" s="1" t="str">
        <f>VLOOKUP(J721,'[1]Base SCA 02 2026'!V:Z,5,0)</f>
        <v>JUNIO TEIXEIRA /GEOVANI RORIZ</v>
      </c>
      <c r="N721" s="1" t="str">
        <f t="shared" si="11"/>
        <v>JUNIO TEIXEIRA /GEOVANI RORIZ</v>
      </c>
    </row>
    <row r="722" spans="1:14" x14ac:dyDescent="0.3">
      <c r="A722" s="1">
        <v>704456</v>
      </c>
      <c r="B722" s="1" t="s">
        <v>754</v>
      </c>
      <c r="C722" s="5" t="s">
        <v>15</v>
      </c>
      <c r="D722" s="2">
        <v>45419</v>
      </c>
      <c r="E722" s="1" t="s">
        <v>31</v>
      </c>
      <c r="F722" s="1">
        <v>39601</v>
      </c>
      <c r="G722" s="1" t="s">
        <v>660</v>
      </c>
      <c r="H722" s="1" t="s">
        <v>661</v>
      </c>
      <c r="J722" s="1" t="s">
        <v>684</v>
      </c>
      <c r="K722" s="1" t="str">
        <f>VLOOKUP(J722,'[1]Base SCA 02 2026'!V:X,3,0)</f>
        <v>CRISOSTOMO CASTRO</v>
      </c>
      <c r="L722" s="1" t="str">
        <f>VLOOKUP(J722,'[1]Base SCA 02 2026'!V:Y,4,0)</f>
        <v>MATHEUS ALMEIDA</v>
      </c>
      <c r="M722" s="1" t="str">
        <f>VLOOKUP(J722,'[1]Base SCA 02 2026'!V:Z,5,0)</f>
        <v>ADALTON/JANILSON RORIZ/MARIVALDO</v>
      </c>
      <c r="N722" s="1" t="str">
        <f t="shared" si="11"/>
        <v>ADALTON/JANILSON RORIZ/MARIVALDO</v>
      </c>
    </row>
    <row r="723" spans="1:14" x14ac:dyDescent="0.3">
      <c r="A723" s="1">
        <v>702612</v>
      </c>
      <c r="B723" s="1" t="s">
        <v>755</v>
      </c>
      <c r="C723" s="5" t="s">
        <v>15</v>
      </c>
      <c r="D723" s="2">
        <v>44487</v>
      </c>
      <c r="E723" s="1" t="s">
        <v>219</v>
      </c>
      <c r="F723" s="1">
        <v>32102</v>
      </c>
      <c r="G723" s="1" t="s">
        <v>674</v>
      </c>
      <c r="H723" s="1" t="s">
        <v>661</v>
      </c>
      <c r="J723" s="1" t="s">
        <v>675</v>
      </c>
      <c r="K723" s="1" t="str">
        <f>VLOOKUP(J723,'[1]Base SCA 02 2026'!V:X,3,0)</f>
        <v>RAFAEL XAVIER</v>
      </c>
      <c r="L723" s="1" t="str">
        <f>VLOOKUP(J723,'[1]Base SCA 02 2026'!V:Y,4,0)</f>
        <v>FERNANDO GUILHERME</v>
      </c>
      <c r="M723" s="1" t="str">
        <f>VLOOKUP(J723,'[1]Base SCA 02 2026'!V:Z,5,0)</f>
        <v>MARCELO DOURADO</v>
      </c>
      <c r="N723" s="1" t="str">
        <f t="shared" si="11"/>
        <v>MARCELO DOURADO</v>
      </c>
    </row>
    <row r="724" spans="1:14" x14ac:dyDescent="0.3">
      <c r="A724" s="1">
        <v>703620</v>
      </c>
      <c r="B724" s="1" t="s">
        <v>756</v>
      </c>
      <c r="C724" s="5" t="s">
        <v>15</v>
      </c>
      <c r="D724" s="2">
        <v>44991</v>
      </c>
      <c r="E724" s="1" t="s">
        <v>138</v>
      </c>
      <c r="F724" s="1">
        <v>24102</v>
      </c>
      <c r="G724" s="1" t="s">
        <v>669</v>
      </c>
      <c r="H724" s="1" t="s">
        <v>661</v>
      </c>
      <c r="J724" s="1" t="s">
        <v>682</v>
      </c>
      <c r="K724" s="1" t="str">
        <f>VLOOKUP(J724,'[1]Base SCA 02 2026'!V:X,3,0)</f>
        <v>CRISOSTOMO CASTRO</v>
      </c>
      <c r="L724" s="1" t="str">
        <f>VLOOKUP(J724,'[1]Base SCA 02 2026'!V:Y,4,0)</f>
        <v>JOÃO FILHO</v>
      </c>
      <c r="M724" s="1" t="str">
        <f>VLOOKUP(J724,'[1]Base SCA 02 2026'!V:Z,5,0)</f>
        <v>ALCENO JUNIOR/JOÃO MARCOS</v>
      </c>
      <c r="N724" s="1" t="str">
        <f t="shared" si="11"/>
        <v>ALCENO JUNIOR/JOÃO MARCOS</v>
      </c>
    </row>
    <row r="725" spans="1:14" x14ac:dyDescent="0.3">
      <c r="A725" s="1">
        <v>704038</v>
      </c>
      <c r="B725" s="1" t="s">
        <v>758</v>
      </c>
      <c r="C725" s="5" t="s">
        <v>15</v>
      </c>
      <c r="D725" s="2">
        <v>45145</v>
      </c>
      <c r="E725" s="1" t="s">
        <v>31</v>
      </c>
      <c r="F725" s="1">
        <v>24102</v>
      </c>
      <c r="G725" s="1" t="s">
        <v>669</v>
      </c>
      <c r="H725" s="1" t="s">
        <v>661</v>
      </c>
      <c r="J725" s="1" t="s">
        <v>672</v>
      </c>
      <c r="K725" s="1" t="str">
        <f>VLOOKUP(J725,'[1]Base SCA 02 2026'!V:X,3,0)</f>
        <v>CRISOSTOMO CASTRO</v>
      </c>
      <c r="L725" s="1" t="str">
        <f>VLOOKUP(J725,'[1]Base SCA 02 2026'!V:Y,4,0)</f>
        <v>YAN SILVA</v>
      </c>
      <c r="M725" s="1" t="str">
        <f>VLOOKUP(J725,'[1]Base SCA 02 2026'!V:Z,5,0)</f>
        <v>JUNIO TEIXEIRA /GEOVANI RORIZ</v>
      </c>
      <c r="N725" s="1" t="str">
        <f t="shared" si="11"/>
        <v>JUNIO TEIXEIRA /GEOVANI RORIZ</v>
      </c>
    </row>
    <row r="726" spans="1:14" x14ac:dyDescent="0.3">
      <c r="A726" s="1">
        <v>704313</v>
      </c>
      <c r="B726" s="1" t="s">
        <v>759</v>
      </c>
      <c r="C726" s="5" t="s">
        <v>15</v>
      </c>
      <c r="D726" s="2">
        <v>45356</v>
      </c>
      <c r="E726" s="1" t="s">
        <v>16</v>
      </c>
      <c r="F726" s="1">
        <v>24102</v>
      </c>
      <c r="G726" s="1" t="s">
        <v>669</v>
      </c>
      <c r="H726" s="1" t="s">
        <v>661</v>
      </c>
      <c r="J726" s="1" t="s">
        <v>682</v>
      </c>
      <c r="K726" s="1" t="str">
        <f>VLOOKUP(J726,'[1]Base SCA 02 2026'!V:X,3,0)</f>
        <v>CRISOSTOMO CASTRO</v>
      </c>
      <c r="L726" s="1" t="str">
        <f>VLOOKUP(J726,'[1]Base SCA 02 2026'!V:Y,4,0)</f>
        <v>JOÃO FILHO</v>
      </c>
      <c r="M726" s="1" t="str">
        <f>VLOOKUP(J726,'[1]Base SCA 02 2026'!V:Z,5,0)</f>
        <v>ALCENO JUNIOR/JOÃO MARCOS</v>
      </c>
      <c r="N726" s="1" t="str">
        <f t="shared" si="11"/>
        <v>ALCENO JUNIOR/JOÃO MARCOS</v>
      </c>
    </row>
    <row r="727" spans="1:14" x14ac:dyDescent="0.3">
      <c r="A727" s="1">
        <v>101262</v>
      </c>
      <c r="B727" s="1" t="s">
        <v>760</v>
      </c>
      <c r="C727" s="5" t="s">
        <v>15</v>
      </c>
      <c r="D727" s="2">
        <v>42800</v>
      </c>
      <c r="E727" s="1" t="s">
        <v>1179</v>
      </c>
      <c r="F727" s="1">
        <v>24102</v>
      </c>
      <c r="G727" s="1" t="s">
        <v>669</v>
      </c>
      <c r="H727" s="1" t="s">
        <v>661</v>
      </c>
      <c r="J727" s="1" t="s">
        <v>197</v>
      </c>
      <c r="K727" s="1" t="str">
        <f>VLOOKUP(J727,'[1]Base SCA 02 2026'!V:X,3,0)</f>
        <v xml:space="preserve">CARLOS OLIVEIRA </v>
      </c>
      <c r="L727" s="1" t="str">
        <f>VLOOKUP(J727,'[1]Base SCA 02 2026'!V:Y,4,0)</f>
        <v xml:space="preserve">CARLOS OLIVEIRA </v>
      </c>
      <c r="N727" s="1" t="str">
        <f t="shared" si="11"/>
        <v xml:space="preserve">CARLOS OLIVEIRA </v>
      </c>
    </row>
    <row r="728" spans="1:14" x14ac:dyDescent="0.3">
      <c r="A728" s="1">
        <v>705655</v>
      </c>
      <c r="B728" s="1" t="s">
        <v>1423</v>
      </c>
      <c r="C728" s="5" t="s">
        <v>15</v>
      </c>
      <c r="D728" s="2">
        <v>45944</v>
      </c>
      <c r="E728" s="1" t="s">
        <v>31</v>
      </c>
      <c r="F728" s="1">
        <v>24102</v>
      </c>
      <c r="G728" s="1" t="s">
        <v>669</v>
      </c>
      <c r="H728" s="1" t="s">
        <v>661</v>
      </c>
      <c r="J728" s="1" t="s">
        <v>680</v>
      </c>
      <c r="K728" s="1" t="str">
        <f>VLOOKUP(J728,'[1]Base SCA 02 2026'!V:X,3,0)</f>
        <v>CRISOSTOMO CASTRO</v>
      </c>
      <c r="L728" s="1" t="str">
        <f>VLOOKUP(J728,'[1]Base SCA 02 2026'!V:Y,4,0)</f>
        <v>YAN SILVA</v>
      </c>
      <c r="M728" s="1" t="str">
        <f>VLOOKUP(J728,'[1]Base SCA 02 2026'!V:Z,5,0)</f>
        <v>JUNIO TEIXEIRA /GEOVANI RORIZ</v>
      </c>
      <c r="N728" s="1" t="str">
        <f t="shared" si="11"/>
        <v>JUNIO TEIXEIRA /GEOVANI RORIZ</v>
      </c>
    </row>
    <row r="729" spans="1:14" x14ac:dyDescent="0.3">
      <c r="A729" s="1">
        <v>704169</v>
      </c>
      <c r="B729" s="1" t="s">
        <v>761</v>
      </c>
      <c r="C729" s="5" t="s">
        <v>15</v>
      </c>
      <c r="D729" s="2">
        <v>45272</v>
      </c>
      <c r="E729" s="1" t="s">
        <v>1348</v>
      </c>
      <c r="F729" s="1">
        <v>32102</v>
      </c>
      <c r="G729" s="1" t="s">
        <v>674</v>
      </c>
      <c r="H729" s="1" t="s">
        <v>661</v>
      </c>
      <c r="J729" s="1" t="s">
        <v>675</v>
      </c>
      <c r="K729" s="1" t="str">
        <f>VLOOKUP(J729,'[1]Base SCA 02 2026'!V:X,3,0)</f>
        <v>RAFAEL XAVIER</v>
      </c>
      <c r="L729" s="1" t="str">
        <f>VLOOKUP(J729,'[1]Base SCA 02 2026'!V:Y,4,0)</f>
        <v>FERNANDO GUILHERME</v>
      </c>
      <c r="M729" s="1" t="str">
        <f>VLOOKUP(J729,'[1]Base SCA 02 2026'!V:Z,5,0)</f>
        <v>MARCELO DOURADO</v>
      </c>
      <c r="N729" s="1" t="str">
        <f t="shared" si="11"/>
        <v>MARCELO DOURADO</v>
      </c>
    </row>
    <row r="730" spans="1:14" x14ac:dyDescent="0.3">
      <c r="A730" s="1">
        <v>704252</v>
      </c>
      <c r="B730" s="1" t="s">
        <v>762</v>
      </c>
      <c r="C730" s="5" t="s">
        <v>15</v>
      </c>
      <c r="D730" s="2">
        <v>45342</v>
      </c>
      <c r="E730" s="1" t="s">
        <v>31</v>
      </c>
      <c r="F730" s="1">
        <v>24102</v>
      </c>
      <c r="G730" s="1" t="s">
        <v>669</v>
      </c>
      <c r="H730" s="1" t="s">
        <v>661</v>
      </c>
      <c r="J730" s="1" t="s">
        <v>680</v>
      </c>
      <c r="K730" s="1" t="str">
        <f>VLOOKUP(J730,'[1]Base SCA 02 2026'!V:X,3,0)</f>
        <v>CRISOSTOMO CASTRO</v>
      </c>
      <c r="L730" s="1" t="str">
        <f>VLOOKUP(J730,'[1]Base SCA 02 2026'!V:Y,4,0)</f>
        <v>YAN SILVA</v>
      </c>
      <c r="M730" s="1" t="str">
        <f>VLOOKUP(J730,'[1]Base SCA 02 2026'!V:Z,5,0)</f>
        <v>JUNIO TEIXEIRA /GEOVANI RORIZ</v>
      </c>
      <c r="N730" s="1" t="str">
        <f t="shared" si="11"/>
        <v>JUNIO TEIXEIRA /GEOVANI RORIZ</v>
      </c>
    </row>
    <row r="731" spans="1:14" x14ac:dyDescent="0.3">
      <c r="A731" s="1">
        <v>101702</v>
      </c>
      <c r="B731" s="1" t="s">
        <v>763</v>
      </c>
      <c r="C731" s="5" t="s">
        <v>15</v>
      </c>
      <c r="D731" s="2">
        <v>43060</v>
      </c>
      <c r="E731" s="1" t="s">
        <v>146</v>
      </c>
      <c r="F731" s="1">
        <v>39601</v>
      </c>
      <c r="G731" s="1" t="s">
        <v>660</v>
      </c>
      <c r="H731" s="1" t="s">
        <v>661</v>
      </c>
      <c r="J731" s="1" t="s">
        <v>662</v>
      </c>
      <c r="K731" s="1" t="str">
        <f>VLOOKUP(J731,'[1]Base SCA 02 2026'!V:X,3,0)</f>
        <v>CRISOSTOMO CASTRO</v>
      </c>
      <c r="L731" s="1" t="str">
        <f>VLOOKUP(J731,'[1]Base SCA 02 2026'!V:Y,4,0)</f>
        <v>MATHEUS ALMEIDA</v>
      </c>
      <c r="N731" s="1" t="str">
        <f t="shared" si="11"/>
        <v>MATHEUS ALMEIDA</v>
      </c>
    </row>
    <row r="732" spans="1:14" x14ac:dyDescent="0.3">
      <c r="A732" s="1">
        <v>705656</v>
      </c>
      <c r="B732" s="1" t="s">
        <v>1424</v>
      </c>
      <c r="C732" s="5" t="s">
        <v>15</v>
      </c>
      <c r="D732" s="2">
        <v>45944</v>
      </c>
      <c r="E732" s="1" t="s">
        <v>31</v>
      </c>
      <c r="F732" s="1">
        <v>39601</v>
      </c>
      <c r="G732" s="1" t="s">
        <v>660</v>
      </c>
      <c r="H732" s="1" t="s">
        <v>661</v>
      </c>
      <c r="J732" s="1" t="s">
        <v>684</v>
      </c>
      <c r="K732" s="1" t="str">
        <f>VLOOKUP(J732,'[1]Base SCA 02 2026'!V:X,3,0)</f>
        <v>CRISOSTOMO CASTRO</v>
      </c>
      <c r="L732" s="1" t="str">
        <f>VLOOKUP(J732,'[1]Base SCA 02 2026'!V:Y,4,0)</f>
        <v>MATHEUS ALMEIDA</v>
      </c>
      <c r="M732" s="1" t="str">
        <f>VLOOKUP(J732,'[1]Base SCA 02 2026'!V:Z,5,0)</f>
        <v>ADALTON/JANILSON RORIZ/MARIVALDO</v>
      </c>
      <c r="N732" s="1" t="str">
        <f t="shared" si="11"/>
        <v>ADALTON/JANILSON RORIZ/MARIVALDO</v>
      </c>
    </row>
    <row r="733" spans="1:14" x14ac:dyDescent="0.3">
      <c r="A733" s="1">
        <v>704782</v>
      </c>
      <c r="B733" s="1" t="s">
        <v>764</v>
      </c>
      <c r="C733" s="5" t="s">
        <v>15</v>
      </c>
      <c r="D733" s="2">
        <v>45551</v>
      </c>
      <c r="E733" s="1" t="s">
        <v>31</v>
      </c>
      <c r="F733" s="1">
        <v>39601</v>
      </c>
      <c r="G733" s="1" t="s">
        <v>660</v>
      </c>
      <c r="H733" s="1" t="s">
        <v>661</v>
      </c>
      <c r="J733" s="1" t="s">
        <v>684</v>
      </c>
      <c r="K733" s="1" t="str">
        <f>VLOOKUP(J733,'[1]Base SCA 02 2026'!V:X,3,0)</f>
        <v>CRISOSTOMO CASTRO</v>
      </c>
      <c r="L733" s="1" t="str">
        <f>VLOOKUP(J733,'[1]Base SCA 02 2026'!V:Y,4,0)</f>
        <v>MATHEUS ALMEIDA</v>
      </c>
      <c r="M733" s="1" t="str">
        <f>VLOOKUP(J733,'[1]Base SCA 02 2026'!V:Z,5,0)</f>
        <v>ADALTON/JANILSON RORIZ/MARIVALDO</v>
      </c>
      <c r="N733" s="1" t="str">
        <f t="shared" si="11"/>
        <v>ADALTON/JANILSON RORIZ/MARIVALDO</v>
      </c>
    </row>
    <row r="734" spans="1:14" x14ac:dyDescent="0.3">
      <c r="A734" s="1">
        <v>704378</v>
      </c>
      <c r="B734" s="1" t="s">
        <v>765</v>
      </c>
      <c r="C734" s="5" t="s">
        <v>15</v>
      </c>
      <c r="D734" s="2">
        <v>45384</v>
      </c>
      <c r="E734" s="1" t="s">
        <v>60</v>
      </c>
      <c r="F734" s="1">
        <v>39601</v>
      </c>
      <c r="G734" s="1" t="s">
        <v>660</v>
      </c>
      <c r="H734" s="1" t="s">
        <v>661</v>
      </c>
      <c r="J734" s="1" t="s">
        <v>684</v>
      </c>
      <c r="K734" s="1" t="str">
        <f>VLOOKUP(J734,'[1]Base SCA 02 2026'!V:X,3,0)</f>
        <v>CRISOSTOMO CASTRO</v>
      </c>
      <c r="L734" s="1" t="str">
        <f>VLOOKUP(J734,'[1]Base SCA 02 2026'!V:Y,4,0)</f>
        <v>MATHEUS ALMEIDA</v>
      </c>
      <c r="M734" s="1" t="str">
        <f>VLOOKUP(J734,'[1]Base SCA 02 2026'!V:Z,5,0)</f>
        <v>ADALTON/JANILSON RORIZ/MARIVALDO</v>
      </c>
      <c r="N734" s="1" t="str">
        <f t="shared" si="11"/>
        <v>ADALTON/JANILSON RORIZ/MARIVALDO</v>
      </c>
    </row>
    <row r="735" spans="1:14" x14ac:dyDescent="0.3">
      <c r="A735" s="1">
        <v>704317</v>
      </c>
      <c r="B735" s="1" t="s">
        <v>766</v>
      </c>
      <c r="C735" s="5" t="s">
        <v>15</v>
      </c>
      <c r="D735" s="2">
        <v>45356</v>
      </c>
      <c r="E735" s="1" t="s">
        <v>109</v>
      </c>
      <c r="F735" s="1">
        <v>32102</v>
      </c>
      <c r="G735" s="1" t="s">
        <v>674</v>
      </c>
      <c r="H735" s="1" t="s">
        <v>661</v>
      </c>
      <c r="J735" s="1" t="s">
        <v>675</v>
      </c>
      <c r="K735" s="1" t="str">
        <f>VLOOKUP(J735,'[1]Base SCA 02 2026'!V:X,3,0)</f>
        <v>RAFAEL XAVIER</v>
      </c>
      <c r="L735" s="1" t="str">
        <f>VLOOKUP(J735,'[1]Base SCA 02 2026'!V:Y,4,0)</f>
        <v>FERNANDO GUILHERME</v>
      </c>
      <c r="M735" s="1" t="str">
        <f>VLOOKUP(J735,'[1]Base SCA 02 2026'!V:Z,5,0)</f>
        <v>MARCELO DOURADO</v>
      </c>
      <c r="N735" s="1" t="str">
        <f t="shared" si="11"/>
        <v>MARCELO DOURADO</v>
      </c>
    </row>
    <row r="736" spans="1:14" x14ac:dyDescent="0.3">
      <c r="A736" s="1">
        <v>705483</v>
      </c>
      <c r="B736" s="1" t="s">
        <v>1281</v>
      </c>
      <c r="C736" s="5" t="s">
        <v>15</v>
      </c>
      <c r="D736" s="2">
        <v>45824</v>
      </c>
      <c r="E736" s="1" t="s">
        <v>336</v>
      </c>
      <c r="F736" s="1">
        <v>24102</v>
      </c>
      <c r="G736" s="1" t="s">
        <v>669</v>
      </c>
      <c r="H736" s="1" t="s">
        <v>661</v>
      </c>
      <c r="J736" s="1" t="s">
        <v>804</v>
      </c>
      <c r="K736" s="1" t="str">
        <f>VLOOKUP(J736,'[1]Base SCA 02 2026'!V:X,3,0)</f>
        <v>CRISOSTOMO CASTRO</v>
      </c>
      <c r="L736" s="1" t="str">
        <f>VLOOKUP(J736,'[1]Base SCA 02 2026'!V:Y,4,0)</f>
        <v>CRISOSTOMO CASTRO</v>
      </c>
      <c r="M736" s="1" t="str">
        <f>VLOOKUP(J736,'[1]Base SCA 02 2026'!V:Z,5,0)</f>
        <v>JAILSON RORIZ</v>
      </c>
      <c r="N736" s="1" t="str">
        <f t="shared" si="11"/>
        <v>JAILSON RORIZ</v>
      </c>
    </row>
    <row r="737" spans="1:14" x14ac:dyDescent="0.3">
      <c r="A737" s="1">
        <v>702137</v>
      </c>
      <c r="B737" s="1" t="s">
        <v>767</v>
      </c>
      <c r="C737" s="5" t="s">
        <v>15</v>
      </c>
      <c r="D737" s="2">
        <v>44299</v>
      </c>
      <c r="E737" s="1" t="s">
        <v>31</v>
      </c>
      <c r="F737" s="1">
        <v>24102</v>
      </c>
      <c r="G737" s="1" t="s">
        <v>669</v>
      </c>
      <c r="H737" s="1" t="s">
        <v>661</v>
      </c>
      <c r="J737" s="1" t="s">
        <v>680</v>
      </c>
      <c r="K737" s="1" t="str">
        <f>VLOOKUP(J737,'[1]Base SCA 02 2026'!V:X,3,0)</f>
        <v>CRISOSTOMO CASTRO</v>
      </c>
      <c r="L737" s="1" t="str">
        <f>VLOOKUP(J737,'[1]Base SCA 02 2026'!V:Y,4,0)</f>
        <v>YAN SILVA</v>
      </c>
      <c r="M737" s="1" t="str">
        <f>VLOOKUP(J737,'[1]Base SCA 02 2026'!V:Z,5,0)</f>
        <v>JUNIO TEIXEIRA /GEOVANI RORIZ</v>
      </c>
      <c r="N737" s="1" t="str">
        <f t="shared" si="11"/>
        <v>JUNIO TEIXEIRA /GEOVANI RORIZ</v>
      </c>
    </row>
    <row r="738" spans="1:14" x14ac:dyDescent="0.3">
      <c r="A738" s="1">
        <v>704669</v>
      </c>
      <c r="B738" s="1" t="s">
        <v>769</v>
      </c>
      <c r="C738" s="5" t="s">
        <v>15</v>
      </c>
      <c r="D738" s="2">
        <v>45489</v>
      </c>
      <c r="E738" s="1" t="s">
        <v>427</v>
      </c>
      <c r="F738" s="1">
        <v>39602</v>
      </c>
      <c r="G738" s="1" t="s">
        <v>699</v>
      </c>
      <c r="H738" s="1" t="s">
        <v>661</v>
      </c>
      <c r="J738" s="1" t="s">
        <v>700</v>
      </c>
      <c r="K738" s="1" t="str">
        <f>VLOOKUP(J738,'[1]Base SCA 02 2026'!V:X,3,0)</f>
        <v>CRISOSTOMO CASTRO</v>
      </c>
      <c r="L738" s="1" t="str">
        <f>VLOOKUP(J738,'[1]Base SCA 02 2026'!V:Y,4,0)</f>
        <v>MATHEUS ALMEIDA</v>
      </c>
      <c r="M738" s="1" t="str">
        <f>VLOOKUP(J738,'[1]Base SCA 02 2026'!V:Z,5,0)</f>
        <v>IURY GUEDES</v>
      </c>
      <c r="N738" s="1" t="str">
        <f t="shared" si="11"/>
        <v>IURY GUEDES</v>
      </c>
    </row>
    <row r="739" spans="1:14" x14ac:dyDescent="0.3">
      <c r="A739" s="1">
        <v>705221</v>
      </c>
      <c r="B739" s="1" t="s">
        <v>1170</v>
      </c>
      <c r="C739" s="5" t="s">
        <v>15</v>
      </c>
      <c r="D739" s="2">
        <v>45734</v>
      </c>
      <c r="E739" s="1" t="s">
        <v>31</v>
      </c>
      <c r="F739" s="1">
        <v>24102</v>
      </c>
      <c r="G739" s="1" t="s">
        <v>669</v>
      </c>
      <c r="H739" s="1" t="s">
        <v>661</v>
      </c>
      <c r="J739" s="1" t="s">
        <v>680</v>
      </c>
      <c r="K739" s="1" t="str">
        <f>VLOOKUP(J739,'[1]Base SCA 02 2026'!V:X,3,0)</f>
        <v>CRISOSTOMO CASTRO</v>
      </c>
      <c r="L739" s="1" t="str">
        <f>VLOOKUP(J739,'[1]Base SCA 02 2026'!V:Y,4,0)</f>
        <v>YAN SILVA</v>
      </c>
      <c r="M739" s="1" t="str">
        <f>VLOOKUP(J739,'[1]Base SCA 02 2026'!V:Z,5,0)</f>
        <v>JUNIO TEIXEIRA /GEOVANI RORIZ</v>
      </c>
      <c r="N739" s="1" t="str">
        <f t="shared" si="11"/>
        <v>JUNIO TEIXEIRA /GEOVANI RORIZ</v>
      </c>
    </row>
    <row r="740" spans="1:14" x14ac:dyDescent="0.3">
      <c r="A740" s="1">
        <v>705390</v>
      </c>
      <c r="B740" s="1" t="s">
        <v>1244</v>
      </c>
      <c r="C740" s="5" t="s">
        <v>92</v>
      </c>
      <c r="D740" s="2">
        <v>45791</v>
      </c>
      <c r="E740" s="1" t="s">
        <v>31</v>
      </c>
      <c r="F740" s="1">
        <v>39601</v>
      </c>
      <c r="G740" s="1" t="s">
        <v>660</v>
      </c>
      <c r="H740" s="1" t="s">
        <v>661</v>
      </c>
      <c r="I740" s="2">
        <v>46058</v>
      </c>
      <c r="J740" s="1" t="s">
        <v>662</v>
      </c>
      <c r="K740" s="1" t="str">
        <f>VLOOKUP(J740,'[1]Base SCA 02 2026'!V:X,3,0)</f>
        <v>CRISOSTOMO CASTRO</v>
      </c>
      <c r="L740" s="1" t="str">
        <f>VLOOKUP(J740,'[1]Base SCA 02 2026'!V:Y,4,0)</f>
        <v>MATHEUS ALMEIDA</v>
      </c>
      <c r="N740" s="1" t="str">
        <f t="shared" si="11"/>
        <v>MATHEUS ALMEIDA</v>
      </c>
    </row>
    <row r="741" spans="1:14" x14ac:dyDescent="0.3">
      <c r="A741" s="1">
        <v>703007</v>
      </c>
      <c r="B741" s="1" t="s">
        <v>770</v>
      </c>
      <c r="C741" s="5" t="s">
        <v>15</v>
      </c>
      <c r="D741" s="2">
        <v>44691</v>
      </c>
      <c r="E741" s="1" t="s">
        <v>31</v>
      </c>
      <c r="F741" s="1">
        <v>24102</v>
      </c>
      <c r="G741" s="1" t="s">
        <v>669</v>
      </c>
      <c r="H741" s="1" t="s">
        <v>661</v>
      </c>
      <c r="J741" s="1" t="s">
        <v>672</v>
      </c>
      <c r="K741" s="1" t="str">
        <f>VLOOKUP(J741,'[1]Base SCA 02 2026'!V:X,3,0)</f>
        <v>CRISOSTOMO CASTRO</v>
      </c>
      <c r="L741" s="1" t="str">
        <f>VLOOKUP(J741,'[1]Base SCA 02 2026'!V:Y,4,0)</f>
        <v>YAN SILVA</v>
      </c>
      <c r="M741" s="1" t="str">
        <f>VLOOKUP(J741,'[1]Base SCA 02 2026'!V:Z,5,0)</f>
        <v>JUNIO TEIXEIRA /GEOVANI RORIZ</v>
      </c>
      <c r="N741" s="1" t="str">
        <f t="shared" si="11"/>
        <v>JUNIO TEIXEIRA /GEOVANI RORIZ</v>
      </c>
    </row>
    <row r="742" spans="1:14" x14ac:dyDescent="0.3">
      <c r="A742" s="1">
        <v>703809</v>
      </c>
      <c r="B742" s="1" t="s">
        <v>771</v>
      </c>
      <c r="C742" s="5" t="s">
        <v>15</v>
      </c>
      <c r="D742" s="2">
        <v>45050</v>
      </c>
      <c r="E742" s="1" t="s">
        <v>31</v>
      </c>
      <c r="F742" s="1">
        <v>39601</v>
      </c>
      <c r="G742" s="1" t="s">
        <v>660</v>
      </c>
      <c r="H742" s="1" t="s">
        <v>661</v>
      </c>
      <c r="J742" s="1" t="s">
        <v>684</v>
      </c>
      <c r="K742" s="1" t="str">
        <f>VLOOKUP(J742,'[1]Base SCA 02 2026'!V:X,3,0)</f>
        <v>CRISOSTOMO CASTRO</v>
      </c>
      <c r="L742" s="1" t="str">
        <f>VLOOKUP(J742,'[1]Base SCA 02 2026'!V:Y,4,0)</f>
        <v>MATHEUS ALMEIDA</v>
      </c>
      <c r="M742" s="1" t="str">
        <f>VLOOKUP(J742,'[1]Base SCA 02 2026'!V:Z,5,0)</f>
        <v>ADALTON/JANILSON RORIZ/MARIVALDO</v>
      </c>
      <c r="N742" s="1" t="str">
        <f t="shared" si="11"/>
        <v>ADALTON/JANILSON RORIZ/MARIVALDO</v>
      </c>
    </row>
    <row r="743" spans="1:14" x14ac:dyDescent="0.3">
      <c r="A743" s="1">
        <v>701689</v>
      </c>
      <c r="B743" s="1" t="s">
        <v>772</v>
      </c>
      <c r="C743" s="5" t="s">
        <v>15</v>
      </c>
      <c r="D743" s="2">
        <v>44025</v>
      </c>
      <c r="E743" s="1" t="s">
        <v>60</v>
      </c>
      <c r="F743" s="1">
        <v>24102</v>
      </c>
      <c r="G743" s="1" t="s">
        <v>669</v>
      </c>
      <c r="H743" s="1" t="s">
        <v>661</v>
      </c>
      <c r="J743" s="1" t="s">
        <v>697</v>
      </c>
      <c r="K743" s="1" t="str">
        <f>VLOOKUP(J743,'[1]Base SCA 02 2026'!V:X,3,0)</f>
        <v>CRISOSTOMO CASTRO</v>
      </c>
      <c r="L743" s="1" t="str">
        <f>VLOOKUP(J743,'[1]Base SCA 02 2026'!V:Y,4,0)</f>
        <v>JOÃO FILHO</v>
      </c>
      <c r="M743" s="1" t="str">
        <f>VLOOKUP(J743,'[1]Base SCA 02 2026'!V:Z,5,0)</f>
        <v>ALCENO JUNIOR/JOÃO MARCOS</v>
      </c>
      <c r="N743" s="1" t="str">
        <f t="shared" si="11"/>
        <v>ALCENO JUNIOR/JOÃO MARCOS</v>
      </c>
    </row>
    <row r="744" spans="1:14" x14ac:dyDescent="0.3">
      <c r="A744" s="1">
        <v>703514</v>
      </c>
      <c r="B744" s="1" t="s">
        <v>773</v>
      </c>
      <c r="C744" s="5" t="s">
        <v>15</v>
      </c>
      <c r="D744" s="2">
        <v>44901</v>
      </c>
      <c r="E744" s="1" t="s">
        <v>427</v>
      </c>
      <c r="F744" s="1">
        <v>39602</v>
      </c>
      <c r="G744" s="1" t="s">
        <v>699</v>
      </c>
      <c r="H744" s="1" t="s">
        <v>661</v>
      </c>
      <c r="J744" s="1" t="s">
        <v>700</v>
      </c>
      <c r="K744" s="1" t="str">
        <f>VLOOKUP(J744,'[1]Base SCA 02 2026'!V:X,3,0)</f>
        <v>CRISOSTOMO CASTRO</v>
      </c>
      <c r="L744" s="1" t="str">
        <f>VLOOKUP(J744,'[1]Base SCA 02 2026'!V:Y,4,0)</f>
        <v>MATHEUS ALMEIDA</v>
      </c>
      <c r="M744" s="1" t="str">
        <f>VLOOKUP(J744,'[1]Base SCA 02 2026'!V:Z,5,0)</f>
        <v>IURY GUEDES</v>
      </c>
      <c r="N744" s="1" t="str">
        <f t="shared" si="11"/>
        <v>IURY GUEDES</v>
      </c>
    </row>
    <row r="745" spans="1:14" x14ac:dyDescent="0.3">
      <c r="A745" s="1">
        <v>705282</v>
      </c>
      <c r="B745" s="1" t="s">
        <v>1190</v>
      </c>
      <c r="C745" s="5" t="s">
        <v>15</v>
      </c>
      <c r="D745" s="2">
        <v>45762</v>
      </c>
      <c r="E745" s="1" t="s">
        <v>31</v>
      </c>
      <c r="F745" s="1">
        <v>39601</v>
      </c>
      <c r="G745" s="1" t="s">
        <v>660</v>
      </c>
      <c r="H745" s="1" t="s">
        <v>661</v>
      </c>
      <c r="J745" s="1" t="s">
        <v>684</v>
      </c>
      <c r="K745" s="1" t="str">
        <f>VLOOKUP(J745,'[1]Base SCA 02 2026'!V:X,3,0)</f>
        <v>CRISOSTOMO CASTRO</v>
      </c>
      <c r="L745" s="1" t="str">
        <f>VLOOKUP(J745,'[1]Base SCA 02 2026'!V:Y,4,0)</f>
        <v>MATHEUS ALMEIDA</v>
      </c>
      <c r="M745" s="1" t="str">
        <f>VLOOKUP(J745,'[1]Base SCA 02 2026'!V:Z,5,0)</f>
        <v>ADALTON/JANILSON RORIZ/MARIVALDO</v>
      </c>
      <c r="N745" s="1" t="str">
        <f t="shared" si="11"/>
        <v>ADALTON/JANILSON RORIZ/MARIVALDO</v>
      </c>
    </row>
    <row r="746" spans="1:14" x14ac:dyDescent="0.3">
      <c r="A746" s="1">
        <v>702584</v>
      </c>
      <c r="B746" s="1" t="s">
        <v>774</v>
      </c>
      <c r="C746" s="5" t="s">
        <v>15</v>
      </c>
      <c r="D746" s="2">
        <v>44474</v>
      </c>
      <c r="E746" s="1" t="s">
        <v>427</v>
      </c>
      <c r="F746" s="1">
        <v>24201</v>
      </c>
      <c r="G746" s="1" t="s">
        <v>664</v>
      </c>
      <c r="H746" s="1" t="s">
        <v>661</v>
      </c>
      <c r="J746" s="1" t="s">
        <v>665</v>
      </c>
      <c r="K746" s="1" t="str">
        <f>VLOOKUP(J746,'[1]Base SCA 02 2026'!V:X,3,0)</f>
        <v>CRISOSTOMO CASTRO</v>
      </c>
      <c r="L746" s="1" t="str">
        <f>VLOOKUP(J746,'[1]Base SCA 02 2026'!V:Y,4,0)</f>
        <v>MATHEUS ALMEIDA</v>
      </c>
      <c r="M746" s="1" t="str">
        <f>VLOOKUP(J746,'[1]Base SCA 02 2026'!V:Z,5,0)</f>
        <v>JOSIEL NEVES</v>
      </c>
      <c r="N746" s="1" t="str">
        <f t="shared" si="11"/>
        <v>JOSIEL NEVES</v>
      </c>
    </row>
    <row r="747" spans="1:14" x14ac:dyDescent="0.3">
      <c r="A747" s="1">
        <v>705279</v>
      </c>
      <c r="B747" s="1" t="s">
        <v>1191</v>
      </c>
      <c r="C747" s="5" t="s">
        <v>15</v>
      </c>
      <c r="D747" s="2">
        <v>45762</v>
      </c>
      <c r="E747" s="1" t="s">
        <v>31</v>
      </c>
      <c r="F747" s="1">
        <v>39601</v>
      </c>
      <c r="G747" s="1" t="s">
        <v>660</v>
      </c>
      <c r="H747" s="1" t="s">
        <v>661</v>
      </c>
      <c r="J747" s="1" t="s">
        <v>684</v>
      </c>
      <c r="K747" s="1" t="str">
        <f>VLOOKUP(J747,'[1]Base SCA 02 2026'!V:X,3,0)</f>
        <v>CRISOSTOMO CASTRO</v>
      </c>
      <c r="L747" s="1" t="str">
        <f>VLOOKUP(J747,'[1]Base SCA 02 2026'!V:Y,4,0)</f>
        <v>MATHEUS ALMEIDA</v>
      </c>
      <c r="M747" s="1" t="str">
        <f>VLOOKUP(J747,'[1]Base SCA 02 2026'!V:Z,5,0)</f>
        <v>ADALTON/JANILSON RORIZ/MARIVALDO</v>
      </c>
      <c r="N747" s="1" t="str">
        <f t="shared" si="11"/>
        <v>ADALTON/JANILSON RORIZ/MARIVALDO</v>
      </c>
    </row>
    <row r="748" spans="1:14" x14ac:dyDescent="0.3">
      <c r="A748" s="1">
        <v>704908</v>
      </c>
      <c r="B748" s="1" t="s">
        <v>775</v>
      </c>
      <c r="C748" s="5" t="s">
        <v>15</v>
      </c>
      <c r="D748" s="2">
        <v>45601</v>
      </c>
      <c r="E748" s="1" t="s">
        <v>31</v>
      </c>
      <c r="F748" s="1">
        <v>39601</v>
      </c>
      <c r="G748" s="1" t="s">
        <v>660</v>
      </c>
      <c r="H748" s="1" t="s">
        <v>661</v>
      </c>
      <c r="J748" s="1" t="s">
        <v>684</v>
      </c>
      <c r="K748" s="1" t="str">
        <f>VLOOKUP(J748,'[1]Base SCA 02 2026'!V:X,3,0)</f>
        <v>CRISOSTOMO CASTRO</v>
      </c>
      <c r="L748" s="1" t="str">
        <f>VLOOKUP(J748,'[1]Base SCA 02 2026'!V:Y,4,0)</f>
        <v>MATHEUS ALMEIDA</v>
      </c>
      <c r="M748" s="1" t="str">
        <f>VLOOKUP(J748,'[1]Base SCA 02 2026'!V:Z,5,0)</f>
        <v>ADALTON/JANILSON RORIZ/MARIVALDO</v>
      </c>
      <c r="N748" s="1" t="str">
        <f t="shared" si="11"/>
        <v>ADALTON/JANILSON RORIZ/MARIVALDO</v>
      </c>
    </row>
    <row r="749" spans="1:14" x14ac:dyDescent="0.3">
      <c r="A749" s="1">
        <v>705594</v>
      </c>
      <c r="B749" s="1" t="s">
        <v>1332</v>
      </c>
      <c r="C749" s="5" t="s">
        <v>15</v>
      </c>
      <c r="D749" s="2">
        <v>45881</v>
      </c>
      <c r="E749" s="1" t="s">
        <v>31</v>
      </c>
      <c r="F749" s="1">
        <v>24102</v>
      </c>
      <c r="G749" s="1" t="s">
        <v>669</v>
      </c>
      <c r="H749" s="1" t="s">
        <v>661</v>
      </c>
      <c r="J749" s="1" t="s">
        <v>680</v>
      </c>
      <c r="K749" s="1" t="str">
        <f>VLOOKUP(J749,'[1]Base SCA 02 2026'!V:X,3,0)</f>
        <v>CRISOSTOMO CASTRO</v>
      </c>
      <c r="L749" s="1" t="str">
        <f>VLOOKUP(J749,'[1]Base SCA 02 2026'!V:Y,4,0)</f>
        <v>YAN SILVA</v>
      </c>
      <c r="M749" s="1" t="str">
        <f>VLOOKUP(J749,'[1]Base SCA 02 2026'!V:Z,5,0)</f>
        <v>JUNIO TEIXEIRA /GEOVANI RORIZ</v>
      </c>
      <c r="N749" s="1" t="str">
        <f t="shared" si="11"/>
        <v>JUNIO TEIXEIRA /GEOVANI RORIZ</v>
      </c>
    </row>
    <row r="750" spans="1:14" x14ac:dyDescent="0.3">
      <c r="A750" s="1">
        <v>704999</v>
      </c>
      <c r="B750" s="1" t="s">
        <v>776</v>
      </c>
      <c r="C750" s="5" t="s">
        <v>15</v>
      </c>
      <c r="D750" s="2">
        <v>45629</v>
      </c>
      <c r="E750" s="1" t="s">
        <v>31</v>
      </c>
      <c r="F750" s="1">
        <v>39601</v>
      </c>
      <c r="G750" s="1" t="s">
        <v>660</v>
      </c>
      <c r="H750" s="1" t="s">
        <v>661</v>
      </c>
      <c r="J750" s="1" t="s">
        <v>684</v>
      </c>
      <c r="K750" s="1" t="str">
        <f>VLOOKUP(J750,'[1]Base SCA 02 2026'!V:X,3,0)</f>
        <v>CRISOSTOMO CASTRO</v>
      </c>
      <c r="L750" s="1" t="str">
        <f>VLOOKUP(J750,'[1]Base SCA 02 2026'!V:Y,4,0)</f>
        <v>MATHEUS ALMEIDA</v>
      </c>
      <c r="M750" s="1" t="str">
        <f>VLOOKUP(J750,'[1]Base SCA 02 2026'!V:Z,5,0)</f>
        <v>ADALTON/JANILSON RORIZ/MARIVALDO</v>
      </c>
      <c r="N750" s="1" t="str">
        <f t="shared" si="11"/>
        <v>ADALTON/JANILSON RORIZ/MARIVALDO</v>
      </c>
    </row>
    <row r="751" spans="1:14" x14ac:dyDescent="0.3">
      <c r="A751" s="1">
        <v>701855</v>
      </c>
      <c r="B751" s="1" t="s">
        <v>777</v>
      </c>
      <c r="C751" s="5" t="s">
        <v>15</v>
      </c>
      <c r="D751" s="2">
        <v>44125</v>
      </c>
      <c r="E751" s="1" t="s">
        <v>31</v>
      </c>
      <c r="F751" s="1">
        <v>24102</v>
      </c>
      <c r="G751" s="1" t="s">
        <v>669</v>
      </c>
      <c r="H751" s="1" t="s">
        <v>661</v>
      </c>
      <c r="J751" s="1" t="s">
        <v>680</v>
      </c>
      <c r="K751" s="1" t="str">
        <f>VLOOKUP(J751,'[1]Base SCA 02 2026'!V:X,3,0)</f>
        <v>CRISOSTOMO CASTRO</v>
      </c>
      <c r="L751" s="1" t="str">
        <f>VLOOKUP(J751,'[1]Base SCA 02 2026'!V:Y,4,0)</f>
        <v>YAN SILVA</v>
      </c>
      <c r="M751" s="1" t="str">
        <f>VLOOKUP(J751,'[1]Base SCA 02 2026'!V:Z,5,0)</f>
        <v>JUNIO TEIXEIRA /GEOVANI RORIZ</v>
      </c>
      <c r="N751" s="1" t="str">
        <f t="shared" si="11"/>
        <v>JUNIO TEIXEIRA /GEOVANI RORIZ</v>
      </c>
    </row>
    <row r="752" spans="1:14" x14ac:dyDescent="0.3">
      <c r="A752" s="1">
        <v>703149</v>
      </c>
      <c r="B752" s="1" t="s">
        <v>778</v>
      </c>
      <c r="C752" s="5" t="s">
        <v>15</v>
      </c>
      <c r="D752" s="2">
        <v>44725</v>
      </c>
      <c r="E752" s="1" t="s">
        <v>31</v>
      </c>
      <c r="F752" s="1">
        <v>24102</v>
      </c>
      <c r="G752" s="1" t="s">
        <v>669</v>
      </c>
      <c r="H752" s="1" t="s">
        <v>661</v>
      </c>
      <c r="J752" s="1" t="s">
        <v>672</v>
      </c>
      <c r="K752" s="1" t="str">
        <f>VLOOKUP(J752,'[1]Base SCA 02 2026'!V:X,3,0)</f>
        <v>CRISOSTOMO CASTRO</v>
      </c>
      <c r="L752" s="1" t="str">
        <f>VLOOKUP(J752,'[1]Base SCA 02 2026'!V:Y,4,0)</f>
        <v>YAN SILVA</v>
      </c>
      <c r="M752" s="1" t="str">
        <f>VLOOKUP(J752,'[1]Base SCA 02 2026'!V:Z,5,0)</f>
        <v>JUNIO TEIXEIRA /GEOVANI RORIZ</v>
      </c>
      <c r="N752" s="1" t="str">
        <f t="shared" si="11"/>
        <v>JUNIO TEIXEIRA /GEOVANI RORIZ</v>
      </c>
    </row>
    <row r="753" spans="1:14" x14ac:dyDescent="0.3">
      <c r="A753" s="1">
        <v>701115</v>
      </c>
      <c r="B753" s="1" t="s">
        <v>779</v>
      </c>
      <c r="C753" s="5" t="s">
        <v>15</v>
      </c>
      <c r="D753" s="2">
        <v>43641</v>
      </c>
      <c r="E753" s="1" t="s">
        <v>27</v>
      </c>
      <c r="F753" s="1">
        <v>39601</v>
      </c>
      <c r="G753" s="1" t="s">
        <v>660</v>
      </c>
      <c r="H753" s="1" t="s">
        <v>661</v>
      </c>
      <c r="J753" s="1" t="s">
        <v>662</v>
      </c>
      <c r="K753" s="1" t="str">
        <f>VLOOKUP(J753,'[1]Base SCA 02 2026'!V:X,3,0)</f>
        <v>CRISOSTOMO CASTRO</v>
      </c>
      <c r="L753" s="1" t="str">
        <f>VLOOKUP(J753,'[1]Base SCA 02 2026'!V:Y,4,0)</f>
        <v>MATHEUS ALMEIDA</v>
      </c>
      <c r="N753" s="1" t="str">
        <f t="shared" si="11"/>
        <v>MATHEUS ALMEIDA</v>
      </c>
    </row>
    <row r="754" spans="1:14" x14ac:dyDescent="0.3">
      <c r="A754" s="1">
        <v>702401</v>
      </c>
      <c r="B754" s="1" t="s">
        <v>780</v>
      </c>
      <c r="C754" s="5" t="s">
        <v>15</v>
      </c>
      <c r="D754" s="2">
        <v>44383</v>
      </c>
      <c r="E754" s="1" t="s">
        <v>179</v>
      </c>
      <c r="F754" s="1">
        <v>32102</v>
      </c>
      <c r="G754" s="1" t="s">
        <v>674</v>
      </c>
      <c r="H754" s="1" t="s">
        <v>661</v>
      </c>
      <c r="J754" s="1" t="s">
        <v>675</v>
      </c>
      <c r="K754" s="1" t="str">
        <f>VLOOKUP(J754,'[1]Base SCA 02 2026'!V:X,3,0)</f>
        <v>RAFAEL XAVIER</v>
      </c>
      <c r="L754" s="1" t="str">
        <f>VLOOKUP(J754,'[1]Base SCA 02 2026'!V:Y,4,0)</f>
        <v>FERNANDO GUILHERME</v>
      </c>
      <c r="M754" s="1" t="str">
        <f>VLOOKUP(J754,'[1]Base SCA 02 2026'!V:Z,5,0)</f>
        <v>MARCELO DOURADO</v>
      </c>
      <c r="N754" s="1" t="str">
        <f t="shared" si="11"/>
        <v>MARCELO DOURADO</v>
      </c>
    </row>
    <row r="755" spans="1:14" x14ac:dyDescent="0.3">
      <c r="A755" s="1">
        <v>705232</v>
      </c>
      <c r="B755" s="1" t="s">
        <v>1192</v>
      </c>
      <c r="C755" s="5" t="s">
        <v>15</v>
      </c>
      <c r="D755" s="2">
        <v>45755</v>
      </c>
      <c r="E755" s="1" t="s">
        <v>381</v>
      </c>
      <c r="F755" s="1">
        <v>39602</v>
      </c>
      <c r="G755" s="1" t="s">
        <v>699</v>
      </c>
      <c r="H755" s="1" t="s">
        <v>661</v>
      </c>
      <c r="J755" s="1" t="s">
        <v>700</v>
      </c>
      <c r="K755" s="1" t="str">
        <f>VLOOKUP(J755,'[1]Base SCA 02 2026'!V:X,3,0)</f>
        <v>CRISOSTOMO CASTRO</v>
      </c>
      <c r="L755" s="1" t="str">
        <f>VLOOKUP(J755,'[1]Base SCA 02 2026'!V:Y,4,0)</f>
        <v>MATHEUS ALMEIDA</v>
      </c>
      <c r="M755" s="1" t="str">
        <f>VLOOKUP(J755,'[1]Base SCA 02 2026'!V:Z,5,0)</f>
        <v>IURY GUEDES</v>
      </c>
      <c r="N755" s="1" t="str">
        <f t="shared" si="11"/>
        <v>IURY GUEDES</v>
      </c>
    </row>
    <row r="756" spans="1:14" x14ac:dyDescent="0.3">
      <c r="A756" s="1">
        <v>703919</v>
      </c>
      <c r="B756" s="1" t="s">
        <v>781</v>
      </c>
      <c r="C756" s="5" t="s">
        <v>15</v>
      </c>
      <c r="D756" s="2">
        <v>45083</v>
      </c>
      <c r="E756" s="1" t="s">
        <v>31</v>
      </c>
      <c r="F756" s="1">
        <v>24102</v>
      </c>
      <c r="G756" s="1" t="s">
        <v>669</v>
      </c>
      <c r="H756" s="1" t="s">
        <v>661</v>
      </c>
      <c r="J756" s="1" t="s">
        <v>672</v>
      </c>
      <c r="K756" s="1" t="str">
        <f>VLOOKUP(J756,'[1]Base SCA 02 2026'!V:X,3,0)</f>
        <v>CRISOSTOMO CASTRO</v>
      </c>
      <c r="L756" s="1" t="str">
        <f>VLOOKUP(J756,'[1]Base SCA 02 2026'!V:Y,4,0)</f>
        <v>YAN SILVA</v>
      </c>
      <c r="M756" s="1" t="str">
        <f>VLOOKUP(J756,'[1]Base SCA 02 2026'!V:Z,5,0)</f>
        <v>JUNIO TEIXEIRA /GEOVANI RORIZ</v>
      </c>
      <c r="N756" s="1" t="str">
        <f t="shared" si="11"/>
        <v>JUNIO TEIXEIRA /GEOVANI RORIZ</v>
      </c>
    </row>
    <row r="757" spans="1:14" x14ac:dyDescent="0.3">
      <c r="A757" s="1">
        <v>700910</v>
      </c>
      <c r="B757" s="1" t="s">
        <v>782</v>
      </c>
      <c r="C757" s="5" t="s">
        <v>15</v>
      </c>
      <c r="D757" s="2">
        <v>43535</v>
      </c>
      <c r="E757" s="1" t="s">
        <v>427</v>
      </c>
      <c r="F757" s="1">
        <v>39602</v>
      </c>
      <c r="G757" s="1" t="s">
        <v>699</v>
      </c>
      <c r="H757" s="1" t="s">
        <v>661</v>
      </c>
      <c r="J757" s="1" t="s">
        <v>700</v>
      </c>
      <c r="K757" s="1" t="str">
        <f>VLOOKUP(J757,'[1]Base SCA 02 2026'!V:X,3,0)</f>
        <v>CRISOSTOMO CASTRO</v>
      </c>
      <c r="L757" s="1" t="str">
        <f>VLOOKUP(J757,'[1]Base SCA 02 2026'!V:Y,4,0)</f>
        <v>MATHEUS ALMEIDA</v>
      </c>
      <c r="M757" s="1" t="str">
        <f>VLOOKUP(J757,'[1]Base SCA 02 2026'!V:Z,5,0)</f>
        <v>IURY GUEDES</v>
      </c>
      <c r="N757" s="1" t="str">
        <f t="shared" si="11"/>
        <v>IURY GUEDES</v>
      </c>
    </row>
    <row r="758" spans="1:14" x14ac:dyDescent="0.3">
      <c r="A758" s="1">
        <v>702997</v>
      </c>
      <c r="B758" s="1" t="s">
        <v>783</v>
      </c>
      <c r="C758" s="5" t="s">
        <v>15</v>
      </c>
      <c r="D758" s="2">
        <v>44691</v>
      </c>
      <c r="E758" s="1" t="s">
        <v>27</v>
      </c>
      <c r="F758" s="1">
        <v>39601</v>
      </c>
      <c r="G758" s="1" t="s">
        <v>660</v>
      </c>
      <c r="H758" s="1" t="s">
        <v>661</v>
      </c>
      <c r="J758" s="1" t="s">
        <v>662</v>
      </c>
      <c r="K758" s="1" t="str">
        <f>VLOOKUP(J758,'[1]Base SCA 02 2026'!V:X,3,0)</f>
        <v>CRISOSTOMO CASTRO</v>
      </c>
      <c r="L758" s="1" t="str">
        <f>VLOOKUP(J758,'[1]Base SCA 02 2026'!V:Y,4,0)</f>
        <v>MATHEUS ALMEIDA</v>
      </c>
      <c r="N758" s="1" t="str">
        <f t="shared" si="11"/>
        <v>MATHEUS ALMEIDA</v>
      </c>
    </row>
    <row r="759" spans="1:14" x14ac:dyDescent="0.3">
      <c r="A759" s="1">
        <v>705166</v>
      </c>
      <c r="B759" s="1" t="s">
        <v>1171</v>
      </c>
      <c r="C759" s="5" t="s">
        <v>15</v>
      </c>
      <c r="D759" s="2">
        <v>45726</v>
      </c>
      <c r="E759" s="1" t="s">
        <v>31</v>
      </c>
      <c r="F759" s="1">
        <v>24102</v>
      </c>
      <c r="G759" s="1" t="s">
        <v>669</v>
      </c>
      <c r="H759" s="1" t="s">
        <v>661</v>
      </c>
      <c r="J759" s="1" t="s">
        <v>672</v>
      </c>
      <c r="K759" s="1" t="str">
        <f>VLOOKUP(J759,'[1]Base SCA 02 2026'!V:X,3,0)</f>
        <v>CRISOSTOMO CASTRO</v>
      </c>
      <c r="L759" s="1" t="str">
        <f>VLOOKUP(J759,'[1]Base SCA 02 2026'!V:Y,4,0)</f>
        <v>YAN SILVA</v>
      </c>
      <c r="M759" s="1" t="str">
        <f>VLOOKUP(J759,'[1]Base SCA 02 2026'!V:Z,5,0)</f>
        <v>JUNIO TEIXEIRA /GEOVANI RORIZ</v>
      </c>
      <c r="N759" s="1" t="str">
        <f t="shared" si="11"/>
        <v>JUNIO TEIXEIRA /GEOVANI RORIZ</v>
      </c>
    </row>
    <row r="760" spans="1:14" x14ac:dyDescent="0.3">
      <c r="A760" s="1">
        <v>101594</v>
      </c>
      <c r="B760" s="1" t="s">
        <v>784</v>
      </c>
      <c r="C760" s="5" t="s">
        <v>15</v>
      </c>
      <c r="D760" s="2">
        <v>42996</v>
      </c>
      <c r="E760" s="1" t="s">
        <v>60</v>
      </c>
      <c r="F760" s="1">
        <v>24102</v>
      </c>
      <c r="G760" s="1" t="s">
        <v>669</v>
      </c>
      <c r="H760" s="1" t="s">
        <v>661</v>
      </c>
      <c r="J760" s="1" t="s">
        <v>682</v>
      </c>
      <c r="K760" s="1" t="str">
        <f>VLOOKUP(J760,'[1]Base SCA 02 2026'!V:X,3,0)</f>
        <v>CRISOSTOMO CASTRO</v>
      </c>
      <c r="L760" s="1" t="str">
        <f>VLOOKUP(J760,'[1]Base SCA 02 2026'!V:Y,4,0)</f>
        <v>JOÃO FILHO</v>
      </c>
      <c r="M760" s="1" t="str">
        <f>VLOOKUP(J760,'[1]Base SCA 02 2026'!V:Z,5,0)</f>
        <v>ALCENO JUNIOR/JOÃO MARCOS</v>
      </c>
      <c r="N760" s="1" t="str">
        <f t="shared" si="11"/>
        <v>ALCENO JUNIOR/JOÃO MARCOS</v>
      </c>
    </row>
    <row r="761" spans="1:14" x14ac:dyDescent="0.3">
      <c r="A761" s="1">
        <v>705723</v>
      </c>
      <c r="B761" s="1" t="s">
        <v>1462</v>
      </c>
      <c r="C761" s="5" t="s">
        <v>92</v>
      </c>
      <c r="D761" s="2">
        <v>45971</v>
      </c>
      <c r="E761" s="1" t="s">
        <v>31</v>
      </c>
      <c r="F761" s="1">
        <v>24102</v>
      </c>
      <c r="G761" s="1" t="s">
        <v>669</v>
      </c>
      <c r="H761" s="1" t="s">
        <v>661</v>
      </c>
      <c r="I761" s="2">
        <v>46060</v>
      </c>
      <c r="J761" s="1" t="s">
        <v>672</v>
      </c>
      <c r="K761" s="1" t="str">
        <f>VLOOKUP(J761,'[1]Base SCA 02 2026'!V:X,3,0)</f>
        <v>CRISOSTOMO CASTRO</v>
      </c>
      <c r="L761" s="1" t="str">
        <f>VLOOKUP(J761,'[1]Base SCA 02 2026'!V:Y,4,0)</f>
        <v>YAN SILVA</v>
      </c>
      <c r="M761" s="1" t="str">
        <f>VLOOKUP(J761,'[1]Base SCA 02 2026'!V:Z,5,0)</f>
        <v>JUNIO TEIXEIRA /GEOVANI RORIZ</v>
      </c>
      <c r="N761" s="1" t="str">
        <f t="shared" si="11"/>
        <v>JUNIO TEIXEIRA /GEOVANI RORIZ</v>
      </c>
    </row>
    <row r="762" spans="1:14" x14ac:dyDescent="0.3">
      <c r="A762" s="1">
        <v>705515</v>
      </c>
      <c r="B762" s="1" t="s">
        <v>1305</v>
      </c>
      <c r="C762" s="5" t="s">
        <v>15</v>
      </c>
      <c r="D762" s="2">
        <v>45847</v>
      </c>
      <c r="E762" s="1" t="s">
        <v>60</v>
      </c>
      <c r="F762" s="1">
        <v>39601</v>
      </c>
      <c r="G762" s="1" t="s">
        <v>660</v>
      </c>
      <c r="H762" s="1" t="s">
        <v>661</v>
      </c>
      <c r="J762" s="1" t="s">
        <v>684</v>
      </c>
      <c r="K762" s="1" t="str">
        <f>VLOOKUP(J762,'[1]Base SCA 02 2026'!V:X,3,0)</f>
        <v>CRISOSTOMO CASTRO</v>
      </c>
      <c r="L762" s="1" t="str">
        <f>VLOOKUP(J762,'[1]Base SCA 02 2026'!V:Y,4,0)</f>
        <v>MATHEUS ALMEIDA</v>
      </c>
      <c r="M762" s="1" t="str">
        <f>VLOOKUP(J762,'[1]Base SCA 02 2026'!V:Z,5,0)</f>
        <v>ADALTON/JANILSON RORIZ/MARIVALDO</v>
      </c>
      <c r="N762" s="1" t="str">
        <f t="shared" si="11"/>
        <v>ADALTON/JANILSON RORIZ/MARIVALDO</v>
      </c>
    </row>
    <row r="763" spans="1:14" x14ac:dyDescent="0.3">
      <c r="A763" s="1">
        <v>704810</v>
      </c>
      <c r="B763" s="1" t="s">
        <v>785</v>
      </c>
      <c r="C763" s="5" t="s">
        <v>15</v>
      </c>
      <c r="D763" s="2">
        <v>45566</v>
      </c>
      <c r="E763" s="1" t="s">
        <v>31</v>
      </c>
      <c r="F763" s="1">
        <v>39601</v>
      </c>
      <c r="G763" s="1" t="s">
        <v>660</v>
      </c>
      <c r="H763" s="1" t="s">
        <v>661</v>
      </c>
      <c r="J763" s="1" t="s">
        <v>662</v>
      </c>
      <c r="K763" s="1" t="str">
        <f>VLOOKUP(J763,'[1]Base SCA 02 2026'!V:X,3,0)</f>
        <v>CRISOSTOMO CASTRO</v>
      </c>
      <c r="L763" s="1" t="str">
        <f>VLOOKUP(J763,'[1]Base SCA 02 2026'!V:Y,4,0)</f>
        <v>MATHEUS ALMEIDA</v>
      </c>
      <c r="N763" s="1" t="str">
        <f t="shared" si="11"/>
        <v>MATHEUS ALMEIDA</v>
      </c>
    </row>
    <row r="764" spans="1:14" x14ac:dyDescent="0.3">
      <c r="A764" s="1">
        <v>700702</v>
      </c>
      <c r="B764" s="1" t="s">
        <v>786</v>
      </c>
      <c r="C764" s="5" t="s">
        <v>15</v>
      </c>
      <c r="D764" s="2">
        <v>43396</v>
      </c>
      <c r="E764" s="1" t="s">
        <v>146</v>
      </c>
      <c r="F764" s="1">
        <v>39601</v>
      </c>
      <c r="G764" s="1" t="s">
        <v>660</v>
      </c>
      <c r="H764" s="1" t="s">
        <v>661</v>
      </c>
      <c r="J764" s="1" t="s">
        <v>662</v>
      </c>
      <c r="K764" s="1" t="str">
        <f>VLOOKUP(J764,'[1]Base SCA 02 2026'!V:X,3,0)</f>
        <v>CRISOSTOMO CASTRO</v>
      </c>
      <c r="L764" s="1" t="str">
        <f>VLOOKUP(J764,'[1]Base SCA 02 2026'!V:Y,4,0)</f>
        <v>MATHEUS ALMEIDA</v>
      </c>
      <c r="N764" s="1" t="str">
        <f t="shared" si="11"/>
        <v>MATHEUS ALMEIDA</v>
      </c>
    </row>
    <row r="765" spans="1:14" x14ac:dyDescent="0.3">
      <c r="A765" s="1">
        <v>702140</v>
      </c>
      <c r="B765" s="1" t="s">
        <v>787</v>
      </c>
      <c r="C765" s="5" t="s">
        <v>15</v>
      </c>
      <c r="D765" s="2">
        <v>44299</v>
      </c>
      <c r="E765" s="1" t="s">
        <v>31</v>
      </c>
      <c r="F765" s="1">
        <v>24102</v>
      </c>
      <c r="G765" s="1" t="s">
        <v>669</v>
      </c>
      <c r="H765" s="1" t="s">
        <v>661</v>
      </c>
      <c r="J765" s="1" t="s">
        <v>680</v>
      </c>
      <c r="K765" s="1" t="str">
        <f>VLOOKUP(J765,'[1]Base SCA 02 2026'!V:X,3,0)</f>
        <v>CRISOSTOMO CASTRO</v>
      </c>
      <c r="L765" s="1" t="str">
        <f>VLOOKUP(J765,'[1]Base SCA 02 2026'!V:Y,4,0)</f>
        <v>YAN SILVA</v>
      </c>
      <c r="M765" s="1" t="str">
        <f>VLOOKUP(J765,'[1]Base SCA 02 2026'!V:Z,5,0)</f>
        <v>JUNIO TEIXEIRA /GEOVANI RORIZ</v>
      </c>
      <c r="N765" s="1" t="str">
        <f t="shared" si="11"/>
        <v>JUNIO TEIXEIRA /GEOVANI RORIZ</v>
      </c>
    </row>
    <row r="766" spans="1:14" x14ac:dyDescent="0.3">
      <c r="A766" s="1">
        <v>702868</v>
      </c>
      <c r="B766" s="1" t="s">
        <v>788</v>
      </c>
      <c r="C766" s="5" t="s">
        <v>15</v>
      </c>
      <c r="D766" s="2">
        <v>44635</v>
      </c>
      <c r="E766" s="1" t="s">
        <v>31</v>
      </c>
      <c r="F766" s="1">
        <v>24102</v>
      </c>
      <c r="G766" s="1" t="s">
        <v>669</v>
      </c>
      <c r="H766" s="1" t="s">
        <v>661</v>
      </c>
      <c r="J766" s="1" t="s">
        <v>680</v>
      </c>
      <c r="K766" s="1" t="str">
        <f>VLOOKUP(J766,'[1]Base SCA 02 2026'!V:X,3,0)</f>
        <v>CRISOSTOMO CASTRO</v>
      </c>
      <c r="L766" s="1" t="str">
        <f>VLOOKUP(J766,'[1]Base SCA 02 2026'!V:Y,4,0)</f>
        <v>YAN SILVA</v>
      </c>
      <c r="M766" s="1" t="str">
        <f>VLOOKUP(J766,'[1]Base SCA 02 2026'!V:Z,5,0)</f>
        <v>JUNIO TEIXEIRA /GEOVANI RORIZ</v>
      </c>
      <c r="N766" s="1" t="str">
        <f t="shared" si="11"/>
        <v>JUNIO TEIXEIRA /GEOVANI RORIZ</v>
      </c>
    </row>
    <row r="767" spans="1:14" x14ac:dyDescent="0.3">
      <c r="A767" s="1">
        <v>705099</v>
      </c>
      <c r="B767" s="1" t="s">
        <v>789</v>
      </c>
      <c r="C767" s="5" t="s">
        <v>15</v>
      </c>
      <c r="D767" s="2">
        <v>45670</v>
      </c>
      <c r="E767" s="1" t="s">
        <v>31</v>
      </c>
      <c r="F767" s="1">
        <v>24102</v>
      </c>
      <c r="G767" s="1" t="s">
        <v>669</v>
      </c>
      <c r="H767" s="1" t="s">
        <v>661</v>
      </c>
      <c r="J767" s="1" t="s">
        <v>672</v>
      </c>
      <c r="K767" s="1" t="str">
        <f>VLOOKUP(J767,'[1]Base SCA 02 2026'!V:X,3,0)</f>
        <v>CRISOSTOMO CASTRO</v>
      </c>
      <c r="L767" s="1" t="str">
        <f>VLOOKUP(J767,'[1]Base SCA 02 2026'!V:Y,4,0)</f>
        <v>YAN SILVA</v>
      </c>
      <c r="M767" s="1" t="str">
        <f>VLOOKUP(J767,'[1]Base SCA 02 2026'!V:Z,5,0)</f>
        <v>JUNIO TEIXEIRA /GEOVANI RORIZ</v>
      </c>
      <c r="N767" s="1" t="str">
        <f t="shared" si="11"/>
        <v>JUNIO TEIXEIRA /GEOVANI RORIZ</v>
      </c>
    </row>
    <row r="768" spans="1:14" x14ac:dyDescent="0.3">
      <c r="A768" s="1">
        <v>703964</v>
      </c>
      <c r="B768" s="1" t="s">
        <v>790</v>
      </c>
      <c r="C768" s="5" t="s">
        <v>15</v>
      </c>
      <c r="D768" s="2">
        <v>45113</v>
      </c>
      <c r="E768" s="1" t="s">
        <v>31</v>
      </c>
      <c r="F768" s="1">
        <v>24102</v>
      </c>
      <c r="G768" s="1" t="s">
        <v>669</v>
      </c>
      <c r="H768" s="1" t="s">
        <v>661</v>
      </c>
      <c r="J768" s="1" t="s">
        <v>672</v>
      </c>
      <c r="K768" s="1" t="str">
        <f>VLOOKUP(J768,'[1]Base SCA 02 2026'!V:X,3,0)</f>
        <v>CRISOSTOMO CASTRO</v>
      </c>
      <c r="L768" s="1" t="str">
        <f>VLOOKUP(J768,'[1]Base SCA 02 2026'!V:Y,4,0)</f>
        <v>YAN SILVA</v>
      </c>
      <c r="M768" s="1" t="str">
        <f>VLOOKUP(J768,'[1]Base SCA 02 2026'!V:Z,5,0)</f>
        <v>JUNIO TEIXEIRA /GEOVANI RORIZ</v>
      </c>
      <c r="N768" s="1" t="str">
        <f t="shared" si="11"/>
        <v>JUNIO TEIXEIRA /GEOVANI RORIZ</v>
      </c>
    </row>
    <row r="769" spans="1:14" x14ac:dyDescent="0.3">
      <c r="A769" s="1">
        <v>705891</v>
      </c>
      <c r="B769" s="1" t="s">
        <v>1573</v>
      </c>
      <c r="C769" s="5" t="s">
        <v>15</v>
      </c>
      <c r="D769" s="2">
        <v>46063</v>
      </c>
      <c r="E769" s="1" t="s">
        <v>260</v>
      </c>
      <c r="F769" s="1">
        <v>24102</v>
      </c>
      <c r="G769" s="1" t="s">
        <v>669</v>
      </c>
      <c r="H769" s="1" t="s">
        <v>661</v>
      </c>
      <c r="J769" s="1" t="s">
        <v>670</v>
      </c>
      <c r="K769" s="1" t="str">
        <f>VLOOKUP(J769,'[1]Base SCA 02 2026'!V:X,3,0)</f>
        <v>CRISOSTOMO CASTRO</v>
      </c>
      <c r="L769" s="1" t="str">
        <f>VLOOKUP(J769,'[1]Base SCA 02 2026'!V:Y,4,0)</f>
        <v>YAN SILVA</v>
      </c>
      <c r="M769" s="1" t="str">
        <f>VLOOKUP(J769,'[1]Base SCA 02 2026'!V:Z,5,0)</f>
        <v>JUNIO TEIXEIRA /GEOVANI RORIZ</v>
      </c>
      <c r="N769" s="1" t="str">
        <f t="shared" si="11"/>
        <v>JUNIO TEIXEIRA /GEOVANI RORIZ</v>
      </c>
    </row>
    <row r="770" spans="1:14" x14ac:dyDescent="0.3">
      <c r="A770" s="1">
        <v>705714</v>
      </c>
      <c r="B770" s="1" t="s">
        <v>1463</v>
      </c>
      <c r="C770" s="5" t="s">
        <v>15</v>
      </c>
      <c r="D770" s="2">
        <v>45971</v>
      </c>
      <c r="E770" s="1" t="s">
        <v>31</v>
      </c>
      <c r="F770" s="1">
        <v>24102</v>
      </c>
      <c r="G770" s="1" t="s">
        <v>669</v>
      </c>
      <c r="H770" s="1" t="s">
        <v>661</v>
      </c>
      <c r="J770" s="1" t="s">
        <v>672</v>
      </c>
      <c r="K770" s="1" t="str">
        <f>VLOOKUP(J770,'[1]Base SCA 02 2026'!V:X,3,0)</f>
        <v>CRISOSTOMO CASTRO</v>
      </c>
      <c r="L770" s="1" t="str">
        <f>VLOOKUP(J770,'[1]Base SCA 02 2026'!V:Y,4,0)</f>
        <v>YAN SILVA</v>
      </c>
      <c r="M770" s="1" t="str">
        <f>VLOOKUP(J770,'[1]Base SCA 02 2026'!V:Z,5,0)</f>
        <v>JUNIO TEIXEIRA /GEOVANI RORIZ</v>
      </c>
      <c r="N770" s="1" t="str">
        <f t="shared" si="11"/>
        <v>JUNIO TEIXEIRA /GEOVANI RORIZ</v>
      </c>
    </row>
    <row r="771" spans="1:14" x14ac:dyDescent="0.3">
      <c r="A771" s="1">
        <v>705350</v>
      </c>
      <c r="B771" s="1" t="s">
        <v>1245</v>
      </c>
      <c r="C771" s="5" t="s">
        <v>15</v>
      </c>
      <c r="D771" s="2">
        <v>45784</v>
      </c>
      <c r="E771" s="1" t="s">
        <v>31</v>
      </c>
      <c r="F771" s="1">
        <v>39601</v>
      </c>
      <c r="G771" s="1" t="s">
        <v>660</v>
      </c>
      <c r="H771" s="1" t="s">
        <v>661</v>
      </c>
      <c r="J771" s="1" t="s">
        <v>684</v>
      </c>
      <c r="K771" s="1" t="str">
        <f>VLOOKUP(J771,'[1]Base SCA 02 2026'!V:X,3,0)</f>
        <v>CRISOSTOMO CASTRO</v>
      </c>
      <c r="L771" s="1" t="str">
        <f>VLOOKUP(J771,'[1]Base SCA 02 2026'!V:Y,4,0)</f>
        <v>MATHEUS ALMEIDA</v>
      </c>
      <c r="M771" s="1" t="str">
        <f>VLOOKUP(J771,'[1]Base SCA 02 2026'!V:Z,5,0)</f>
        <v>ADALTON/JANILSON RORIZ/MARIVALDO</v>
      </c>
      <c r="N771" s="1" t="str">
        <f t="shared" ref="N771:N834" si="12">IF(M771&lt;&gt;"", M771, IF(L771&lt;&gt;"", L771, K771))</f>
        <v>ADALTON/JANILSON RORIZ/MARIVALDO</v>
      </c>
    </row>
    <row r="772" spans="1:14" x14ac:dyDescent="0.3">
      <c r="A772" s="1">
        <v>705772</v>
      </c>
      <c r="B772" s="1" t="s">
        <v>1497</v>
      </c>
      <c r="C772" s="5" t="s">
        <v>15</v>
      </c>
      <c r="D772" s="2">
        <v>45993</v>
      </c>
      <c r="E772" s="1" t="s">
        <v>31</v>
      </c>
      <c r="F772" s="1">
        <v>24201</v>
      </c>
      <c r="G772" s="1" t="s">
        <v>664</v>
      </c>
      <c r="H772" s="1" t="s">
        <v>661</v>
      </c>
      <c r="J772" s="1" t="s">
        <v>665</v>
      </c>
      <c r="K772" s="1" t="str">
        <f>VLOOKUP(J772,'[1]Base SCA 02 2026'!V:X,3,0)</f>
        <v>CRISOSTOMO CASTRO</v>
      </c>
      <c r="L772" s="1" t="str">
        <f>VLOOKUP(J772,'[1]Base SCA 02 2026'!V:Y,4,0)</f>
        <v>MATHEUS ALMEIDA</v>
      </c>
      <c r="M772" s="1" t="str">
        <f>VLOOKUP(J772,'[1]Base SCA 02 2026'!V:Z,5,0)</f>
        <v>JOSIEL NEVES</v>
      </c>
      <c r="N772" s="1" t="str">
        <f t="shared" si="12"/>
        <v>JOSIEL NEVES</v>
      </c>
    </row>
    <row r="773" spans="1:14" x14ac:dyDescent="0.3">
      <c r="A773" s="1">
        <v>700152</v>
      </c>
      <c r="B773" s="1" t="s">
        <v>791</v>
      </c>
      <c r="C773" s="5" t="s">
        <v>15</v>
      </c>
      <c r="D773" s="2">
        <v>43227</v>
      </c>
      <c r="E773" s="1" t="s">
        <v>60</v>
      </c>
      <c r="F773" s="1">
        <v>24102</v>
      </c>
      <c r="G773" s="1" t="s">
        <v>669</v>
      </c>
      <c r="H773" s="1" t="s">
        <v>661</v>
      </c>
      <c r="J773" s="1" t="s">
        <v>682</v>
      </c>
      <c r="K773" s="1" t="str">
        <f>VLOOKUP(J773,'[1]Base SCA 02 2026'!V:X,3,0)</f>
        <v>CRISOSTOMO CASTRO</v>
      </c>
      <c r="L773" s="1" t="str">
        <f>VLOOKUP(J773,'[1]Base SCA 02 2026'!V:Y,4,0)</f>
        <v>JOÃO FILHO</v>
      </c>
      <c r="M773" s="1" t="str">
        <f>VLOOKUP(J773,'[1]Base SCA 02 2026'!V:Z,5,0)</f>
        <v>ALCENO JUNIOR/JOÃO MARCOS</v>
      </c>
      <c r="N773" s="1" t="str">
        <f t="shared" si="12"/>
        <v>ALCENO JUNIOR/JOÃO MARCOS</v>
      </c>
    </row>
    <row r="774" spans="1:14" x14ac:dyDescent="0.3">
      <c r="A774" s="1">
        <v>700426</v>
      </c>
      <c r="B774" s="1" t="s">
        <v>792</v>
      </c>
      <c r="C774" s="5" t="s">
        <v>15</v>
      </c>
      <c r="D774" s="2">
        <v>43326</v>
      </c>
      <c r="E774" s="1" t="s">
        <v>141</v>
      </c>
      <c r="F774" s="1">
        <v>24102</v>
      </c>
      <c r="G774" s="1" t="s">
        <v>669</v>
      </c>
      <c r="H774" s="1" t="s">
        <v>661</v>
      </c>
      <c r="J774" s="1" t="s">
        <v>697</v>
      </c>
      <c r="K774" s="1" t="str">
        <f>VLOOKUP(J774,'[1]Base SCA 02 2026'!V:X,3,0)</f>
        <v>CRISOSTOMO CASTRO</v>
      </c>
      <c r="L774" s="1" t="str">
        <f>VLOOKUP(J774,'[1]Base SCA 02 2026'!V:Y,4,0)</f>
        <v>JOÃO FILHO</v>
      </c>
      <c r="M774" s="1" t="str">
        <f>VLOOKUP(J774,'[1]Base SCA 02 2026'!V:Z,5,0)</f>
        <v>ALCENO JUNIOR/JOÃO MARCOS</v>
      </c>
      <c r="N774" s="1" t="str">
        <f t="shared" si="12"/>
        <v>ALCENO JUNIOR/JOÃO MARCOS</v>
      </c>
    </row>
    <row r="775" spans="1:14" x14ac:dyDescent="0.3">
      <c r="A775" s="1">
        <v>101077</v>
      </c>
      <c r="B775" s="1" t="s">
        <v>793</v>
      </c>
      <c r="C775" s="5" t="s">
        <v>92</v>
      </c>
      <c r="D775" s="2">
        <v>42667</v>
      </c>
      <c r="E775" s="1" t="s">
        <v>686</v>
      </c>
      <c r="F775" s="1">
        <v>39601</v>
      </c>
      <c r="G775" s="1" t="s">
        <v>660</v>
      </c>
      <c r="H775" s="1" t="s">
        <v>661</v>
      </c>
      <c r="I775" s="2">
        <v>46058</v>
      </c>
      <c r="J775" s="1" t="s">
        <v>684</v>
      </c>
      <c r="K775" s="1" t="str">
        <f>VLOOKUP(J775,'[1]Base SCA 02 2026'!V:X,3,0)</f>
        <v>CRISOSTOMO CASTRO</v>
      </c>
      <c r="L775" s="1" t="str">
        <f>VLOOKUP(J775,'[1]Base SCA 02 2026'!V:Y,4,0)</f>
        <v>MATHEUS ALMEIDA</v>
      </c>
      <c r="M775" s="1" t="str">
        <f>VLOOKUP(J775,'[1]Base SCA 02 2026'!V:Z,5,0)</f>
        <v>ADALTON/JANILSON RORIZ/MARIVALDO</v>
      </c>
      <c r="N775" s="1" t="str">
        <f t="shared" si="12"/>
        <v>ADALTON/JANILSON RORIZ/MARIVALDO</v>
      </c>
    </row>
    <row r="776" spans="1:14" x14ac:dyDescent="0.3">
      <c r="A776" s="1">
        <v>705383</v>
      </c>
      <c r="B776" s="1" t="s">
        <v>1246</v>
      </c>
      <c r="C776" s="5" t="s">
        <v>15</v>
      </c>
      <c r="D776" s="2">
        <v>45784</v>
      </c>
      <c r="E776" s="1" t="s">
        <v>31</v>
      </c>
      <c r="F776" s="1">
        <v>39601</v>
      </c>
      <c r="G776" s="1" t="s">
        <v>660</v>
      </c>
      <c r="H776" s="1" t="s">
        <v>661</v>
      </c>
      <c r="J776" s="1" t="s">
        <v>684</v>
      </c>
      <c r="K776" s="1" t="str">
        <f>VLOOKUP(J776,'[1]Base SCA 02 2026'!V:X,3,0)</f>
        <v>CRISOSTOMO CASTRO</v>
      </c>
      <c r="L776" s="1" t="str">
        <f>VLOOKUP(J776,'[1]Base SCA 02 2026'!V:Y,4,0)</f>
        <v>MATHEUS ALMEIDA</v>
      </c>
      <c r="M776" s="1" t="str">
        <f>VLOOKUP(J776,'[1]Base SCA 02 2026'!V:Z,5,0)</f>
        <v>ADALTON/JANILSON RORIZ/MARIVALDO</v>
      </c>
      <c r="N776" s="1" t="str">
        <f t="shared" si="12"/>
        <v>ADALTON/JANILSON RORIZ/MARIVALDO</v>
      </c>
    </row>
    <row r="777" spans="1:14" x14ac:dyDescent="0.3">
      <c r="A777" s="1">
        <v>705298</v>
      </c>
      <c r="B777" s="1" t="s">
        <v>1193</v>
      </c>
      <c r="C777" s="5" t="s">
        <v>15</v>
      </c>
      <c r="D777" s="2">
        <v>45762</v>
      </c>
      <c r="E777" s="1" t="s">
        <v>31</v>
      </c>
      <c r="F777" s="1">
        <v>39601</v>
      </c>
      <c r="G777" s="1" t="s">
        <v>660</v>
      </c>
      <c r="H777" s="1" t="s">
        <v>661</v>
      </c>
      <c r="J777" s="1" t="s">
        <v>684</v>
      </c>
      <c r="K777" s="1" t="str">
        <f>VLOOKUP(J777,'[1]Base SCA 02 2026'!V:X,3,0)</f>
        <v>CRISOSTOMO CASTRO</v>
      </c>
      <c r="L777" s="1" t="str">
        <f>VLOOKUP(J777,'[1]Base SCA 02 2026'!V:Y,4,0)</f>
        <v>MATHEUS ALMEIDA</v>
      </c>
      <c r="M777" s="1" t="str">
        <f>VLOOKUP(J777,'[1]Base SCA 02 2026'!V:Z,5,0)</f>
        <v>ADALTON/JANILSON RORIZ/MARIVALDO</v>
      </c>
      <c r="N777" s="1" t="str">
        <f t="shared" si="12"/>
        <v>ADALTON/JANILSON RORIZ/MARIVALDO</v>
      </c>
    </row>
    <row r="778" spans="1:14" x14ac:dyDescent="0.3">
      <c r="A778" s="1">
        <v>704814</v>
      </c>
      <c r="B778" s="1" t="s">
        <v>795</v>
      </c>
      <c r="C778" s="5" t="s">
        <v>15</v>
      </c>
      <c r="D778" s="2">
        <v>45572</v>
      </c>
      <c r="E778" s="1" t="s">
        <v>418</v>
      </c>
      <c r="F778" s="1">
        <v>39601</v>
      </c>
      <c r="G778" s="1" t="s">
        <v>660</v>
      </c>
      <c r="H778" s="1" t="s">
        <v>661</v>
      </c>
      <c r="J778" s="1" t="s">
        <v>684</v>
      </c>
      <c r="K778" s="1" t="str">
        <f>VLOOKUP(J778,'[1]Base SCA 02 2026'!V:X,3,0)</f>
        <v>CRISOSTOMO CASTRO</v>
      </c>
      <c r="L778" s="1" t="str">
        <f>VLOOKUP(J778,'[1]Base SCA 02 2026'!V:Y,4,0)</f>
        <v>MATHEUS ALMEIDA</v>
      </c>
      <c r="M778" s="1" t="str">
        <f>VLOOKUP(J778,'[1]Base SCA 02 2026'!V:Z,5,0)</f>
        <v>ADALTON/JANILSON RORIZ/MARIVALDO</v>
      </c>
      <c r="N778" s="1" t="str">
        <f t="shared" si="12"/>
        <v>ADALTON/JANILSON RORIZ/MARIVALDO</v>
      </c>
    </row>
    <row r="779" spans="1:14" x14ac:dyDescent="0.3">
      <c r="A779" s="1">
        <v>704912</v>
      </c>
      <c r="B779" s="1" t="s">
        <v>796</v>
      </c>
      <c r="C779" s="5" t="s">
        <v>15</v>
      </c>
      <c r="D779" s="2">
        <v>45601</v>
      </c>
      <c r="E779" s="1" t="s">
        <v>31</v>
      </c>
      <c r="F779" s="1">
        <v>39601</v>
      </c>
      <c r="G779" s="1" t="s">
        <v>660</v>
      </c>
      <c r="H779" s="1" t="s">
        <v>661</v>
      </c>
      <c r="J779" s="1" t="s">
        <v>662</v>
      </c>
      <c r="K779" s="1" t="str">
        <f>VLOOKUP(J779,'[1]Base SCA 02 2026'!V:X,3,0)</f>
        <v>CRISOSTOMO CASTRO</v>
      </c>
      <c r="L779" s="1" t="str">
        <f>VLOOKUP(J779,'[1]Base SCA 02 2026'!V:Y,4,0)</f>
        <v>MATHEUS ALMEIDA</v>
      </c>
      <c r="N779" s="1" t="str">
        <f t="shared" si="12"/>
        <v>MATHEUS ALMEIDA</v>
      </c>
    </row>
    <row r="780" spans="1:14" x14ac:dyDescent="0.3">
      <c r="A780" s="1">
        <v>704852</v>
      </c>
      <c r="B780" s="1" t="s">
        <v>798</v>
      </c>
      <c r="C780" s="5" t="s">
        <v>92</v>
      </c>
      <c r="D780" s="2">
        <v>45573</v>
      </c>
      <c r="E780" s="1" t="s">
        <v>418</v>
      </c>
      <c r="F780" s="1">
        <v>39601</v>
      </c>
      <c r="G780" s="1" t="s">
        <v>660</v>
      </c>
      <c r="H780" s="1" t="s">
        <v>661</v>
      </c>
      <c r="I780" s="2">
        <v>46058</v>
      </c>
      <c r="J780" s="1" t="s">
        <v>662</v>
      </c>
      <c r="K780" s="1" t="str">
        <f>VLOOKUP(J780,'[1]Base SCA 02 2026'!V:X,3,0)</f>
        <v>CRISOSTOMO CASTRO</v>
      </c>
      <c r="L780" s="1" t="str">
        <f>VLOOKUP(J780,'[1]Base SCA 02 2026'!V:Y,4,0)</f>
        <v>MATHEUS ALMEIDA</v>
      </c>
      <c r="N780" s="1" t="str">
        <f t="shared" si="12"/>
        <v>MATHEUS ALMEIDA</v>
      </c>
    </row>
    <row r="781" spans="1:14" x14ac:dyDescent="0.3">
      <c r="A781" s="1">
        <v>704037</v>
      </c>
      <c r="B781" s="1" t="s">
        <v>799</v>
      </c>
      <c r="C781" s="5" t="s">
        <v>15</v>
      </c>
      <c r="D781" s="2">
        <v>45145</v>
      </c>
      <c r="E781" s="1" t="s">
        <v>507</v>
      </c>
      <c r="F781" s="1">
        <v>24201</v>
      </c>
      <c r="G781" s="1" t="s">
        <v>664</v>
      </c>
      <c r="H781" s="1" t="s">
        <v>661</v>
      </c>
      <c r="J781" s="1" t="s">
        <v>665</v>
      </c>
      <c r="K781" s="1" t="str">
        <f>VLOOKUP(J781,'[1]Base SCA 02 2026'!V:X,3,0)</f>
        <v>CRISOSTOMO CASTRO</v>
      </c>
      <c r="L781" s="1" t="str">
        <f>VLOOKUP(J781,'[1]Base SCA 02 2026'!V:Y,4,0)</f>
        <v>MATHEUS ALMEIDA</v>
      </c>
      <c r="M781" s="1" t="str">
        <f>VLOOKUP(J781,'[1]Base SCA 02 2026'!V:Z,5,0)</f>
        <v>JOSIEL NEVES</v>
      </c>
      <c r="N781" s="1" t="str">
        <f t="shared" si="12"/>
        <v>JOSIEL NEVES</v>
      </c>
    </row>
    <row r="782" spans="1:14" x14ac:dyDescent="0.3">
      <c r="A782" s="1">
        <v>702905</v>
      </c>
      <c r="B782" s="1" t="s">
        <v>800</v>
      </c>
      <c r="C782" s="5" t="s">
        <v>15</v>
      </c>
      <c r="D782" s="2">
        <v>44656</v>
      </c>
      <c r="E782" s="1" t="s">
        <v>60</v>
      </c>
      <c r="F782" s="1">
        <v>24102</v>
      </c>
      <c r="G782" s="1" t="s">
        <v>669</v>
      </c>
      <c r="H782" s="1" t="s">
        <v>661</v>
      </c>
      <c r="J782" s="1" t="s">
        <v>682</v>
      </c>
      <c r="K782" s="1" t="str">
        <f>VLOOKUP(J782,'[1]Base SCA 02 2026'!V:X,3,0)</f>
        <v>CRISOSTOMO CASTRO</v>
      </c>
      <c r="L782" s="1" t="str">
        <f>VLOOKUP(J782,'[1]Base SCA 02 2026'!V:Y,4,0)</f>
        <v>JOÃO FILHO</v>
      </c>
      <c r="M782" s="1" t="str">
        <f>VLOOKUP(J782,'[1]Base SCA 02 2026'!V:Z,5,0)</f>
        <v>ALCENO JUNIOR/JOÃO MARCOS</v>
      </c>
      <c r="N782" s="1" t="str">
        <f t="shared" si="12"/>
        <v>ALCENO JUNIOR/JOÃO MARCOS</v>
      </c>
    </row>
    <row r="783" spans="1:14" x14ac:dyDescent="0.3">
      <c r="A783" s="1">
        <v>701710</v>
      </c>
      <c r="B783" s="1" t="s">
        <v>801</v>
      </c>
      <c r="C783" s="5" t="s">
        <v>15</v>
      </c>
      <c r="D783" s="2">
        <v>44025</v>
      </c>
      <c r="E783" s="1" t="s">
        <v>31</v>
      </c>
      <c r="F783" s="1">
        <v>24102</v>
      </c>
      <c r="G783" s="1" t="s">
        <v>669</v>
      </c>
      <c r="H783" s="1" t="s">
        <v>661</v>
      </c>
      <c r="J783" s="1" t="s">
        <v>670</v>
      </c>
      <c r="K783" s="1" t="str">
        <f>VLOOKUP(J783,'[1]Base SCA 02 2026'!V:X,3,0)</f>
        <v>CRISOSTOMO CASTRO</v>
      </c>
      <c r="L783" s="1" t="str">
        <f>VLOOKUP(J783,'[1]Base SCA 02 2026'!V:Y,4,0)</f>
        <v>YAN SILVA</v>
      </c>
      <c r="M783" s="1" t="str">
        <f>VLOOKUP(J783,'[1]Base SCA 02 2026'!V:Z,5,0)</f>
        <v>JUNIO TEIXEIRA /GEOVANI RORIZ</v>
      </c>
      <c r="N783" s="1" t="str">
        <f t="shared" si="12"/>
        <v>JUNIO TEIXEIRA /GEOVANI RORIZ</v>
      </c>
    </row>
    <row r="784" spans="1:14" x14ac:dyDescent="0.3">
      <c r="A784" s="1">
        <v>705588</v>
      </c>
      <c r="B784" s="1" t="s">
        <v>1333</v>
      </c>
      <c r="C784" s="5" t="s">
        <v>15</v>
      </c>
      <c r="D784" s="2">
        <v>45881</v>
      </c>
      <c r="E784" s="1" t="s">
        <v>31</v>
      </c>
      <c r="F784" s="1">
        <v>39601</v>
      </c>
      <c r="G784" s="1" t="s">
        <v>660</v>
      </c>
      <c r="H784" s="1" t="s">
        <v>661</v>
      </c>
      <c r="J784" s="1" t="s">
        <v>684</v>
      </c>
      <c r="K784" s="1" t="str">
        <f>VLOOKUP(J784,'[1]Base SCA 02 2026'!V:X,3,0)</f>
        <v>CRISOSTOMO CASTRO</v>
      </c>
      <c r="L784" s="1" t="str">
        <f>VLOOKUP(J784,'[1]Base SCA 02 2026'!V:Y,4,0)</f>
        <v>MATHEUS ALMEIDA</v>
      </c>
      <c r="M784" s="1" t="str">
        <f>VLOOKUP(J784,'[1]Base SCA 02 2026'!V:Z,5,0)</f>
        <v>ADALTON/JANILSON RORIZ/MARIVALDO</v>
      </c>
      <c r="N784" s="1" t="str">
        <f t="shared" si="12"/>
        <v>ADALTON/JANILSON RORIZ/MARIVALDO</v>
      </c>
    </row>
    <row r="785" spans="1:14" x14ac:dyDescent="0.3">
      <c r="A785" s="1">
        <v>703069</v>
      </c>
      <c r="B785" s="1" t="s">
        <v>802</v>
      </c>
      <c r="C785" s="5" t="s">
        <v>15</v>
      </c>
      <c r="D785" s="2">
        <v>44713</v>
      </c>
      <c r="E785" s="1" t="s">
        <v>418</v>
      </c>
      <c r="F785" s="1">
        <v>39601</v>
      </c>
      <c r="G785" s="1" t="s">
        <v>660</v>
      </c>
      <c r="H785" s="1" t="s">
        <v>661</v>
      </c>
      <c r="J785" s="1" t="s">
        <v>662</v>
      </c>
      <c r="K785" s="1" t="str">
        <f>VLOOKUP(J785,'[1]Base SCA 02 2026'!V:X,3,0)</f>
        <v>CRISOSTOMO CASTRO</v>
      </c>
      <c r="L785" s="1" t="str">
        <f>VLOOKUP(J785,'[1]Base SCA 02 2026'!V:Y,4,0)</f>
        <v>MATHEUS ALMEIDA</v>
      </c>
      <c r="N785" s="1" t="str">
        <f t="shared" si="12"/>
        <v>MATHEUS ALMEIDA</v>
      </c>
    </row>
    <row r="786" spans="1:14" x14ac:dyDescent="0.3">
      <c r="A786" s="1">
        <v>705855</v>
      </c>
      <c r="B786" s="1" t="s">
        <v>1574</v>
      </c>
      <c r="C786" s="5" t="s">
        <v>15</v>
      </c>
      <c r="D786" s="2">
        <v>46063</v>
      </c>
      <c r="E786" s="1" t="s">
        <v>31</v>
      </c>
      <c r="F786" s="1">
        <v>24102</v>
      </c>
      <c r="G786" s="1" t="s">
        <v>669</v>
      </c>
      <c r="H786" s="1" t="s">
        <v>661</v>
      </c>
      <c r="J786" s="1" t="s">
        <v>670</v>
      </c>
      <c r="K786" s="1" t="str">
        <f>VLOOKUP(J786,'[1]Base SCA 02 2026'!V:X,3,0)</f>
        <v>CRISOSTOMO CASTRO</v>
      </c>
      <c r="L786" s="1" t="str">
        <f>VLOOKUP(J786,'[1]Base SCA 02 2026'!V:Y,4,0)</f>
        <v>YAN SILVA</v>
      </c>
      <c r="M786" s="1" t="str">
        <f>VLOOKUP(J786,'[1]Base SCA 02 2026'!V:Z,5,0)</f>
        <v>JUNIO TEIXEIRA /GEOVANI RORIZ</v>
      </c>
      <c r="N786" s="1" t="str">
        <f t="shared" si="12"/>
        <v>JUNIO TEIXEIRA /GEOVANI RORIZ</v>
      </c>
    </row>
    <row r="787" spans="1:14" x14ac:dyDescent="0.3">
      <c r="A787" s="1">
        <v>705762</v>
      </c>
      <c r="B787" s="1" t="s">
        <v>1498</v>
      </c>
      <c r="C787" s="5" t="s">
        <v>15</v>
      </c>
      <c r="D787" s="2">
        <v>45993</v>
      </c>
      <c r="E787" s="1" t="s">
        <v>230</v>
      </c>
      <c r="F787" s="1">
        <v>24201</v>
      </c>
      <c r="G787" s="1" t="s">
        <v>664</v>
      </c>
      <c r="H787" s="1" t="s">
        <v>661</v>
      </c>
      <c r="J787" s="1" t="s">
        <v>1012</v>
      </c>
      <c r="K787" s="1" t="str">
        <f>VLOOKUP(J787,'[1]Base SCA 02 2026'!V:X,3,0)</f>
        <v>CRISOSTOMO CASTRO</v>
      </c>
      <c r="L787" s="1" t="str">
        <f>VLOOKUP(J787,'[1]Base SCA 02 2026'!V:Y,4,0)</f>
        <v>MATHEUS ALMEIDA</v>
      </c>
      <c r="N787" s="1" t="str">
        <f t="shared" si="12"/>
        <v>MATHEUS ALMEIDA</v>
      </c>
    </row>
    <row r="788" spans="1:14" x14ac:dyDescent="0.3">
      <c r="A788" s="1">
        <v>705856</v>
      </c>
      <c r="B788" s="1" t="s">
        <v>1575</v>
      </c>
      <c r="C788" s="5" t="s">
        <v>15</v>
      </c>
      <c r="D788" s="2">
        <v>46063</v>
      </c>
      <c r="E788" s="1" t="s">
        <v>31</v>
      </c>
      <c r="F788" s="1">
        <v>24102</v>
      </c>
      <c r="G788" s="1" t="s">
        <v>669</v>
      </c>
      <c r="H788" s="1" t="s">
        <v>661</v>
      </c>
      <c r="J788" s="1" t="s">
        <v>670</v>
      </c>
      <c r="K788" s="1" t="str">
        <f>VLOOKUP(J788,'[1]Base SCA 02 2026'!V:X,3,0)</f>
        <v>CRISOSTOMO CASTRO</v>
      </c>
      <c r="L788" s="1" t="str">
        <f>VLOOKUP(J788,'[1]Base SCA 02 2026'!V:Y,4,0)</f>
        <v>YAN SILVA</v>
      </c>
      <c r="M788" s="1" t="str">
        <f>VLOOKUP(J788,'[1]Base SCA 02 2026'!V:Z,5,0)</f>
        <v>JUNIO TEIXEIRA /GEOVANI RORIZ</v>
      </c>
      <c r="N788" s="1" t="str">
        <f t="shared" si="12"/>
        <v>JUNIO TEIXEIRA /GEOVANI RORIZ</v>
      </c>
    </row>
    <row r="789" spans="1:14" x14ac:dyDescent="0.3">
      <c r="A789" s="1">
        <v>705303</v>
      </c>
      <c r="B789" s="1" t="s">
        <v>1194</v>
      </c>
      <c r="C789" s="5" t="s">
        <v>15</v>
      </c>
      <c r="D789" s="2">
        <v>45762</v>
      </c>
      <c r="E789" s="1" t="s">
        <v>31</v>
      </c>
      <c r="F789" s="1">
        <v>24102</v>
      </c>
      <c r="G789" s="1" t="s">
        <v>669</v>
      </c>
      <c r="H789" s="1" t="s">
        <v>661</v>
      </c>
      <c r="J789" s="1" t="s">
        <v>680</v>
      </c>
      <c r="K789" s="1" t="str">
        <f>VLOOKUP(J789,'[1]Base SCA 02 2026'!V:X,3,0)</f>
        <v>CRISOSTOMO CASTRO</v>
      </c>
      <c r="L789" s="1" t="str">
        <f>VLOOKUP(J789,'[1]Base SCA 02 2026'!V:Y,4,0)</f>
        <v>YAN SILVA</v>
      </c>
      <c r="M789" s="1" t="str">
        <f>VLOOKUP(J789,'[1]Base SCA 02 2026'!V:Z,5,0)</f>
        <v>JUNIO TEIXEIRA /GEOVANI RORIZ</v>
      </c>
      <c r="N789" s="1" t="str">
        <f t="shared" si="12"/>
        <v>JUNIO TEIXEIRA /GEOVANI RORIZ</v>
      </c>
    </row>
    <row r="790" spans="1:14" x14ac:dyDescent="0.3">
      <c r="A790" s="1">
        <v>701747</v>
      </c>
      <c r="B790" s="1" t="s">
        <v>808</v>
      </c>
      <c r="C790" s="5" t="s">
        <v>15</v>
      </c>
      <c r="D790" s="2">
        <v>44053</v>
      </c>
      <c r="E790" s="1" t="s">
        <v>507</v>
      </c>
      <c r="F790" s="1">
        <v>24201</v>
      </c>
      <c r="G790" s="1" t="s">
        <v>664</v>
      </c>
      <c r="H790" s="1" t="s">
        <v>661</v>
      </c>
      <c r="J790" s="1" t="s">
        <v>665</v>
      </c>
      <c r="K790" s="1" t="str">
        <f>VLOOKUP(J790,'[1]Base SCA 02 2026'!V:X,3,0)</f>
        <v>CRISOSTOMO CASTRO</v>
      </c>
      <c r="L790" s="1" t="str">
        <f>VLOOKUP(J790,'[1]Base SCA 02 2026'!V:Y,4,0)</f>
        <v>MATHEUS ALMEIDA</v>
      </c>
      <c r="M790" s="1" t="str">
        <f>VLOOKUP(J790,'[1]Base SCA 02 2026'!V:Z,5,0)</f>
        <v>JOSIEL NEVES</v>
      </c>
      <c r="N790" s="1" t="str">
        <f t="shared" si="12"/>
        <v>JOSIEL NEVES</v>
      </c>
    </row>
    <row r="791" spans="1:14" x14ac:dyDescent="0.3">
      <c r="A791" s="1">
        <v>700420</v>
      </c>
      <c r="B791" s="1" t="s">
        <v>809</v>
      </c>
      <c r="C791" s="5" t="s">
        <v>15</v>
      </c>
      <c r="D791" s="2">
        <v>43318</v>
      </c>
      <c r="E791" s="1" t="s">
        <v>60</v>
      </c>
      <c r="F791" s="1">
        <v>24102</v>
      </c>
      <c r="G791" s="1" t="s">
        <v>669</v>
      </c>
      <c r="H791" s="1" t="s">
        <v>661</v>
      </c>
      <c r="J791" s="1" t="s">
        <v>672</v>
      </c>
      <c r="K791" s="1" t="str">
        <f>VLOOKUP(J791,'[1]Base SCA 02 2026'!V:X,3,0)</f>
        <v>CRISOSTOMO CASTRO</v>
      </c>
      <c r="L791" s="1" t="str">
        <f>VLOOKUP(J791,'[1]Base SCA 02 2026'!V:Y,4,0)</f>
        <v>YAN SILVA</v>
      </c>
      <c r="M791" s="1" t="str">
        <f>VLOOKUP(J791,'[1]Base SCA 02 2026'!V:Z,5,0)</f>
        <v>JUNIO TEIXEIRA /GEOVANI RORIZ</v>
      </c>
      <c r="N791" s="1" t="str">
        <f t="shared" si="12"/>
        <v>JUNIO TEIXEIRA /GEOVANI RORIZ</v>
      </c>
    </row>
    <row r="792" spans="1:14" x14ac:dyDescent="0.3">
      <c r="A792" s="1">
        <v>704757</v>
      </c>
      <c r="B792" s="1" t="s">
        <v>810</v>
      </c>
      <c r="C792" s="5" t="s">
        <v>15</v>
      </c>
      <c r="D792" s="2">
        <v>45545</v>
      </c>
      <c r="E792" s="1" t="s">
        <v>31</v>
      </c>
      <c r="F792" s="1">
        <v>39601</v>
      </c>
      <c r="G792" s="1" t="s">
        <v>660</v>
      </c>
      <c r="H792" s="1" t="s">
        <v>661</v>
      </c>
      <c r="J792" s="1" t="s">
        <v>684</v>
      </c>
      <c r="K792" s="1" t="str">
        <f>VLOOKUP(J792,'[1]Base SCA 02 2026'!V:X,3,0)</f>
        <v>CRISOSTOMO CASTRO</v>
      </c>
      <c r="L792" s="1" t="str">
        <f>VLOOKUP(J792,'[1]Base SCA 02 2026'!V:Y,4,0)</f>
        <v>MATHEUS ALMEIDA</v>
      </c>
      <c r="M792" s="1" t="str">
        <f>VLOOKUP(J792,'[1]Base SCA 02 2026'!V:Z,5,0)</f>
        <v>ADALTON/JANILSON RORIZ/MARIVALDO</v>
      </c>
      <c r="N792" s="1" t="str">
        <f t="shared" si="12"/>
        <v>ADALTON/JANILSON RORIZ/MARIVALDO</v>
      </c>
    </row>
    <row r="793" spans="1:14" x14ac:dyDescent="0.3">
      <c r="A793" s="1">
        <v>705306</v>
      </c>
      <c r="B793" s="1" t="s">
        <v>1195</v>
      </c>
      <c r="C793" s="5" t="s">
        <v>15</v>
      </c>
      <c r="D793" s="2">
        <v>45762</v>
      </c>
      <c r="E793" s="1" t="s">
        <v>31</v>
      </c>
      <c r="F793" s="1">
        <v>24102</v>
      </c>
      <c r="G793" s="1" t="s">
        <v>669</v>
      </c>
      <c r="H793" s="1" t="s">
        <v>661</v>
      </c>
      <c r="J793" s="1" t="s">
        <v>672</v>
      </c>
      <c r="K793" s="1" t="str">
        <f>VLOOKUP(J793,'[1]Base SCA 02 2026'!V:X,3,0)</f>
        <v>CRISOSTOMO CASTRO</v>
      </c>
      <c r="L793" s="1" t="str">
        <f>VLOOKUP(J793,'[1]Base SCA 02 2026'!V:Y,4,0)</f>
        <v>YAN SILVA</v>
      </c>
      <c r="M793" s="1" t="str">
        <f>VLOOKUP(J793,'[1]Base SCA 02 2026'!V:Z,5,0)</f>
        <v>JUNIO TEIXEIRA /GEOVANI RORIZ</v>
      </c>
      <c r="N793" s="1" t="str">
        <f t="shared" si="12"/>
        <v>JUNIO TEIXEIRA /GEOVANI RORIZ</v>
      </c>
    </row>
    <row r="794" spans="1:14" x14ac:dyDescent="0.3">
      <c r="A794" s="1">
        <v>704688</v>
      </c>
      <c r="B794" s="1" t="s">
        <v>811</v>
      </c>
      <c r="C794" s="5" t="s">
        <v>15</v>
      </c>
      <c r="D794" s="2">
        <v>45510</v>
      </c>
      <c r="E794" s="1" t="s">
        <v>31</v>
      </c>
      <c r="F794" s="1">
        <v>39601</v>
      </c>
      <c r="G794" s="1" t="s">
        <v>660</v>
      </c>
      <c r="H794" s="1" t="s">
        <v>661</v>
      </c>
      <c r="J794" s="1" t="s">
        <v>662</v>
      </c>
      <c r="K794" s="1" t="str">
        <f>VLOOKUP(J794,'[1]Base SCA 02 2026'!V:X,3,0)</f>
        <v>CRISOSTOMO CASTRO</v>
      </c>
      <c r="L794" s="1" t="str">
        <f>VLOOKUP(J794,'[1]Base SCA 02 2026'!V:Y,4,0)</f>
        <v>MATHEUS ALMEIDA</v>
      </c>
      <c r="N794" s="1" t="str">
        <f t="shared" si="12"/>
        <v>MATHEUS ALMEIDA</v>
      </c>
    </row>
    <row r="795" spans="1:14" x14ac:dyDescent="0.3">
      <c r="A795" s="1">
        <v>705657</v>
      </c>
      <c r="B795" s="1" t="s">
        <v>1425</v>
      </c>
      <c r="C795" s="5" t="s">
        <v>92</v>
      </c>
      <c r="D795" s="2">
        <v>45944</v>
      </c>
      <c r="E795" s="1" t="s">
        <v>31</v>
      </c>
      <c r="F795" s="1">
        <v>24201</v>
      </c>
      <c r="G795" s="1" t="s">
        <v>664</v>
      </c>
      <c r="H795" s="1" t="s">
        <v>661</v>
      </c>
      <c r="I795" s="2">
        <v>46058</v>
      </c>
      <c r="J795" s="1" t="s">
        <v>665</v>
      </c>
      <c r="K795" s="1" t="str">
        <f>VLOOKUP(J795,'[1]Base SCA 02 2026'!V:X,3,0)</f>
        <v>CRISOSTOMO CASTRO</v>
      </c>
      <c r="L795" s="1" t="str">
        <f>VLOOKUP(J795,'[1]Base SCA 02 2026'!V:Y,4,0)</f>
        <v>MATHEUS ALMEIDA</v>
      </c>
      <c r="M795" s="1" t="str">
        <f>VLOOKUP(J795,'[1]Base SCA 02 2026'!V:Z,5,0)</f>
        <v>JOSIEL NEVES</v>
      </c>
      <c r="N795" s="1" t="str">
        <f t="shared" si="12"/>
        <v>JOSIEL NEVES</v>
      </c>
    </row>
    <row r="796" spans="1:14" x14ac:dyDescent="0.3">
      <c r="A796" s="1">
        <v>705863</v>
      </c>
      <c r="B796" s="1" t="s">
        <v>1576</v>
      </c>
      <c r="C796" s="5" t="s">
        <v>15</v>
      </c>
      <c r="D796" s="2">
        <v>46063</v>
      </c>
      <c r="E796" s="1" t="s">
        <v>31</v>
      </c>
      <c r="F796" s="1">
        <v>24102</v>
      </c>
      <c r="G796" s="1" t="s">
        <v>669</v>
      </c>
      <c r="H796" s="1" t="s">
        <v>661</v>
      </c>
      <c r="J796" s="1" t="s">
        <v>670</v>
      </c>
      <c r="K796" s="1" t="str">
        <f>VLOOKUP(J796,'[1]Base SCA 02 2026'!V:X,3,0)</f>
        <v>CRISOSTOMO CASTRO</v>
      </c>
      <c r="L796" s="1" t="str">
        <f>VLOOKUP(J796,'[1]Base SCA 02 2026'!V:Y,4,0)</f>
        <v>YAN SILVA</v>
      </c>
      <c r="M796" s="1" t="str">
        <f>VLOOKUP(J796,'[1]Base SCA 02 2026'!V:Z,5,0)</f>
        <v>JUNIO TEIXEIRA /GEOVANI RORIZ</v>
      </c>
      <c r="N796" s="1" t="str">
        <f t="shared" si="12"/>
        <v>JUNIO TEIXEIRA /GEOVANI RORIZ</v>
      </c>
    </row>
    <row r="797" spans="1:14" x14ac:dyDescent="0.3">
      <c r="A797" s="1">
        <v>101321</v>
      </c>
      <c r="B797" s="1" t="s">
        <v>812</v>
      </c>
      <c r="C797" s="5" t="s">
        <v>15</v>
      </c>
      <c r="D797" s="2">
        <v>42863</v>
      </c>
      <c r="E797" s="1" t="s">
        <v>507</v>
      </c>
      <c r="F797" s="1">
        <v>24201</v>
      </c>
      <c r="G797" s="1" t="s">
        <v>664</v>
      </c>
      <c r="H797" s="1" t="s">
        <v>661</v>
      </c>
      <c r="J797" s="1" t="s">
        <v>665</v>
      </c>
      <c r="K797" s="1" t="str">
        <f>VLOOKUP(J797,'[1]Base SCA 02 2026'!V:X,3,0)</f>
        <v>CRISOSTOMO CASTRO</v>
      </c>
      <c r="L797" s="1" t="str">
        <f>VLOOKUP(J797,'[1]Base SCA 02 2026'!V:Y,4,0)</f>
        <v>MATHEUS ALMEIDA</v>
      </c>
      <c r="M797" s="1" t="str">
        <f>VLOOKUP(J797,'[1]Base SCA 02 2026'!V:Z,5,0)</f>
        <v>JOSIEL NEVES</v>
      </c>
      <c r="N797" s="1" t="str">
        <f t="shared" si="12"/>
        <v>JOSIEL NEVES</v>
      </c>
    </row>
    <row r="798" spans="1:14" x14ac:dyDescent="0.3">
      <c r="A798" s="1">
        <v>700822</v>
      </c>
      <c r="B798" s="1" t="s">
        <v>813</v>
      </c>
      <c r="C798" s="5" t="s">
        <v>15</v>
      </c>
      <c r="D798" s="2">
        <v>43234</v>
      </c>
      <c r="E798" s="1" t="s">
        <v>16</v>
      </c>
      <c r="F798" s="1">
        <v>24102</v>
      </c>
      <c r="G798" s="1" t="s">
        <v>669</v>
      </c>
      <c r="H798" s="1" t="s">
        <v>661</v>
      </c>
      <c r="J798" s="1" t="s">
        <v>682</v>
      </c>
      <c r="K798" s="1" t="str">
        <f>VLOOKUP(J798,'[1]Base SCA 02 2026'!V:X,3,0)</f>
        <v>CRISOSTOMO CASTRO</v>
      </c>
      <c r="L798" s="1" t="str">
        <f>VLOOKUP(J798,'[1]Base SCA 02 2026'!V:Y,4,0)</f>
        <v>JOÃO FILHO</v>
      </c>
      <c r="M798" s="1" t="str">
        <f>VLOOKUP(J798,'[1]Base SCA 02 2026'!V:Z,5,0)</f>
        <v>ALCENO JUNIOR/JOÃO MARCOS</v>
      </c>
      <c r="N798" s="1" t="str">
        <f t="shared" si="12"/>
        <v>ALCENO JUNIOR/JOÃO MARCOS</v>
      </c>
    </row>
    <row r="799" spans="1:14" x14ac:dyDescent="0.3">
      <c r="A799" s="1">
        <v>703672</v>
      </c>
      <c r="B799" s="1" t="s">
        <v>814</v>
      </c>
      <c r="C799" s="5" t="s">
        <v>92</v>
      </c>
      <c r="D799" s="2">
        <v>45019</v>
      </c>
      <c r="E799" s="1" t="s">
        <v>371</v>
      </c>
      <c r="F799" s="1">
        <v>39601</v>
      </c>
      <c r="G799" s="1" t="s">
        <v>660</v>
      </c>
      <c r="H799" s="1" t="s">
        <v>661</v>
      </c>
      <c r="I799" s="2">
        <v>46058</v>
      </c>
      <c r="J799" s="1" t="s">
        <v>684</v>
      </c>
      <c r="K799" s="1" t="str">
        <f>VLOOKUP(J799,'[1]Base SCA 02 2026'!V:X,3,0)</f>
        <v>CRISOSTOMO CASTRO</v>
      </c>
      <c r="L799" s="1" t="str">
        <f>VLOOKUP(J799,'[1]Base SCA 02 2026'!V:Y,4,0)</f>
        <v>MATHEUS ALMEIDA</v>
      </c>
      <c r="M799" s="1" t="str">
        <f>VLOOKUP(J799,'[1]Base SCA 02 2026'!V:Z,5,0)</f>
        <v>ADALTON/JANILSON RORIZ/MARIVALDO</v>
      </c>
      <c r="N799" s="1" t="str">
        <f t="shared" si="12"/>
        <v>ADALTON/JANILSON RORIZ/MARIVALDO</v>
      </c>
    </row>
    <row r="800" spans="1:14" x14ac:dyDescent="0.3">
      <c r="A800" s="1">
        <v>705853</v>
      </c>
      <c r="B800" s="1" t="s">
        <v>1577</v>
      </c>
      <c r="C800" s="5" t="s">
        <v>15</v>
      </c>
      <c r="D800" s="2">
        <v>46063</v>
      </c>
      <c r="E800" s="1" t="s">
        <v>31</v>
      </c>
      <c r="F800" s="1">
        <v>24102</v>
      </c>
      <c r="G800" s="1" t="s">
        <v>669</v>
      </c>
      <c r="H800" s="1" t="s">
        <v>661</v>
      </c>
      <c r="J800" s="1" t="s">
        <v>670</v>
      </c>
      <c r="K800" s="1" t="str">
        <f>VLOOKUP(J800,'[1]Base SCA 02 2026'!V:X,3,0)</f>
        <v>CRISOSTOMO CASTRO</v>
      </c>
      <c r="L800" s="1" t="str">
        <f>VLOOKUP(J800,'[1]Base SCA 02 2026'!V:Y,4,0)</f>
        <v>YAN SILVA</v>
      </c>
      <c r="M800" s="1" t="str">
        <f>VLOOKUP(J800,'[1]Base SCA 02 2026'!V:Z,5,0)</f>
        <v>JUNIO TEIXEIRA /GEOVANI RORIZ</v>
      </c>
      <c r="N800" s="1" t="str">
        <f t="shared" si="12"/>
        <v>JUNIO TEIXEIRA /GEOVANI RORIZ</v>
      </c>
    </row>
    <row r="801" spans="1:14" x14ac:dyDescent="0.3">
      <c r="A801" s="1">
        <v>700644</v>
      </c>
      <c r="B801" s="1" t="s">
        <v>815</v>
      </c>
      <c r="C801" s="5" t="s">
        <v>15</v>
      </c>
      <c r="D801" s="2">
        <v>43374</v>
      </c>
      <c r="E801" s="1" t="s">
        <v>31</v>
      </c>
      <c r="F801" s="1">
        <v>24102</v>
      </c>
      <c r="G801" s="1" t="s">
        <v>669</v>
      </c>
      <c r="H801" s="1" t="s">
        <v>661</v>
      </c>
      <c r="J801" s="1" t="s">
        <v>680</v>
      </c>
      <c r="K801" s="1" t="str">
        <f>VLOOKUP(J801,'[1]Base SCA 02 2026'!V:X,3,0)</f>
        <v>CRISOSTOMO CASTRO</v>
      </c>
      <c r="L801" s="1" t="str">
        <f>VLOOKUP(J801,'[1]Base SCA 02 2026'!V:Y,4,0)</f>
        <v>YAN SILVA</v>
      </c>
      <c r="M801" s="1" t="str">
        <f>VLOOKUP(J801,'[1]Base SCA 02 2026'!V:Z,5,0)</f>
        <v>JUNIO TEIXEIRA /GEOVANI RORIZ</v>
      </c>
      <c r="N801" s="1" t="str">
        <f t="shared" si="12"/>
        <v>JUNIO TEIXEIRA /GEOVANI RORIZ</v>
      </c>
    </row>
    <row r="802" spans="1:14" x14ac:dyDescent="0.3">
      <c r="A802" s="1">
        <v>705292</v>
      </c>
      <c r="B802" s="1" t="s">
        <v>1196</v>
      </c>
      <c r="C802" s="5" t="s">
        <v>92</v>
      </c>
      <c r="D802" s="2">
        <v>45762</v>
      </c>
      <c r="E802" s="1" t="s">
        <v>230</v>
      </c>
      <c r="F802" s="1">
        <v>39601</v>
      </c>
      <c r="G802" s="1" t="s">
        <v>660</v>
      </c>
      <c r="H802" s="1" t="s">
        <v>661</v>
      </c>
      <c r="I802" s="2">
        <v>46058</v>
      </c>
      <c r="J802" s="1" t="s">
        <v>684</v>
      </c>
      <c r="K802" s="1" t="str">
        <f>VLOOKUP(J802,'[1]Base SCA 02 2026'!V:X,3,0)</f>
        <v>CRISOSTOMO CASTRO</v>
      </c>
      <c r="L802" s="1" t="str">
        <f>VLOOKUP(J802,'[1]Base SCA 02 2026'!V:Y,4,0)</f>
        <v>MATHEUS ALMEIDA</v>
      </c>
      <c r="M802" s="1" t="str">
        <f>VLOOKUP(J802,'[1]Base SCA 02 2026'!V:Z,5,0)</f>
        <v>ADALTON/JANILSON RORIZ/MARIVALDO</v>
      </c>
      <c r="N802" s="1" t="str">
        <f t="shared" si="12"/>
        <v>ADALTON/JANILSON RORIZ/MARIVALDO</v>
      </c>
    </row>
    <row r="803" spans="1:14" x14ac:dyDescent="0.3">
      <c r="A803" s="1">
        <v>704112</v>
      </c>
      <c r="B803" s="1" t="s">
        <v>816</v>
      </c>
      <c r="C803" s="5" t="s">
        <v>15</v>
      </c>
      <c r="D803" s="2">
        <v>45215</v>
      </c>
      <c r="E803" s="1" t="s">
        <v>109</v>
      </c>
      <c r="F803" s="1">
        <v>32102</v>
      </c>
      <c r="G803" s="1" t="s">
        <v>674</v>
      </c>
      <c r="H803" s="1" t="s">
        <v>661</v>
      </c>
      <c r="J803" s="1" t="s">
        <v>675</v>
      </c>
      <c r="K803" s="1" t="str">
        <f>VLOOKUP(J803,'[1]Base SCA 02 2026'!V:X,3,0)</f>
        <v>RAFAEL XAVIER</v>
      </c>
      <c r="L803" s="1" t="str">
        <f>VLOOKUP(J803,'[1]Base SCA 02 2026'!V:Y,4,0)</f>
        <v>FERNANDO GUILHERME</v>
      </c>
      <c r="M803" s="1" t="str">
        <f>VLOOKUP(J803,'[1]Base SCA 02 2026'!V:Z,5,0)</f>
        <v>MARCELO DOURADO</v>
      </c>
      <c r="N803" s="1" t="str">
        <f t="shared" si="12"/>
        <v>MARCELO DOURADO</v>
      </c>
    </row>
    <row r="804" spans="1:14" x14ac:dyDescent="0.3">
      <c r="A804" s="1">
        <v>700166</v>
      </c>
      <c r="B804" s="1" t="s">
        <v>818</v>
      </c>
      <c r="C804" s="5" t="s">
        <v>15</v>
      </c>
      <c r="D804" s="2">
        <v>43234</v>
      </c>
      <c r="E804" s="1" t="s">
        <v>255</v>
      </c>
      <c r="F804" s="1">
        <v>39601</v>
      </c>
      <c r="G804" s="1" t="s">
        <v>660</v>
      </c>
      <c r="H804" s="1" t="s">
        <v>661</v>
      </c>
      <c r="J804" s="1" t="s">
        <v>684</v>
      </c>
      <c r="K804" s="1" t="str">
        <f>VLOOKUP(J804,'[1]Base SCA 02 2026'!V:X,3,0)</f>
        <v>CRISOSTOMO CASTRO</v>
      </c>
      <c r="L804" s="1" t="str">
        <f>VLOOKUP(J804,'[1]Base SCA 02 2026'!V:Y,4,0)</f>
        <v>MATHEUS ALMEIDA</v>
      </c>
      <c r="M804" s="1" t="str">
        <f>VLOOKUP(J804,'[1]Base SCA 02 2026'!V:Z,5,0)</f>
        <v>ADALTON/JANILSON RORIZ/MARIVALDO</v>
      </c>
      <c r="N804" s="1" t="str">
        <f t="shared" si="12"/>
        <v>ADALTON/JANILSON RORIZ/MARIVALDO</v>
      </c>
    </row>
    <row r="805" spans="1:14" x14ac:dyDescent="0.3">
      <c r="A805" s="1">
        <v>705409</v>
      </c>
      <c r="B805" s="1" t="s">
        <v>1248</v>
      </c>
      <c r="C805" s="5" t="s">
        <v>15</v>
      </c>
      <c r="D805" s="2">
        <v>45791</v>
      </c>
      <c r="E805" s="1" t="s">
        <v>31</v>
      </c>
      <c r="F805" s="1">
        <v>39601</v>
      </c>
      <c r="G805" s="1" t="s">
        <v>660</v>
      </c>
      <c r="H805" s="1" t="s">
        <v>661</v>
      </c>
      <c r="J805" s="1" t="s">
        <v>662</v>
      </c>
      <c r="K805" s="1" t="str">
        <f>VLOOKUP(J805,'[1]Base SCA 02 2026'!V:X,3,0)</f>
        <v>CRISOSTOMO CASTRO</v>
      </c>
      <c r="L805" s="1" t="str">
        <f>VLOOKUP(J805,'[1]Base SCA 02 2026'!V:Y,4,0)</f>
        <v>MATHEUS ALMEIDA</v>
      </c>
      <c r="N805" s="1" t="str">
        <f t="shared" si="12"/>
        <v>MATHEUS ALMEIDA</v>
      </c>
    </row>
    <row r="806" spans="1:14" x14ac:dyDescent="0.3">
      <c r="A806" s="1">
        <v>703108</v>
      </c>
      <c r="B806" s="1" t="s">
        <v>820</v>
      </c>
      <c r="C806" s="5" t="s">
        <v>15</v>
      </c>
      <c r="D806" s="2">
        <v>44713</v>
      </c>
      <c r="E806" s="1" t="s">
        <v>418</v>
      </c>
      <c r="F806" s="1">
        <v>39601</v>
      </c>
      <c r="G806" s="1" t="s">
        <v>660</v>
      </c>
      <c r="H806" s="1" t="s">
        <v>661</v>
      </c>
      <c r="J806" s="1" t="s">
        <v>684</v>
      </c>
      <c r="K806" s="1" t="str">
        <f>VLOOKUP(J806,'[1]Base SCA 02 2026'!V:X,3,0)</f>
        <v>CRISOSTOMO CASTRO</v>
      </c>
      <c r="L806" s="1" t="str">
        <f>VLOOKUP(J806,'[1]Base SCA 02 2026'!V:Y,4,0)</f>
        <v>MATHEUS ALMEIDA</v>
      </c>
      <c r="M806" s="1" t="str">
        <f>VLOOKUP(J806,'[1]Base SCA 02 2026'!V:Z,5,0)</f>
        <v>ADALTON/JANILSON RORIZ/MARIVALDO</v>
      </c>
      <c r="N806" s="1" t="str">
        <f t="shared" si="12"/>
        <v>ADALTON/JANILSON RORIZ/MARIVALDO</v>
      </c>
    </row>
    <row r="807" spans="1:14" x14ac:dyDescent="0.3">
      <c r="A807" s="1">
        <v>101708</v>
      </c>
      <c r="B807" s="1" t="s">
        <v>821</v>
      </c>
      <c r="C807" s="5" t="s">
        <v>15</v>
      </c>
      <c r="D807" s="2">
        <v>43060</v>
      </c>
      <c r="E807" s="1" t="s">
        <v>31</v>
      </c>
      <c r="F807" s="1">
        <v>24102</v>
      </c>
      <c r="G807" s="1" t="s">
        <v>669</v>
      </c>
      <c r="H807" s="1" t="s">
        <v>661</v>
      </c>
      <c r="J807" s="1" t="s">
        <v>672</v>
      </c>
      <c r="K807" s="1" t="str">
        <f>VLOOKUP(J807,'[1]Base SCA 02 2026'!V:X,3,0)</f>
        <v>CRISOSTOMO CASTRO</v>
      </c>
      <c r="L807" s="1" t="str">
        <f>VLOOKUP(J807,'[1]Base SCA 02 2026'!V:Y,4,0)</f>
        <v>YAN SILVA</v>
      </c>
      <c r="M807" s="1" t="str">
        <f>VLOOKUP(J807,'[1]Base SCA 02 2026'!V:Z,5,0)</f>
        <v>JUNIO TEIXEIRA /GEOVANI RORIZ</v>
      </c>
      <c r="N807" s="1" t="str">
        <f t="shared" si="12"/>
        <v>JUNIO TEIXEIRA /GEOVANI RORIZ</v>
      </c>
    </row>
    <row r="808" spans="1:14" x14ac:dyDescent="0.3">
      <c r="A808" s="1">
        <v>701752</v>
      </c>
      <c r="B808" s="1" t="s">
        <v>822</v>
      </c>
      <c r="C808" s="5" t="s">
        <v>15</v>
      </c>
      <c r="D808" s="2">
        <v>44053</v>
      </c>
      <c r="E808" s="1" t="s">
        <v>219</v>
      </c>
      <c r="F808" s="1">
        <v>32102</v>
      </c>
      <c r="G808" s="1" t="s">
        <v>674</v>
      </c>
      <c r="H808" s="1" t="s">
        <v>661</v>
      </c>
      <c r="J808" s="1" t="s">
        <v>675</v>
      </c>
      <c r="K808" s="1" t="str">
        <f>VLOOKUP(J808,'[1]Base SCA 02 2026'!V:X,3,0)</f>
        <v>RAFAEL XAVIER</v>
      </c>
      <c r="L808" s="1" t="str">
        <f>VLOOKUP(J808,'[1]Base SCA 02 2026'!V:Y,4,0)</f>
        <v>FERNANDO GUILHERME</v>
      </c>
      <c r="M808" s="1" t="str">
        <f>VLOOKUP(J808,'[1]Base SCA 02 2026'!V:Z,5,0)</f>
        <v>MARCELO DOURADO</v>
      </c>
      <c r="N808" s="1" t="str">
        <f t="shared" si="12"/>
        <v>MARCELO DOURADO</v>
      </c>
    </row>
    <row r="809" spans="1:14" x14ac:dyDescent="0.3">
      <c r="A809" s="1">
        <v>705287</v>
      </c>
      <c r="B809" s="1" t="s">
        <v>1197</v>
      </c>
      <c r="C809" s="5" t="s">
        <v>92</v>
      </c>
      <c r="D809" s="2">
        <v>45762</v>
      </c>
      <c r="E809" s="1" t="s">
        <v>31</v>
      </c>
      <c r="F809" s="1">
        <v>39601</v>
      </c>
      <c r="G809" s="1" t="s">
        <v>660</v>
      </c>
      <c r="H809" s="1" t="s">
        <v>661</v>
      </c>
      <c r="I809" s="2">
        <v>46058</v>
      </c>
      <c r="J809" s="1" t="s">
        <v>684</v>
      </c>
      <c r="K809" s="1" t="str">
        <f>VLOOKUP(J809,'[1]Base SCA 02 2026'!V:X,3,0)</f>
        <v>CRISOSTOMO CASTRO</v>
      </c>
      <c r="L809" s="1" t="str">
        <f>VLOOKUP(J809,'[1]Base SCA 02 2026'!V:Y,4,0)</f>
        <v>MATHEUS ALMEIDA</v>
      </c>
      <c r="M809" s="1" t="str">
        <f>VLOOKUP(J809,'[1]Base SCA 02 2026'!V:Z,5,0)</f>
        <v>ADALTON/JANILSON RORIZ/MARIVALDO</v>
      </c>
      <c r="N809" s="1" t="str">
        <f t="shared" si="12"/>
        <v>ADALTON/JANILSON RORIZ/MARIVALDO</v>
      </c>
    </row>
    <row r="810" spans="1:14" x14ac:dyDescent="0.3">
      <c r="A810" s="1">
        <v>703056</v>
      </c>
      <c r="B810" s="1" t="s">
        <v>823</v>
      </c>
      <c r="C810" s="5" t="s">
        <v>15</v>
      </c>
      <c r="D810" s="2">
        <v>44699</v>
      </c>
      <c r="E810" s="1" t="s">
        <v>686</v>
      </c>
      <c r="F810" s="1">
        <v>39601</v>
      </c>
      <c r="G810" s="1" t="s">
        <v>660</v>
      </c>
      <c r="H810" s="1" t="s">
        <v>661</v>
      </c>
      <c r="J810" s="1" t="s">
        <v>684</v>
      </c>
      <c r="K810" s="1" t="str">
        <f>VLOOKUP(J810,'[1]Base SCA 02 2026'!V:X,3,0)</f>
        <v>CRISOSTOMO CASTRO</v>
      </c>
      <c r="L810" s="1" t="str">
        <f>VLOOKUP(J810,'[1]Base SCA 02 2026'!V:Y,4,0)</f>
        <v>MATHEUS ALMEIDA</v>
      </c>
      <c r="M810" s="1" t="str">
        <f>VLOOKUP(J810,'[1]Base SCA 02 2026'!V:Z,5,0)</f>
        <v>ADALTON/JANILSON RORIZ/MARIVALDO</v>
      </c>
      <c r="N810" s="1" t="str">
        <f t="shared" si="12"/>
        <v>ADALTON/JANILSON RORIZ/MARIVALDO</v>
      </c>
    </row>
    <row r="811" spans="1:14" x14ac:dyDescent="0.3">
      <c r="A811" s="1">
        <v>706573</v>
      </c>
      <c r="B811" s="1" t="s">
        <v>824</v>
      </c>
      <c r="C811" s="5" t="s">
        <v>15</v>
      </c>
      <c r="D811" s="2">
        <v>45489</v>
      </c>
      <c r="E811" s="1" t="s">
        <v>418</v>
      </c>
      <c r="F811" s="1">
        <v>39601</v>
      </c>
      <c r="G811" s="1" t="s">
        <v>660</v>
      </c>
      <c r="H811" s="1" t="s">
        <v>661</v>
      </c>
      <c r="J811" s="1" t="s">
        <v>684</v>
      </c>
      <c r="K811" s="1" t="str">
        <f>VLOOKUP(J811,'[1]Base SCA 02 2026'!V:X,3,0)</f>
        <v>CRISOSTOMO CASTRO</v>
      </c>
      <c r="L811" s="1" t="str">
        <f>VLOOKUP(J811,'[1]Base SCA 02 2026'!V:Y,4,0)</f>
        <v>MATHEUS ALMEIDA</v>
      </c>
      <c r="M811" s="1" t="str">
        <f>VLOOKUP(J811,'[1]Base SCA 02 2026'!V:Z,5,0)</f>
        <v>ADALTON/JANILSON RORIZ/MARIVALDO</v>
      </c>
      <c r="N811" s="1" t="str">
        <f t="shared" si="12"/>
        <v>ADALTON/JANILSON RORIZ/MARIVALDO</v>
      </c>
    </row>
    <row r="812" spans="1:14" x14ac:dyDescent="0.3">
      <c r="A812" s="1">
        <v>705843</v>
      </c>
      <c r="B812" s="1" t="s">
        <v>1578</v>
      </c>
      <c r="C812" s="5" t="s">
        <v>15</v>
      </c>
      <c r="D812" s="2">
        <v>46063</v>
      </c>
      <c r="E812" s="1" t="s">
        <v>31</v>
      </c>
      <c r="F812" s="1">
        <v>24102</v>
      </c>
      <c r="G812" s="1" t="s">
        <v>669</v>
      </c>
      <c r="H812" s="1" t="s">
        <v>661</v>
      </c>
      <c r="J812" s="1" t="s">
        <v>670</v>
      </c>
      <c r="K812" s="1" t="str">
        <f>VLOOKUP(J812,'[1]Base SCA 02 2026'!V:X,3,0)</f>
        <v>CRISOSTOMO CASTRO</v>
      </c>
      <c r="L812" s="1" t="str">
        <f>VLOOKUP(J812,'[1]Base SCA 02 2026'!V:Y,4,0)</f>
        <v>YAN SILVA</v>
      </c>
      <c r="M812" s="1" t="str">
        <f>VLOOKUP(J812,'[1]Base SCA 02 2026'!V:Z,5,0)</f>
        <v>JUNIO TEIXEIRA /GEOVANI RORIZ</v>
      </c>
      <c r="N812" s="1" t="str">
        <f t="shared" si="12"/>
        <v>JUNIO TEIXEIRA /GEOVANI RORIZ</v>
      </c>
    </row>
    <row r="813" spans="1:14" x14ac:dyDescent="0.3">
      <c r="A813" s="1">
        <v>101761</v>
      </c>
      <c r="B813" s="1" t="s">
        <v>825</v>
      </c>
      <c r="C813" s="5" t="s">
        <v>15</v>
      </c>
      <c r="D813" s="2">
        <v>43073</v>
      </c>
      <c r="E813" s="1" t="s">
        <v>60</v>
      </c>
      <c r="F813" s="1">
        <v>24102</v>
      </c>
      <c r="G813" s="1" t="s">
        <v>669</v>
      </c>
      <c r="H813" s="1" t="s">
        <v>661</v>
      </c>
      <c r="J813" s="1" t="s">
        <v>672</v>
      </c>
      <c r="K813" s="1" t="str">
        <f>VLOOKUP(J813,'[1]Base SCA 02 2026'!V:X,3,0)</f>
        <v>CRISOSTOMO CASTRO</v>
      </c>
      <c r="L813" s="1" t="str">
        <f>VLOOKUP(J813,'[1]Base SCA 02 2026'!V:Y,4,0)</f>
        <v>YAN SILVA</v>
      </c>
      <c r="M813" s="1" t="str">
        <f>VLOOKUP(J813,'[1]Base SCA 02 2026'!V:Z,5,0)</f>
        <v>JUNIO TEIXEIRA /GEOVANI RORIZ</v>
      </c>
      <c r="N813" s="1" t="str">
        <f t="shared" si="12"/>
        <v>JUNIO TEIXEIRA /GEOVANI RORIZ</v>
      </c>
    </row>
    <row r="814" spans="1:14" x14ac:dyDescent="0.3">
      <c r="A814" s="1">
        <v>705026</v>
      </c>
      <c r="B814" s="1" t="s">
        <v>827</v>
      </c>
      <c r="C814" s="5" t="s">
        <v>15</v>
      </c>
      <c r="D814" s="2">
        <v>45636</v>
      </c>
      <c r="E814" s="1" t="s">
        <v>31</v>
      </c>
      <c r="F814" s="1">
        <v>24102</v>
      </c>
      <c r="G814" s="1" t="s">
        <v>669</v>
      </c>
      <c r="H814" s="1" t="s">
        <v>661</v>
      </c>
      <c r="J814" s="1" t="s">
        <v>672</v>
      </c>
      <c r="K814" s="1" t="str">
        <f>VLOOKUP(J814,'[1]Base SCA 02 2026'!V:X,3,0)</f>
        <v>CRISOSTOMO CASTRO</v>
      </c>
      <c r="L814" s="1" t="str">
        <f>VLOOKUP(J814,'[1]Base SCA 02 2026'!V:Y,4,0)</f>
        <v>YAN SILVA</v>
      </c>
      <c r="M814" s="1" t="str">
        <f>VLOOKUP(J814,'[1]Base SCA 02 2026'!V:Z,5,0)</f>
        <v>JUNIO TEIXEIRA /GEOVANI RORIZ</v>
      </c>
      <c r="N814" s="1" t="str">
        <f t="shared" si="12"/>
        <v>JUNIO TEIXEIRA /GEOVANI RORIZ</v>
      </c>
    </row>
    <row r="815" spans="1:14" x14ac:dyDescent="0.3">
      <c r="A815" s="1">
        <v>705446</v>
      </c>
      <c r="B815" s="1" t="s">
        <v>1249</v>
      </c>
      <c r="C815" s="5" t="s">
        <v>15</v>
      </c>
      <c r="D815" s="2">
        <v>45797</v>
      </c>
      <c r="E815" s="1" t="s">
        <v>31</v>
      </c>
      <c r="F815" s="1">
        <v>24102</v>
      </c>
      <c r="G815" s="1" t="s">
        <v>669</v>
      </c>
      <c r="H815" s="1" t="s">
        <v>661</v>
      </c>
      <c r="J815" s="1" t="s">
        <v>672</v>
      </c>
      <c r="K815" s="1" t="str">
        <f>VLOOKUP(J815,'[1]Base SCA 02 2026'!V:X,3,0)</f>
        <v>CRISOSTOMO CASTRO</v>
      </c>
      <c r="L815" s="1" t="str">
        <f>VLOOKUP(J815,'[1]Base SCA 02 2026'!V:Y,4,0)</f>
        <v>YAN SILVA</v>
      </c>
      <c r="M815" s="1" t="str">
        <f>VLOOKUP(J815,'[1]Base SCA 02 2026'!V:Z,5,0)</f>
        <v>JUNIO TEIXEIRA /GEOVANI RORIZ</v>
      </c>
      <c r="N815" s="1" t="str">
        <f t="shared" si="12"/>
        <v>JUNIO TEIXEIRA /GEOVANI RORIZ</v>
      </c>
    </row>
    <row r="816" spans="1:14" x14ac:dyDescent="0.3">
      <c r="A816" s="1">
        <v>700501</v>
      </c>
      <c r="B816" s="1" t="s">
        <v>828</v>
      </c>
      <c r="C816" s="5" t="s">
        <v>15</v>
      </c>
      <c r="D816" s="2">
        <v>43346</v>
      </c>
      <c r="E816" s="1" t="s">
        <v>60</v>
      </c>
      <c r="F816" s="1">
        <v>24102</v>
      </c>
      <c r="G816" s="1" t="s">
        <v>669</v>
      </c>
      <c r="H816" s="1" t="s">
        <v>661</v>
      </c>
      <c r="J816" s="1" t="s">
        <v>672</v>
      </c>
      <c r="K816" s="1" t="str">
        <f>VLOOKUP(J816,'[1]Base SCA 02 2026'!V:X,3,0)</f>
        <v>CRISOSTOMO CASTRO</v>
      </c>
      <c r="L816" s="1" t="str">
        <f>VLOOKUP(J816,'[1]Base SCA 02 2026'!V:Y,4,0)</f>
        <v>YAN SILVA</v>
      </c>
      <c r="M816" s="1" t="str">
        <f>VLOOKUP(J816,'[1]Base SCA 02 2026'!V:Z,5,0)</f>
        <v>JUNIO TEIXEIRA /GEOVANI RORIZ</v>
      </c>
      <c r="N816" s="1" t="str">
        <f t="shared" si="12"/>
        <v>JUNIO TEIXEIRA /GEOVANI RORIZ</v>
      </c>
    </row>
    <row r="817" spans="1:14" x14ac:dyDescent="0.3">
      <c r="A817" s="1">
        <v>704843</v>
      </c>
      <c r="B817" s="1" t="s">
        <v>829</v>
      </c>
      <c r="C817" s="5" t="s">
        <v>15</v>
      </c>
      <c r="D817" s="2">
        <v>45572</v>
      </c>
      <c r="E817" s="1" t="s">
        <v>138</v>
      </c>
      <c r="F817" s="1">
        <v>24102</v>
      </c>
      <c r="G817" s="1" t="s">
        <v>669</v>
      </c>
      <c r="H817" s="1" t="s">
        <v>661</v>
      </c>
      <c r="J817" s="1" t="s">
        <v>682</v>
      </c>
      <c r="K817" s="1" t="str">
        <f>VLOOKUP(J817,'[1]Base SCA 02 2026'!V:X,3,0)</f>
        <v>CRISOSTOMO CASTRO</v>
      </c>
      <c r="L817" s="1" t="str">
        <f>VLOOKUP(J817,'[1]Base SCA 02 2026'!V:Y,4,0)</f>
        <v>JOÃO FILHO</v>
      </c>
      <c r="M817" s="1" t="str">
        <f>VLOOKUP(J817,'[1]Base SCA 02 2026'!V:Z,5,0)</f>
        <v>ALCENO JUNIOR/JOÃO MARCOS</v>
      </c>
      <c r="N817" s="1" t="str">
        <f t="shared" si="12"/>
        <v>ALCENO JUNIOR/JOÃO MARCOS</v>
      </c>
    </row>
    <row r="818" spans="1:14" x14ac:dyDescent="0.3">
      <c r="A818" s="1">
        <v>705336</v>
      </c>
      <c r="B818" s="1" t="s">
        <v>1250</v>
      </c>
      <c r="C818" s="5" t="s">
        <v>15</v>
      </c>
      <c r="D818" s="2">
        <v>45784</v>
      </c>
      <c r="E818" s="1" t="s">
        <v>31</v>
      </c>
      <c r="F818" s="1">
        <v>39601</v>
      </c>
      <c r="G818" s="1" t="s">
        <v>660</v>
      </c>
      <c r="H818" s="1" t="s">
        <v>661</v>
      </c>
      <c r="J818" s="1" t="s">
        <v>684</v>
      </c>
      <c r="K818" s="1" t="str">
        <f>VLOOKUP(J818,'[1]Base SCA 02 2026'!V:X,3,0)</f>
        <v>CRISOSTOMO CASTRO</v>
      </c>
      <c r="L818" s="1" t="str">
        <f>VLOOKUP(J818,'[1]Base SCA 02 2026'!V:Y,4,0)</f>
        <v>MATHEUS ALMEIDA</v>
      </c>
      <c r="M818" s="1" t="str">
        <f>VLOOKUP(J818,'[1]Base SCA 02 2026'!V:Z,5,0)</f>
        <v>ADALTON/JANILSON RORIZ/MARIVALDO</v>
      </c>
      <c r="N818" s="1" t="str">
        <f t="shared" si="12"/>
        <v>ADALTON/JANILSON RORIZ/MARIVALDO</v>
      </c>
    </row>
    <row r="819" spans="1:14" x14ac:dyDescent="0.3">
      <c r="A819" s="1">
        <v>705346</v>
      </c>
      <c r="B819" s="1" t="s">
        <v>1251</v>
      </c>
      <c r="C819" s="5" t="s">
        <v>15</v>
      </c>
      <c r="D819" s="2">
        <v>45784</v>
      </c>
      <c r="E819" s="1" t="s">
        <v>31</v>
      </c>
      <c r="F819" s="1">
        <v>39601</v>
      </c>
      <c r="G819" s="1" t="s">
        <v>660</v>
      </c>
      <c r="H819" s="1" t="s">
        <v>661</v>
      </c>
      <c r="J819" s="1" t="s">
        <v>684</v>
      </c>
      <c r="K819" s="1" t="str">
        <f>VLOOKUP(J819,'[1]Base SCA 02 2026'!V:X,3,0)</f>
        <v>CRISOSTOMO CASTRO</v>
      </c>
      <c r="L819" s="1" t="str">
        <f>VLOOKUP(J819,'[1]Base SCA 02 2026'!V:Y,4,0)</f>
        <v>MATHEUS ALMEIDA</v>
      </c>
      <c r="M819" s="1" t="str">
        <f>VLOOKUP(J819,'[1]Base SCA 02 2026'!V:Z,5,0)</f>
        <v>ADALTON/JANILSON RORIZ/MARIVALDO</v>
      </c>
      <c r="N819" s="1" t="str">
        <f t="shared" si="12"/>
        <v>ADALTON/JANILSON RORIZ/MARIVALDO</v>
      </c>
    </row>
    <row r="820" spans="1:14" x14ac:dyDescent="0.3">
      <c r="A820" s="1">
        <v>703182</v>
      </c>
      <c r="B820" s="1" t="s">
        <v>830</v>
      </c>
      <c r="C820" s="5" t="s">
        <v>15</v>
      </c>
      <c r="D820" s="2">
        <v>44753</v>
      </c>
      <c r="E820" s="1" t="s">
        <v>686</v>
      </c>
      <c r="F820" s="1">
        <v>39601</v>
      </c>
      <c r="G820" s="1" t="s">
        <v>660</v>
      </c>
      <c r="H820" s="1" t="s">
        <v>661</v>
      </c>
      <c r="J820" s="1" t="s">
        <v>684</v>
      </c>
      <c r="K820" s="1" t="str">
        <f>VLOOKUP(J820,'[1]Base SCA 02 2026'!V:X,3,0)</f>
        <v>CRISOSTOMO CASTRO</v>
      </c>
      <c r="L820" s="1" t="str">
        <f>VLOOKUP(J820,'[1]Base SCA 02 2026'!V:Y,4,0)</f>
        <v>MATHEUS ALMEIDA</v>
      </c>
      <c r="M820" s="1" t="str">
        <f>VLOOKUP(J820,'[1]Base SCA 02 2026'!V:Z,5,0)</f>
        <v>ADALTON/JANILSON RORIZ/MARIVALDO</v>
      </c>
      <c r="N820" s="1" t="str">
        <f t="shared" si="12"/>
        <v>ADALTON/JANILSON RORIZ/MARIVALDO</v>
      </c>
    </row>
    <row r="821" spans="1:14" x14ac:dyDescent="0.3">
      <c r="A821" s="1">
        <v>704125</v>
      </c>
      <c r="B821" s="1" t="s">
        <v>831</v>
      </c>
      <c r="C821" s="5" t="s">
        <v>15</v>
      </c>
      <c r="D821" s="2">
        <v>45238</v>
      </c>
      <c r="E821" s="1" t="s">
        <v>138</v>
      </c>
      <c r="F821" s="1">
        <v>24102</v>
      </c>
      <c r="G821" s="1" t="s">
        <v>669</v>
      </c>
      <c r="H821" s="1" t="s">
        <v>661</v>
      </c>
      <c r="J821" s="1" t="s">
        <v>682</v>
      </c>
      <c r="K821" s="1" t="str">
        <f>VLOOKUP(J821,'[1]Base SCA 02 2026'!V:X,3,0)</f>
        <v>CRISOSTOMO CASTRO</v>
      </c>
      <c r="L821" s="1" t="str">
        <f>VLOOKUP(J821,'[1]Base SCA 02 2026'!V:Y,4,0)</f>
        <v>JOÃO FILHO</v>
      </c>
      <c r="M821" s="1" t="str">
        <f>VLOOKUP(J821,'[1]Base SCA 02 2026'!V:Z,5,0)</f>
        <v>ALCENO JUNIOR/JOÃO MARCOS</v>
      </c>
      <c r="N821" s="1" t="str">
        <f t="shared" si="12"/>
        <v>ALCENO JUNIOR/JOÃO MARCOS</v>
      </c>
    </row>
    <row r="822" spans="1:14" x14ac:dyDescent="0.3">
      <c r="A822" s="1">
        <v>704928</v>
      </c>
      <c r="B822" s="1" t="s">
        <v>832</v>
      </c>
      <c r="C822" s="5" t="s">
        <v>15</v>
      </c>
      <c r="D822" s="2">
        <v>45601</v>
      </c>
      <c r="E822" s="1" t="s">
        <v>418</v>
      </c>
      <c r="F822" s="1">
        <v>39601</v>
      </c>
      <c r="G822" s="1" t="s">
        <v>660</v>
      </c>
      <c r="H822" s="1" t="s">
        <v>661</v>
      </c>
      <c r="J822" s="1" t="s">
        <v>662</v>
      </c>
      <c r="K822" s="1" t="str">
        <f>VLOOKUP(J822,'[1]Base SCA 02 2026'!V:X,3,0)</f>
        <v>CRISOSTOMO CASTRO</v>
      </c>
      <c r="L822" s="1" t="str">
        <f>VLOOKUP(J822,'[1]Base SCA 02 2026'!V:Y,4,0)</f>
        <v>MATHEUS ALMEIDA</v>
      </c>
      <c r="N822" s="1" t="str">
        <f t="shared" si="12"/>
        <v>MATHEUS ALMEIDA</v>
      </c>
    </row>
    <row r="823" spans="1:14" x14ac:dyDescent="0.3">
      <c r="A823" s="1">
        <v>705087</v>
      </c>
      <c r="B823" s="1" t="s">
        <v>833</v>
      </c>
      <c r="C823" s="5" t="s">
        <v>15</v>
      </c>
      <c r="D823" s="2">
        <v>45670</v>
      </c>
      <c r="E823" s="1" t="s">
        <v>31</v>
      </c>
      <c r="F823" s="1">
        <v>24102</v>
      </c>
      <c r="G823" s="1" t="s">
        <v>669</v>
      </c>
      <c r="H823" s="1" t="s">
        <v>661</v>
      </c>
      <c r="J823" s="1" t="s">
        <v>672</v>
      </c>
      <c r="K823" s="1" t="str">
        <f>VLOOKUP(J823,'[1]Base SCA 02 2026'!V:X,3,0)</f>
        <v>CRISOSTOMO CASTRO</v>
      </c>
      <c r="L823" s="1" t="str">
        <f>VLOOKUP(J823,'[1]Base SCA 02 2026'!V:Y,4,0)</f>
        <v>YAN SILVA</v>
      </c>
      <c r="M823" s="1" t="str">
        <f>VLOOKUP(J823,'[1]Base SCA 02 2026'!V:Z,5,0)</f>
        <v>JUNIO TEIXEIRA /GEOVANI RORIZ</v>
      </c>
      <c r="N823" s="1" t="str">
        <f t="shared" si="12"/>
        <v>JUNIO TEIXEIRA /GEOVANI RORIZ</v>
      </c>
    </row>
    <row r="824" spans="1:14" x14ac:dyDescent="0.3">
      <c r="A824" s="1">
        <v>705681</v>
      </c>
      <c r="B824" s="1" t="s">
        <v>1429</v>
      </c>
      <c r="C824" s="5" t="s">
        <v>15</v>
      </c>
      <c r="D824" s="2">
        <v>45944</v>
      </c>
      <c r="E824" s="1" t="s">
        <v>31</v>
      </c>
      <c r="F824" s="1">
        <v>39601</v>
      </c>
      <c r="G824" s="1" t="s">
        <v>660</v>
      </c>
      <c r="H824" s="1" t="s">
        <v>661</v>
      </c>
      <c r="J824" s="1" t="s">
        <v>662</v>
      </c>
      <c r="K824" s="1" t="str">
        <f>VLOOKUP(J824,'[1]Base SCA 02 2026'!V:X,3,0)</f>
        <v>CRISOSTOMO CASTRO</v>
      </c>
      <c r="L824" s="1" t="str">
        <f>VLOOKUP(J824,'[1]Base SCA 02 2026'!V:Y,4,0)</f>
        <v>MATHEUS ALMEIDA</v>
      </c>
      <c r="N824" s="1" t="str">
        <f t="shared" si="12"/>
        <v>MATHEUS ALMEIDA</v>
      </c>
    </row>
    <row r="825" spans="1:14" x14ac:dyDescent="0.3">
      <c r="A825" s="1">
        <v>703005</v>
      </c>
      <c r="B825" s="1" t="s">
        <v>834</v>
      </c>
      <c r="C825" s="5" t="s">
        <v>15</v>
      </c>
      <c r="D825" s="2">
        <v>44691</v>
      </c>
      <c r="E825" s="1" t="s">
        <v>146</v>
      </c>
      <c r="F825" s="1">
        <v>24102</v>
      </c>
      <c r="G825" s="1" t="s">
        <v>669</v>
      </c>
      <c r="H825" s="1" t="s">
        <v>661</v>
      </c>
      <c r="J825" s="1" t="s">
        <v>697</v>
      </c>
      <c r="K825" s="1" t="str">
        <f>VLOOKUP(J825,'[1]Base SCA 02 2026'!V:X,3,0)</f>
        <v>CRISOSTOMO CASTRO</v>
      </c>
      <c r="L825" s="1" t="str">
        <f>VLOOKUP(J825,'[1]Base SCA 02 2026'!V:Y,4,0)</f>
        <v>JOÃO FILHO</v>
      </c>
      <c r="M825" s="1" t="str">
        <f>VLOOKUP(J825,'[1]Base SCA 02 2026'!V:Z,5,0)</f>
        <v>ALCENO JUNIOR/JOÃO MARCOS</v>
      </c>
      <c r="N825" s="1" t="str">
        <f t="shared" si="12"/>
        <v>ALCENO JUNIOR/JOÃO MARCOS</v>
      </c>
    </row>
    <row r="826" spans="1:14" x14ac:dyDescent="0.3">
      <c r="A826" s="1">
        <v>702606</v>
      </c>
      <c r="B826" s="1" t="s">
        <v>835</v>
      </c>
      <c r="C826" s="5" t="s">
        <v>15</v>
      </c>
      <c r="D826" s="2">
        <v>44487</v>
      </c>
      <c r="E826" s="1" t="s">
        <v>507</v>
      </c>
      <c r="F826" s="1">
        <v>24201</v>
      </c>
      <c r="G826" s="1" t="s">
        <v>664</v>
      </c>
      <c r="H826" s="1" t="s">
        <v>661</v>
      </c>
      <c r="J826" s="1" t="s">
        <v>665</v>
      </c>
      <c r="K826" s="1" t="str">
        <f>VLOOKUP(J826,'[1]Base SCA 02 2026'!V:X,3,0)</f>
        <v>CRISOSTOMO CASTRO</v>
      </c>
      <c r="L826" s="1" t="str">
        <f>VLOOKUP(J826,'[1]Base SCA 02 2026'!V:Y,4,0)</f>
        <v>MATHEUS ALMEIDA</v>
      </c>
      <c r="M826" s="1" t="str">
        <f>VLOOKUP(J826,'[1]Base SCA 02 2026'!V:Z,5,0)</f>
        <v>JOSIEL NEVES</v>
      </c>
      <c r="N826" s="1" t="str">
        <f t="shared" si="12"/>
        <v>JOSIEL NEVES</v>
      </c>
    </row>
    <row r="827" spans="1:14" x14ac:dyDescent="0.3">
      <c r="A827" s="1">
        <v>702143</v>
      </c>
      <c r="B827" s="1" t="s">
        <v>836</v>
      </c>
      <c r="C827" s="5" t="s">
        <v>15</v>
      </c>
      <c r="D827" s="2">
        <v>44299</v>
      </c>
      <c r="E827" s="1" t="s">
        <v>138</v>
      </c>
      <c r="F827" s="1">
        <v>24102</v>
      </c>
      <c r="G827" s="1" t="s">
        <v>669</v>
      </c>
      <c r="H827" s="1" t="s">
        <v>661</v>
      </c>
      <c r="J827" s="1" t="s">
        <v>682</v>
      </c>
      <c r="K827" s="1" t="str">
        <f>VLOOKUP(J827,'[1]Base SCA 02 2026'!V:X,3,0)</f>
        <v>CRISOSTOMO CASTRO</v>
      </c>
      <c r="L827" s="1" t="str">
        <f>VLOOKUP(J827,'[1]Base SCA 02 2026'!V:Y,4,0)</f>
        <v>JOÃO FILHO</v>
      </c>
      <c r="M827" s="1" t="str">
        <f>VLOOKUP(J827,'[1]Base SCA 02 2026'!V:Z,5,0)</f>
        <v>ALCENO JUNIOR/JOÃO MARCOS</v>
      </c>
      <c r="N827" s="1" t="str">
        <f t="shared" si="12"/>
        <v>ALCENO JUNIOR/JOÃO MARCOS</v>
      </c>
    </row>
    <row r="828" spans="1:14" x14ac:dyDescent="0.3">
      <c r="A828" s="1">
        <v>705394</v>
      </c>
      <c r="B828" s="1" t="s">
        <v>1252</v>
      </c>
      <c r="C828" s="5" t="s">
        <v>15</v>
      </c>
      <c r="D828" s="2">
        <v>45791</v>
      </c>
      <c r="E828" s="1" t="s">
        <v>31</v>
      </c>
      <c r="F828" s="1">
        <v>39601</v>
      </c>
      <c r="G828" s="1" t="s">
        <v>660</v>
      </c>
      <c r="H828" s="1" t="s">
        <v>661</v>
      </c>
      <c r="J828" s="1" t="s">
        <v>662</v>
      </c>
      <c r="K828" s="1" t="str">
        <f>VLOOKUP(J828,'[1]Base SCA 02 2026'!V:X,3,0)</f>
        <v>CRISOSTOMO CASTRO</v>
      </c>
      <c r="L828" s="1" t="str">
        <f>VLOOKUP(J828,'[1]Base SCA 02 2026'!V:Y,4,0)</f>
        <v>MATHEUS ALMEIDA</v>
      </c>
      <c r="N828" s="1" t="str">
        <f t="shared" si="12"/>
        <v>MATHEUS ALMEIDA</v>
      </c>
    </row>
    <row r="829" spans="1:14" x14ac:dyDescent="0.3">
      <c r="A829" s="1">
        <v>705549</v>
      </c>
      <c r="B829" s="1" t="s">
        <v>1334</v>
      </c>
      <c r="C829" s="5" t="s">
        <v>15</v>
      </c>
      <c r="D829" s="2">
        <v>45881</v>
      </c>
      <c r="E829" s="1" t="s">
        <v>16</v>
      </c>
      <c r="F829" s="1">
        <v>24102</v>
      </c>
      <c r="G829" s="1" t="s">
        <v>669</v>
      </c>
      <c r="H829" s="1" t="s">
        <v>661</v>
      </c>
      <c r="J829" s="1" t="s">
        <v>682</v>
      </c>
      <c r="K829" s="1" t="str">
        <f>VLOOKUP(J829,'[1]Base SCA 02 2026'!V:X,3,0)</f>
        <v>CRISOSTOMO CASTRO</v>
      </c>
      <c r="L829" s="1" t="str">
        <f>VLOOKUP(J829,'[1]Base SCA 02 2026'!V:Y,4,0)</f>
        <v>JOÃO FILHO</v>
      </c>
      <c r="M829" s="1" t="str">
        <f>VLOOKUP(J829,'[1]Base SCA 02 2026'!V:Z,5,0)</f>
        <v>ALCENO JUNIOR/JOÃO MARCOS</v>
      </c>
      <c r="N829" s="1" t="str">
        <f t="shared" si="12"/>
        <v>ALCENO JUNIOR/JOÃO MARCOS</v>
      </c>
    </row>
    <row r="830" spans="1:14" x14ac:dyDescent="0.3">
      <c r="A830" s="1">
        <v>705842</v>
      </c>
      <c r="B830" s="1" t="s">
        <v>1579</v>
      </c>
      <c r="C830" s="5" t="s">
        <v>15</v>
      </c>
      <c r="D830" s="2">
        <v>46063</v>
      </c>
      <c r="E830" s="1" t="s">
        <v>31</v>
      </c>
      <c r="F830" s="1">
        <v>24102</v>
      </c>
      <c r="G830" s="1" t="s">
        <v>669</v>
      </c>
      <c r="H830" s="1" t="s">
        <v>661</v>
      </c>
      <c r="J830" s="1" t="s">
        <v>670</v>
      </c>
      <c r="K830" s="1" t="str">
        <f>VLOOKUP(J830,'[1]Base SCA 02 2026'!V:X,3,0)</f>
        <v>CRISOSTOMO CASTRO</v>
      </c>
      <c r="L830" s="1" t="str">
        <f>VLOOKUP(J830,'[1]Base SCA 02 2026'!V:Y,4,0)</f>
        <v>YAN SILVA</v>
      </c>
      <c r="M830" s="1" t="str">
        <f>VLOOKUP(J830,'[1]Base SCA 02 2026'!V:Z,5,0)</f>
        <v>JUNIO TEIXEIRA /GEOVANI RORIZ</v>
      </c>
      <c r="N830" s="1" t="str">
        <f t="shared" si="12"/>
        <v>JUNIO TEIXEIRA /GEOVANI RORIZ</v>
      </c>
    </row>
    <row r="831" spans="1:14" x14ac:dyDescent="0.3">
      <c r="A831" s="1">
        <v>703708</v>
      </c>
      <c r="B831" s="1" t="s">
        <v>837</v>
      </c>
      <c r="C831" s="5" t="s">
        <v>15</v>
      </c>
      <c r="D831" s="2">
        <v>45019</v>
      </c>
      <c r="E831" s="1" t="s">
        <v>686</v>
      </c>
      <c r="F831" s="1">
        <v>39602</v>
      </c>
      <c r="G831" s="1" t="s">
        <v>699</v>
      </c>
      <c r="H831" s="1" t="s">
        <v>661</v>
      </c>
      <c r="J831" s="1" t="s">
        <v>700</v>
      </c>
      <c r="K831" s="1" t="str">
        <f>VLOOKUP(J831,'[1]Base SCA 02 2026'!V:X,3,0)</f>
        <v>CRISOSTOMO CASTRO</v>
      </c>
      <c r="L831" s="1" t="str">
        <f>VLOOKUP(J831,'[1]Base SCA 02 2026'!V:Y,4,0)</f>
        <v>MATHEUS ALMEIDA</v>
      </c>
      <c r="M831" s="1" t="str">
        <f>VLOOKUP(J831,'[1]Base SCA 02 2026'!V:Z,5,0)</f>
        <v>IURY GUEDES</v>
      </c>
      <c r="N831" s="1" t="str">
        <f t="shared" si="12"/>
        <v>IURY GUEDES</v>
      </c>
    </row>
    <row r="832" spans="1:14" x14ac:dyDescent="0.3">
      <c r="A832" s="1">
        <v>703284</v>
      </c>
      <c r="B832" s="1" t="s">
        <v>838</v>
      </c>
      <c r="C832" s="5" t="s">
        <v>15</v>
      </c>
      <c r="D832" s="2">
        <v>44788</v>
      </c>
      <c r="E832" s="1" t="s">
        <v>60</v>
      </c>
      <c r="F832" s="1">
        <v>24102</v>
      </c>
      <c r="G832" s="1" t="s">
        <v>669</v>
      </c>
      <c r="H832" s="1" t="s">
        <v>661</v>
      </c>
      <c r="J832" s="1" t="s">
        <v>697</v>
      </c>
      <c r="K832" s="1" t="str">
        <f>VLOOKUP(J832,'[1]Base SCA 02 2026'!V:X,3,0)</f>
        <v>CRISOSTOMO CASTRO</v>
      </c>
      <c r="L832" s="1" t="str">
        <f>VLOOKUP(J832,'[1]Base SCA 02 2026'!V:Y,4,0)</f>
        <v>JOÃO FILHO</v>
      </c>
      <c r="M832" s="1" t="str">
        <f>VLOOKUP(J832,'[1]Base SCA 02 2026'!V:Z,5,0)</f>
        <v>ALCENO JUNIOR/JOÃO MARCOS</v>
      </c>
      <c r="N832" s="1" t="str">
        <f t="shared" si="12"/>
        <v>ALCENO JUNIOR/JOÃO MARCOS</v>
      </c>
    </row>
    <row r="833" spans="1:14" x14ac:dyDescent="0.3">
      <c r="A833" s="1">
        <v>701082</v>
      </c>
      <c r="B833" s="1" t="s">
        <v>839</v>
      </c>
      <c r="C833" s="5" t="s">
        <v>92</v>
      </c>
      <c r="D833" s="2">
        <v>43619</v>
      </c>
      <c r="E833" s="1" t="s">
        <v>457</v>
      </c>
      <c r="F833" s="1">
        <v>24102</v>
      </c>
      <c r="G833" s="1" t="s">
        <v>669</v>
      </c>
      <c r="H833" s="1" t="s">
        <v>661</v>
      </c>
      <c r="I833" s="2">
        <v>46058</v>
      </c>
      <c r="J833" s="1" t="s">
        <v>670</v>
      </c>
      <c r="K833" s="1" t="str">
        <f>VLOOKUP(J833,'[1]Base SCA 02 2026'!V:X,3,0)</f>
        <v>CRISOSTOMO CASTRO</v>
      </c>
      <c r="L833" s="1" t="str">
        <f>VLOOKUP(J833,'[1]Base SCA 02 2026'!V:Y,4,0)</f>
        <v>YAN SILVA</v>
      </c>
      <c r="M833" s="1" t="str">
        <f>VLOOKUP(J833,'[1]Base SCA 02 2026'!V:Z,5,0)</f>
        <v>JUNIO TEIXEIRA /GEOVANI RORIZ</v>
      </c>
      <c r="N833" s="1" t="str">
        <f t="shared" si="12"/>
        <v>JUNIO TEIXEIRA /GEOVANI RORIZ</v>
      </c>
    </row>
    <row r="834" spans="1:14" x14ac:dyDescent="0.3">
      <c r="A834" s="1">
        <v>701294</v>
      </c>
      <c r="B834" s="1" t="s">
        <v>840</v>
      </c>
      <c r="C834" s="5" t="s">
        <v>15</v>
      </c>
      <c r="D834" s="2">
        <v>43718</v>
      </c>
      <c r="E834" s="1" t="s">
        <v>105</v>
      </c>
      <c r="F834" s="1">
        <v>24102</v>
      </c>
      <c r="G834" s="1" t="s">
        <v>669</v>
      </c>
      <c r="H834" s="1" t="s">
        <v>661</v>
      </c>
      <c r="J834" s="1" t="s">
        <v>697</v>
      </c>
      <c r="K834" s="1" t="str">
        <f>VLOOKUP(J834,'[1]Base SCA 02 2026'!V:X,3,0)</f>
        <v>CRISOSTOMO CASTRO</v>
      </c>
      <c r="L834" s="1" t="str">
        <f>VLOOKUP(J834,'[1]Base SCA 02 2026'!V:Y,4,0)</f>
        <v>JOÃO FILHO</v>
      </c>
      <c r="M834" s="1" t="str">
        <f>VLOOKUP(J834,'[1]Base SCA 02 2026'!V:Z,5,0)</f>
        <v>ALCENO JUNIOR/JOÃO MARCOS</v>
      </c>
      <c r="N834" s="1" t="str">
        <f t="shared" si="12"/>
        <v>ALCENO JUNIOR/JOÃO MARCOS</v>
      </c>
    </row>
    <row r="835" spans="1:14" x14ac:dyDescent="0.3">
      <c r="A835" s="1">
        <v>704322</v>
      </c>
      <c r="B835" s="1" t="s">
        <v>841</v>
      </c>
      <c r="C835" s="5" t="s">
        <v>15</v>
      </c>
      <c r="D835" s="2">
        <v>45356</v>
      </c>
      <c r="E835" s="1" t="s">
        <v>507</v>
      </c>
      <c r="F835" s="1">
        <v>24102</v>
      </c>
      <c r="G835" s="1" t="s">
        <v>669</v>
      </c>
      <c r="H835" s="1" t="s">
        <v>661</v>
      </c>
      <c r="J835" s="1" t="s">
        <v>670</v>
      </c>
      <c r="K835" s="1" t="str">
        <f>VLOOKUP(J835,'[1]Base SCA 02 2026'!V:X,3,0)</f>
        <v>CRISOSTOMO CASTRO</v>
      </c>
      <c r="L835" s="1" t="str">
        <f>VLOOKUP(J835,'[1]Base SCA 02 2026'!V:Y,4,0)</f>
        <v>YAN SILVA</v>
      </c>
      <c r="M835" s="1" t="str">
        <f>VLOOKUP(J835,'[1]Base SCA 02 2026'!V:Z,5,0)</f>
        <v>JUNIO TEIXEIRA /GEOVANI RORIZ</v>
      </c>
      <c r="N835" s="1" t="str">
        <f t="shared" ref="N835:N898" si="13">IF(M835&lt;&gt;"", M835, IF(L835&lt;&gt;"", L835, K835))</f>
        <v>JUNIO TEIXEIRA /GEOVANI RORIZ</v>
      </c>
    </row>
    <row r="836" spans="1:14" x14ac:dyDescent="0.3">
      <c r="A836" s="1">
        <v>705319</v>
      </c>
      <c r="B836" s="1" t="s">
        <v>1253</v>
      </c>
      <c r="C836" s="5" t="s">
        <v>15</v>
      </c>
      <c r="D836" s="2">
        <v>45784</v>
      </c>
      <c r="E836" s="1" t="s">
        <v>60</v>
      </c>
      <c r="F836" s="1">
        <v>24102</v>
      </c>
      <c r="G836" s="1" t="s">
        <v>669</v>
      </c>
      <c r="H836" s="1" t="s">
        <v>661</v>
      </c>
      <c r="J836" s="1" t="s">
        <v>804</v>
      </c>
      <c r="K836" s="1" t="str">
        <f>VLOOKUP(J836,'[1]Base SCA 02 2026'!V:X,3,0)</f>
        <v>CRISOSTOMO CASTRO</v>
      </c>
      <c r="L836" s="1" t="str">
        <f>VLOOKUP(J836,'[1]Base SCA 02 2026'!V:Y,4,0)</f>
        <v>CRISOSTOMO CASTRO</v>
      </c>
      <c r="M836" s="1" t="str">
        <f>VLOOKUP(J836,'[1]Base SCA 02 2026'!V:Z,5,0)</f>
        <v>JAILSON RORIZ</v>
      </c>
      <c r="N836" s="1" t="str">
        <f t="shared" si="13"/>
        <v>JAILSON RORIZ</v>
      </c>
    </row>
    <row r="837" spans="1:14" x14ac:dyDescent="0.3">
      <c r="A837" s="1">
        <v>705837</v>
      </c>
      <c r="B837" s="1" t="s">
        <v>1580</v>
      </c>
      <c r="C837" s="5" t="s">
        <v>15</v>
      </c>
      <c r="D837" s="2">
        <v>46063</v>
      </c>
      <c r="E837" s="1" t="s">
        <v>16</v>
      </c>
      <c r="F837" s="1">
        <v>24102</v>
      </c>
      <c r="G837" s="1" t="s">
        <v>669</v>
      </c>
      <c r="H837" s="1" t="s">
        <v>661</v>
      </c>
      <c r="J837" s="1" t="s">
        <v>682</v>
      </c>
      <c r="K837" s="1" t="str">
        <f>VLOOKUP(J837,'[1]Base SCA 02 2026'!V:X,3,0)</f>
        <v>CRISOSTOMO CASTRO</v>
      </c>
      <c r="L837" s="1" t="str">
        <f>VLOOKUP(J837,'[1]Base SCA 02 2026'!V:Y,4,0)</f>
        <v>JOÃO FILHO</v>
      </c>
      <c r="M837" s="1" t="str">
        <f>VLOOKUP(J837,'[1]Base SCA 02 2026'!V:Z,5,0)</f>
        <v>ALCENO JUNIOR/JOÃO MARCOS</v>
      </c>
      <c r="N837" s="1" t="str">
        <f t="shared" si="13"/>
        <v>ALCENO JUNIOR/JOÃO MARCOS</v>
      </c>
    </row>
    <row r="838" spans="1:14" x14ac:dyDescent="0.3">
      <c r="A838" s="1">
        <v>703965</v>
      </c>
      <c r="B838" s="1" t="s">
        <v>842</v>
      </c>
      <c r="C838" s="5" t="s">
        <v>15</v>
      </c>
      <c r="D838" s="2">
        <v>45113</v>
      </c>
      <c r="E838" s="1" t="s">
        <v>418</v>
      </c>
      <c r="F838" s="1">
        <v>39601</v>
      </c>
      <c r="G838" s="1" t="s">
        <v>660</v>
      </c>
      <c r="H838" s="1" t="s">
        <v>661</v>
      </c>
      <c r="J838" s="1" t="s">
        <v>662</v>
      </c>
      <c r="K838" s="1" t="str">
        <f>VLOOKUP(J838,'[1]Base SCA 02 2026'!V:X,3,0)</f>
        <v>CRISOSTOMO CASTRO</v>
      </c>
      <c r="L838" s="1" t="str">
        <f>VLOOKUP(J838,'[1]Base SCA 02 2026'!V:Y,4,0)</f>
        <v>MATHEUS ALMEIDA</v>
      </c>
      <c r="N838" s="1" t="str">
        <f t="shared" si="13"/>
        <v>MATHEUS ALMEIDA</v>
      </c>
    </row>
    <row r="839" spans="1:14" x14ac:dyDescent="0.3">
      <c r="A839" s="1">
        <v>703414</v>
      </c>
      <c r="B839" s="1" t="s">
        <v>843</v>
      </c>
      <c r="C839" s="5" t="s">
        <v>15</v>
      </c>
      <c r="D839" s="2">
        <v>44873</v>
      </c>
      <c r="E839" s="1" t="s">
        <v>52</v>
      </c>
      <c r="F839" s="1">
        <v>32102</v>
      </c>
      <c r="G839" s="1" t="s">
        <v>674</v>
      </c>
      <c r="H839" s="1" t="s">
        <v>661</v>
      </c>
      <c r="J839" s="1" t="s">
        <v>675</v>
      </c>
      <c r="K839" s="1" t="str">
        <f>VLOOKUP(J839,'[1]Base SCA 02 2026'!V:X,3,0)</f>
        <v>RAFAEL XAVIER</v>
      </c>
      <c r="L839" s="1" t="str">
        <f>VLOOKUP(J839,'[1]Base SCA 02 2026'!V:Y,4,0)</f>
        <v>FERNANDO GUILHERME</v>
      </c>
      <c r="M839" s="1" t="str">
        <f>VLOOKUP(J839,'[1]Base SCA 02 2026'!V:Z,5,0)</f>
        <v>MARCELO DOURADO</v>
      </c>
      <c r="N839" s="1" t="str">
        <f t="shared" si="13"/>
        <v>MARCELO DOURADO</v>
      </c>
    </row>
    <row r="840" spans="1:14" x14ac:dyDescent="0.3">
      <c r="A840" s="1">
        <v>101406</v>
      </c>
      <c r="B840" s="1" t="s">
        <v>844</v>
      </c>
      <c r="C840" s="5" t="s">
        <v>15</v>
      </c>
      <c r="D840" s="2">
        <v>42926</v>
      </c>
      <c r="E840" s="1" t="s">
        <v>31</v>
      </c>
      <c r="F840" s="1">
        <v>24102</v>
      </c>
      <c r="G840" s="1" t="s">
        <v>669</v>
      </c>
      <c r="H840" s="1" t="s">
        <v>661</v>
      </c>
      <c r="J840" s="1" t="s">
        <v>670</v>
      </c>
      <c r="K840" s="1" t="str">
        <f>VLOOKUP(J840,'[1]Base SCA 02 2026'!V:X,3,0)</f>
        <v>CRISOSTOMO CASTRO</v>
      </c>
      <c r="L840" s="1" t="str">
        <f>VLOOKUP(J840,'[1]Base SCA 02 2026'!V:Y,4,0)</f>
        <v>YAN SILVA</v>
      </c>
      <c r="M840" s="1" t="str">
        <f>VLOOKUP(J840,'[1]Base SCA 02 2026'!V:Z,5,0)</f>
        <v>JUNIO TEIXEIRA /GEOVANI RORIZ</v>
      </c>
      <c r="N840" s="1" t="str">
        <f t="shared" si="13"/>
        <v>JUNIO TEIXEIRA /GEOVANI RORIZ</v>
      </c>
    </row>
    <row r="841" spans="1:14" x14ac:dyDescent="0.3">
      <c r="A841" s="1">
        <v>701205</v>
      </c>
      <c r="B841" s="1" t="s">
        <v>845</v>
      </c>
      <c r="C841" s="5" t="s">
        <v>15</v>
      </c>
      <c r="D841" s="2">
        <v>43682</v>
      </c>
      <c r="E841" s="1" t="s">
        <v>31</v>
      </c>
      <c r="F841" s="1">
        <v>24102</v>
      </c>
      <c r="G841" s="1" t="s">
        <v>669</v>
      </c>
      <c r="H841" s="1" t="s">
        <v>661</v>
      </c>
      <c r="J841" s="1" t="s">
        <v>672</v>
      </c>
      <c r="K841" s="1" t="str">
        <f>VLOOKUP(J841,'[1]Base SCA 02 2026'!V:X,3,0)</f>
        <v>CRISOSTOMO CASTRO</v>
      </c>
      <c r="L841" s="1" t="str">
        <f>VLOOKUP(J841,'[1]Base SCA 02 2026'!V:Y,4,0)</f>
        <v>YAN SILVA</v>
      </c>
      <c r="M841" s="1" t="str">
        <f>VLOOKUP(J841,'[1]Base SCA 02 2026'!V:Z,5,0)</f>
        <v>JUNIO TEIXEIRA /GEOVANI RORIZ</v>
      </c>
      <c r="N841" s="1" t="str">
        <f t="shared" si="13"/>
        <v>JUNIO TEIXEIRA /GEOVANI RORIZ</v>
      </c>
    </row>
    <row r="842" spans="1:14" x14ac:dyDescent="0.3">
      <c r="A842" s="1">
        <v>702545</v>
      </c>
      <c r="B842" s="1" t="s">
        <v>846</v>
      </c>
      <c r="C842" s="5" t="s">
        <v>15</v>
      </c>
      <c r="D842" s="2">
        <v>44452</v>
      </c>
      <c r="E842" s="1" t="s">
        <v>507</v>
      </c>
      <c r="F842" s="1">
        <v>24201</v>
      </c>
      <c r="G842" s="1" t="s">
        <v>664</v>
      </c>
      <c r="H842" s="1" t="s">
        <v>661</v>
      </c>
      <c r="J842" s="1" t="s">
        <v>665</v>
      </c>
      <c r="K842" s="1" t="str">
        <f>VLOOKUP(J842,'[1]Base SCA 02 2026'!V:X,3,0)</f>
        <v>CRISOSTOMO CASTRO</v>
      </c>
      <c r="L842" s="1" t="str">
        <f>VLOOKUP(J842,'[1]Base SCA 02 2026'!V:Y,4,0)</f>
        <v>MATHEUS ALMEIDA</v>
      </c>
      <c r="M842" s="1" t="str">
        <f>VLOOKUP(J842,'[1]Base SCA 02 2026'!V:Z,5,0)</f>
        <v>JOSIEL NEVES</v>
      </c>
      <c r="N842" s="1" t="str">
        <f t="shared" si="13"/>
        <v>JOSIEL NEVES</v>
      </c>
    </row>
    <row r="843" spans="1:14" x14ac:dyDescent="0.3">
      <c r="A843" s="1">
        <v>704349</v>
      </c>
      <c r="B843" s="1" t="s">
        <v>847</v>
      </c>
      <c r="C843" s="5" t="s">
        <v>15</v>
      </c>
      <c r="D843" s="2">
        <v>45363</v>
      </c>
      <c r="E843" s="1" t="s">
        <v>16</v>
      </c>
      <c r="F843" s="1">
        <v>24102</v>
      </c>
      <c r="G843" s="1" t="s">
        <v>669</v>
      </c>
      <c r="H843" s="1" t="s">
        <v>661</v>
      </c>
      <c r="J843" s="1" t="s">
        <v>682</v>
      </c>
      <c r="K843" s="1" t="str">
        <f>VLOOKUP(J843,'[1]Base SCA 02 2026'!V:X,3,0)</f>
        <v>CRISOSTOMO CASTRO</v>
      </c>
      <c r="L843" s="1" t="str">
        <f>VLOOKUP(J843,'[1]Base SCA 02 2026'!V:Y,4,0)</f>
        <v>JOÃO FILHO</v>
      </c>
      <c r="M843" s="1" t="str">
        <f>VLOOKUP(J843,'[1]Base SCA 02 2026'!V:Z,5,0)</f>
        <v>ALCENO JUNIOR/JOÃO MARCOS</v>
      </c>
      <c r="N843" s="1" t="str">
        <f t="shared" si="13"/>
        <v>ALCENO JUNIOR/JOÃO MARCOS</v>
      </c>
    </row>
    <row r="844" spans="1:14" x14ac:dyDescent="0.3">
      <c r="A844" s="1">
        <v>705097</v>
      </c>
      <c r="B844" s="1" t="s">
        <v>848</v>
      </c>
      <c r="C844" s="5" t="s">
        <v>15</v>
      </c>
      <c r="D844" s="2">
        <v>45670</v>
      </c>
      <c r="E844" s="1" t="s">
        <v>31</v>
      </c>
      <c r="F844" s="1">
        <v>24102</v>
      </c>
      <c r="G844" s="1" t="s">
        <v>669</v>
      </c>
      <c r="H844" s="1" t="s">
        <v>661</v>
      </c>
      <c r="J844" s="1" t="s">
        <v>697</v>
      </c>
      <c r="K844" s="1" t="str">
        <f>VLOOKUP(J844,'[1]Base SCA 02 2026'!V:X,3,0)</f>
        <v>CRISOSTOMO CASTRO</v>
      </c>
      <c r="L844" s="1" t="str">
        <f>VLOOKUP(J844,'[1]Base SCA 02 2026'!V:Y,4,0)</f>
        <v>JOÃO FILHO</v>
      </c>
      <c r="M844" s="1" t="str">
        <f>VLOOKUP(J844,'[1]Base SCA 02 2026'!V:Z,5,0)</f>
        <v>ALCENO JUNIOR/JOÃO MARCOS</v>
      </c>
      <c r="N844" s="1" t="str">
        <f t="shared" si="13"/>
        <v>ALCENO JUNIOR/JOÃO MARCOS</v>
      </c>
    </row>
    <row r="845" spans="1:14" x14ac:dyDescent="0.3">
      <c r="A845" s="1">
        <v>704579</v>
      </c>
      <c r="B845" s="1" t="s">
        <v>849</v>
      </c>
      <c r="C845" s="5" t="s">
        <v>15</v>
      </c>
      <c r="D845" s="2">
        <v>45448</v>
      </c>
      <c r="E845" s="1" t="s">
        <v>427</v>
      </c>
      <c r="F845" s="1">
        <v>39602</v>
      </c>
      <c r="G845" s="1" t="s">
        <v>699</v>
      </c>
      <c r="H845" s="1" t="s">
        <v>661</v>
      </c>
      <c r="J845" s="1" t="s">
        <v>700</v>
      </c>
      <c r="K845" s="1" t="str">
        <f>VLOOKUP(J845,'[1]Base SCA 02 2026'!V:X,3,0)</f>
        <v>CRISOSTOMO CASTRO</v>
      </c>
      <c r="L845" s="1" t="str">
        <f>VLOOKUP(J845,'[1]Base SCA 02 2026'!V:Y,4,0)</f>
        <v>MATHEUS ALMEIDA</v>
      </c>
      <c r="M845" s="1" t="str">
        <f>VLOOKUP(J845,'[1]Base SCA 02 2026'!V:Z,5,0)</f>
        <v>IURY GUEDES</v>
      </c>
      <c r="N845" s="1" t="str">
        <f t="shared" si="13"/>
        <v>IURY GUEDES</v>
      </c>
    </row>
    <row r="846" spans="1:14" x14ac:dyDescent="0.3">
      <c r="A846" s="1">
        <v>704235</v>
      </c>
      <c r="B846" s="1" t="s">
        <v>850</v>
      </c>
      <c r="C846" s="5" t="s">
        <v>15</v>
      </c>
      <c r="D846" s="2">
        <v>45328</v>
      </c>
      <c r="E846" s="1" t="s">
        <v>31</v>
      </c>
      <c r="F846" s="1">
        <v>24102</v>
      </c>
      <c r="G846" s="1" t="s">
        <v>669</v>
      </c>
      <c r="H846" s="1" t="s">
        <v>661</v>
      </c>
      <c r="J846" s="1" t="s">
        <v>672</v>
      </c>
      <c r="K846" s="1" t="str">
        <f>VLOOKUP(J846,'[1]Base SCA 02 2026'!V:X,3,0)</f>
        <v>CRISOSTOMO CASTRO</v>
      </c>
      <c r="L846" s="1" t="str">
        <f>VLOOKUP(J846,'[1]Base SCA 02 2026'!V:Y,4,0)</f>
        <v>YAN SILVA</v>
      </c>
      <c r="M846" s="1" t="str">
        <f>VLOOKUP(J846,'[1]Base SCA 02 2026'!V:Z,5,0)</f>
        <v>JUNIO TEIXEIRA /GEOVANI RORIZ</v>
      </c>
      <c r="N846" s="1" t="str">
        <f t="shared" si="13"/>
        <v>JUNIO TEIXEIRA /GEOVANI RORIZ</v>
      </c>
    </row>
    <row r="847" spans="1:14" x14ac:dyDescent="0.3">
      <c r="A847" s="1">
        <v>703984</v>
      </c>
      <c r="B847" s="1" t="s">
        <v>851</v>
      </c>
      <c r="C847" s="5" t="s">
        <v>15</v>
      </c>
      <c r="D847" s="2">
        <v>45113</v>
      </c>
      <c r="E847" s="1" t="s">
        <v>31</v>
      </c>
      <c r="F847" s="1">
        <v>24102</v>
      </c>
      <c r="G847" s="1" t="s">
        <v>669</v>
      </c>
      <c r="H847" s="1" t="s">
        <v>661</v>
      </c>
      <c r="J847" s="1" t="s">
        <v>672</v>
      </c>
      <c r="K847" s="1" t="str">
        <f>VLOOKUP(J847,'[1]Base SCA 02 2026'!V:X,3,0)</f>
        <v>CRISOSTOMO CASTRO</v>
      </c>
      <c r="L847" s="1" t="str">
        <f>VLOOKUP(J847,'[1]Base SCA 02 2026'!V:Y,4,0)</f>
        <v>YAN SILVA</v>
      </c>
      <c r="M847" s="1" t="str">
        <f>VLOOKUP(J847,'[1]Base SCA 02 2026'!V:Z,5,0)</f>
        <v>JUNIO TEIXEIRA /GEOVANI RORIZ</v>
      </c>
      <c r="N847" s="1" t="str">
        <f t="shared" si="13"/>
        <v>JUNIO TEIXEIRA /GEOVANI RORIZ</v>
      </c>
    </row>
    <row r="848" spans="1:14" x14ac:dyDescent="0.3">
      <c r="A848" s="1">
        <v>705272</v>
      </c>
      <c r="B848" s="1" t="s">
        <v>1198</v>
      </c>
      <c r="C848" s="5" t="s">
        <v>15</v>
      </c>
      <c r="D848" s="2">
        <v>45762</v>
      </c>
      <c r="E848" s="1" t="s">
        <v>31</v>
      </c>
      <c r="F848" s="1">
        <v>24102</v>
      </c>
      <c r="G848" s="1" t="s">
        <v>669</v>
      </c>
      <c r="H848" s="1" t="s">
        <v>661</v>
      </c>
      <c r="J848" s="1" t="s">
        <v>680</v>
      </c>
      <c r="K848" s="1" t="str">
        <f>VLOOKUP(J848,'[1]Base SCA 02 2026'!V:X,3,0)</f>
        <v>CRISOSTOMO CASTRO</v>
      </c>
      <c r="L848" s="1" t="str">
        <f>VLOOKUP(J848,'[1]Base SCA 02 2026'!V:Y,4,0)</f>
        <v>YAN SILVA</v>
      </c>
      <c r="M848" s="1" t="str">
        <f>VLOOKUP(J848,'[1]Base SCA 02 2026'!V:Z,5,0)</f>
        <v>JUNIO TEIXEIRA /GEOVANI RORIZ</v>
      </c>
      <c r="N848" s="1" t="str">
        <f t="shared" si="13"/>
        <v>JUNIO TEIXEIRA /GEOVANI RORIZ</v>
      </c>
    </row>
    <row r="849" spans="1:14" x14ac:dyDescent="0.3">
      <c r="A849" s="1">
        <v>705347</v>
      </c>
      <c r="B849" s="1" t="s">
        <v>1254</v>
      </c>
      <c r="C849" s="5" t="s">
        <v>15</v>
      </c>
      <c r="D849" s="2">
        <v>45784</v>
      </c>
      <c r="E849" s="1" t="s">
        <v>31</v>
      </c>
      <c r="F849" s="1">
        <v>39601</v>
      </c>
      <c r="G849" s="1" t="s">
        <v>660</v>
      </c>
      <c r="H849" s="1" t="s">
        <v>661</v>
      </c>
      <c r="J849" s="1" t="s">
        <v>684</v>
      </c>
      <c r="K849" s="1" t="str">
        <f>VLOOKUP(J849,'[1]Base SCA 02 2026'!V:X,3,0)</f>
        <v>CRISOSTOMO CASTRO</v>
      </c>
      <c r="L849" s="1" t="str">
        <f>VLOOKUP(J849,'[1]Base SCA 02 2026'!V:Y,4,0)</f>
        <v>MATHEUS ALMEIDA</v>
      </c>
      <c r="M849" s="1" t="str">
        <f>VLOOKUP(J849,'[1]Base SCA 02 2026'!V:Z,5,0)</f>
        <v>ADALTON/JANILSON RORIZ/MARIVALDO</v>
      </c>
      <c r="N849" s="1" t="str">
        <f t="shared" si="13"/>
        <v>ADALTON/JANILSON RORIZ/MARIVALDO</v>
      </c>
    </row>
    <row r="850" spans="1:14" x14ac:dyDescent="0.3">
      <c r="A850" s="1">
        <v>705552</v>
      </c>
      <c r="B850" s="1" t="s">
        <v>1335</v>
      </c>
      <c r="C850" s="5" t="s">
        <v>92</v>
      </c>
      <c r="D850" s="2">
        <v>45874</v>
      </c>
      <c r="E850" s="1" t="s">
        <v>31</v>
      </c>
      <c r="F850" s="1">
        <v>39601</v>
      </c>
      <c r="G850" s="1" t="s">
        <v>660</v>
      </c>
      <c r="H850" s="1" t="s">
        <v>661</v>
      </c>
      <c r="I850" s="2">
        <v>46058</v>
      </c>
      <c r="J850" s="1" t="s">
        <v>684</v>
      </c>
      <c r="K850" s="1" t="str">
        <f>VLOOKUP(J850,'[1]Base SCA 02 2026'!V:X,3,0)</f>
        <v>CRISOSTOMO CASTRO</v>
      </c>
      <c r="L850" s="1" t="str">
        <f>VLOOKUP(J850,'[1]Base SCA 02 2026'!V:Y,4,0)</f>
        <v>MATHEUS ALMEIDA</v>
      </c>
      <c r="M850" s="1" t="str">
        <f>VLOOKUP(J850,'[1]Base SCA 02 2026'!V:Z,5,0)</f>
        <v>ADALTON/JANILSON RORIZ/MARIVALDO</v>
      </c>
      <c r="N850" s="1" t="str">
        <f t="shared" si="13"/>
        <v>ADALTON/JANILSON RORIZ/MARIVALDO</v>
      </c>
    </row>
    <row r="851" spans="1:14" x14ac:dyDescent="0.3">
      <c r="A851" s="1">
        <v>703622</v>
      </c>
      <c r="B851" s="1" t="s">
        <v>852</v>
      </c>
      <c r="C851" s="5" t="s">
        <v>15</v>
      </c>
      <c r="D851" s="2">
        <v>44991</v>
      </c>
      <c r="E851" s="1" t="s">
        <v>138</v>
      </c>
      <c r="F851" s="1">
        <v>24102</v>
      </c>
      <c r="G851" s="1" t="s">
        <v>669</v>
      </c>
      <c r="H851" s="1" t="s">
        <v>661</v>
      </c>
      <c r="J851" s="1" t="s">
        <v>682</v>
      </c>
      <c r="K851" s="1" t="str">
        <f>VLOOKUP(J851,'[1]Base SCA 02 2026'!V:X,3,0)</f>
        <v>CRISOSTOMO CASTRO</v>
      </c>
      <c r="L851" s="1" t="str">
        <f>VLOOKUP(J851,'[1]Base SCA 02 2026'!V:Y,4,0)</f>
        <v>JOÃO FILHO</v>
      </c>
      <c r="M851" s="1" t="str">
        <f>VLOOKUP(J851,'[1]Base SCA 02 2026'!V:Z,5,0)</f>
        <v>ALCENO JUNIOR/JOÃO MARCOS</v>
      </c>
      <c r="N851" s="1" t="str">
        <f t="shared" si="13"/>
        <v>ALCENO JUNIOR/JOÃO MARCOS</v>
      </c>
    </row>
    <row r="852" spans="1:14" x14ac:dyDescent="0.3">
      <c r="A852" s="1">
        <v>705720</v>
      </c>
      <c r="B852" s="1" t="s">
        <v>1464</v>
      </c>
      <c r="C852" s="5" t="s">
        <v>92</v>
      </c>
      <c r="D852" s="2">
        <v>45971</v>
      </c>
      <c r="E852" s="1" t="s">
        <v>31</v>
      </c>
      <c r="F852" s="1">
        <v>24201</v>
      </c>
      <c r="G852" s="1" t="s">
        <v>664</v>
      </c>
      <c r="H852" s="1" t="s">
        <v>661</v>
      </c>
      <c r="I852" s="2">
        <v>46060</v>
      </c>
      <c r="J852" s="1" t="s">
        <v>665</v>
      </c>
      <c r="K852" s="1" t="str">
        <f>VLOOKUP(J852,'[1]Base SCA 02 2026'!V:X,3,0)</f>
        <v>CRISOSTOMO CASTRO</v>
      </c>
      <c r="L852" s="1" t="str">
        <f>VLOOKUP(J852,'[1]Base SCA 02 2026'!V:Y,4,0)</f>
        <v>MATHEUS ALMEIDA</v>
      </c>
      <c r="M852" s="1" t="str">
        <f>VLOOKUP(J852,'[1]Base SCA 02 2026'!V:Z,5,0)</f>
        <v>JOSIEL NEVES</v>
      </c>
      <c r="N852" s="1" t="str">
        <f t="shared" si="13"/>
        <v>JOSIEL NEVES</v>
      </c>
    </row>
    <row r="853" spans="1:14" x14ac:dyDescent="0.3">
      <c r="A853" s="1">
        <v>701103</v>
      </c>
      <c r="B853" s="1" t="s">
        <v>853</v>
      </c>
      <c r="C853" s="5" t="s">
        <v>15</v>
      </c>
      <c r="D853" s="2">
        <v>43641</v>
      </c>
      <c r="E853" s="1" t="s">
        <v>371</v>
      </c>
      <c r="F853" s="1">
        <v>39601</v>
      </c>
      <c r="G853" s="1" t="s">
        <v>660</v>
      </c>
      <c r="H853" s="1" t="s">
        <v>661</v>
      </c>
      <c r="J853" s="1" t="s">
        <v>684</v>
      </c>
      <c r="K853" s="1" t="str">
        <f>VLOOKUP(J853,'[1]Base SCA 02 2026'!V:X,3,0)</f>
        <v>CRISOSTOMO CASTRO</v>
      </c>
      <c r="L853" s="1" t="str">
        <f>VLOOKUP(J853,'[1]Base SCA 02 2026'!V:Y,4,0)</f>
        <v>MATHEUS ALMEIDA</v>
      </c>
      <c r="M853" s="1" t="str">
        <f>VLOOKUP(J853,'[1]Base SCA 02 2026'!V:Z,5,0)</f>
        <v>ADALTON/JANILSON RORIZ/MARIVALDO</v>
      </c>
      <c r="N853" s="1" t="str">
        <f t="shared" si="13"/>
        <v>ADALTON/JANILSON RORIZ/MARIVALDO</v>
      </c>
    </row>
    <row r="854" spans="1:14" x14ac:dyDescent="0.3">
      <c r="A854" s="1">
        <v>704644</v>
      </c>
      <c r="B854" s="1" t="s">
        <v>854</v>
      </c>
      <c r="C854" s="5" t="s">
        <v>15</v>
      </c>
      <c r="D854" s="2">
        <v>45476</v>
      </c>
      <c r="E854" s="1" t="s">
        <v>381</v>
      </c>
      <c r="F854" s="1">
        <v>39602</v>
      </c>
      <c r="G854" s="1" t="s">
        <v>699</v>
      </c>
      <c r="H854" s="1" t="s">
        <v>661</v>
      </c>
      <c r="J854" s="1" t="s">
        <v>700</v>
      </c>
      <c r="K854" s="1" t="str">
        <f>VLOOKUP(J854,'[1]Base SCA 02 2026'!V:X,3,0)</f>
        <v>CRISOSTOMO CASTRO</v>
      </c>
      <c r="L854" s="1" t="str">
        <f>VLOOKUP(J854,'[1]Base SCA 02 2026'!V:Y,4,0)</f>
        <v>MATHEUS ALMEIDA</v>
      </c>
      <c r="M854" s="1" t="str">
        <f>VLOOKUP(J854,'[1]Base SCA 02 2026'!V:Z,5,0)</f>
        <v>IURY GUEDES</v>
      </c>
      <c r="N854" s="1" t="str">
        <f t="shared" si="13"/>
        <v>IURY GUEDES</v>
      </c>
    </row>
    <row r="855" spans="1:14" x14ac:dyDescent="0.3">
      <c r="A855" s="1">
        <v>702901</v>
      </c>
      <c r="B855" s="1" t="s">
        <v>855</v>
      </c>
      <c r="C855" s="5" t="s">
        <v>15</v>
      </c>
      <c r="D855" s="2">
        <v>44642</v>
      </c>
      <c r="E855" s="1" t="s">
        <v>507</v>
      </c>
      <c r="F855" s="1">
        <v>24102</v>
      </c>
      <c r="G855" s="1" t="s">
        <v>669</v>
      </c>
      <c r="H855" s="1" t="s">
        <v>661</v>
      </c>
      <c r="J855" s="1" t="s">
        <v>85</v>
      </c>
      <c r="K855" s="1" t="str">
        <f>VLOOKUP(J855,'[1]Base SCA 02 2026'!V:X,3,0)</f>
        <v>PAULO BONIFÁCIO</v>
      </c>
      <c r="L855" s="1" t="str">
        <f>VLOOKUP(J855,'[1]Base SCA 02 2026'!V:Y,4,0)</f>
        <v>PAULO BONIFÁCIO</v>
      </c>
      <c r="M855" s="1" t="str">
        <f>VLOOKUP(J855,'[1]Base SCA 02 2026'!V:Z,5,0)</f>
        <v xml:space="preserve">LEONARDO SANTOS </v>
      </c>
      <c r="N855" s="1" t="str">
        <f t="shared" si="13"/>
        <v xml:space="preserve">LEONARDO SANTOS </v>
      </c>
    </row>
    <row r="856" spans="1:14" x14ac:dyDescent="0.3">
      <c r="A856" s="1">
        <v>701507</v>
      </c>
      <c r="B856" s="1" t="s">
        <v>857</v>
      </c>
      <c r="C856" s="5" t="s">
        <v>15</v>
      </c>
      <c r="D856" s="2">
        <v>43936</v>
      </c>
      <c r="E856" s="1" t="s">
        <v>105</v>
      </c>
      <c r="F856" s="1">
        <v>24102</v>
      </c>
      <c r="G856" s="1" t="s">
        <v>669</v>
      </c>
      <c r="H856" s="1" t="s">
        <v>661</v>
      </c>
      <c r="J856" s="1" t="s">
        <v>804</v>
      </c>
      <c r="K856" s="1" t="str">
        <f>VLOOKUP(J856,'[1]Base SCA 02 2026'!V:X,3,0)</f>
        <v>CRISOSTOMO CASTRO</v>
      </c>
      <c r="L856" s="1" t="str">
        <f>VLOOKUP(J856,'[1]Base SCA 02 2026'!V:Y,4,0)</f>
        <v>CRISOSTOMO CASTRO</v>
      </c>
      <c r="M856" s="1" t="str">
        <f>VLOOKUP(J856,'[1]Base SCA 02 2026'!V:Z,5,0)</f>
        <v>JAILSON RORIZ</v>
      </c>
      <c r="N856" s="1" t="str">
        <f t="shared" si="13"/>
        <v>JAILSON RORIZ</v>
      </c>
    </row>
    <row r="857" spans="1:14" x14ac:dyDescent="0.3">
      <c r="A857" s="1">
        <v>705293</v>
      </c>
      <c r="B857" s="1" t="s">
        <v>1199</v>
      </c>
      <c r="C857" s="5" t="s">
        <v>15</v>
      </c>
      <c r="D857" s="2">
        <v>45762</v>
      </c>
      <c r="E857" s="1" t="s">
        <v>31</v>
      </c>
      <c r="F857" s="1">
        <v>39601</v>
      </c>
      <c r="G857" s="1" t="s">
        <v>660</v>
      </c>
      <c r="H857" s="1" t="s">
        <v>661</v>
      </c>
      <c r="J857" s="1" t="s">
        <v>684</v>
      </c>
      <c r="K857" s="1" t="str">
        <f>VLOOKUP(J857,'[1]Base SCA 02 2026'!V:X,3,0)</f>
        <v>CRISOSTOMO CASTRO</v>
      </c>
      <c r="L857" s="1" t="str">
        <f>VLOOKUP(J857,'[1]Base SCA 02 2026'!V:Y,4,0)</f>
        <v>MATHEUS ALMEIDA</v>
      </c>
      <c r="M857" s="1" t="str">
        <f>VLOOKUP(J857,'[1]Base SCA 02 2026'!V:Z,5,0)</f>
        <v>ADALTON/JANILSON RORIZ/MARIVALDO</v>
      </c>
      <c r="N857" s="1" t="str">
        <f t="shared" si="13"/>
        <v>ADALTON/JANILSON RORIZ/MARIVALDO</v>
      </c>
    </row>
    <row r="858" spans="1:14" x14ac:dyDescent="0.3">
      <c r="A858" s="1">
        <v>705407</v>
      </c>
      <c r="B858" s="1" t="s">
        <v>1256</v>
      </c>
      <c r="C858" s="5" t="s">
        <v>92</v>
      </c>
      <c r="D858" s="2">
        <v>45791</v>
      </c>
      <c r="E858" s="1" t="s">
        <v>31</v>
      </c>
      <c r="F858" s="1">
        <v>39601</v>
      </c>
      <c r="G858" s="1" t="s">
        <v>660</v>
      </c>
      <c r="H858" s="1" t="s">
        <v>661</v>
      </c>
      <c r="I858" s="2">
        <v>46058</v>
      </c>
      <c r="J858" s="1" t="s">
        <v>684</v>
      </c>
      <c r="K858" s="1" t="str">
        <f>VLOOKUP(J858,'[1]Base SCA 02 2026'!V:X,3,0)</f>
        <v>CRISOSTOMO CASTRO</v>
      </c>
      <c r="L858" s="1" t="str">
        <f>VLOOKUP(J858,'[1]Base SCA 02 2026'!V:Y,4,0)</f>
        <v>MATHEUS ALMEIDA</v>
      </c>
      <c r="M858" s="1" t="str">
        <f>VLOOKUP(J858,'[1]Base SCA 02 2026'!V:Z,5,0)</f>
        <v>ADALTON/JANILSON RORIZ/MARIVALDO</v>
      </c>
      <c r="N858" s="1" t="str">
        <f t="shared" si="13"/>
        <v>ADALTON/JANILSON RORIZ/MARIVALDO</v>
      </c>
    </row>
    <row r="859" spans="1:14" x14ac:dyDescent="0.3">
      <c r="A859" s="1">
        <v>700408</v>
      </c>
      <c r="B859" s="1" t="s">
        <v>858</v>
      </c>
      <c r="C859" s="5" t="s">
        <v>15</v>
      </c>
      <c r="D859" s="2">
        <v>43318</v>
      </c>
      <c r="E859" s="1" t="s">
        <v>141</v>
      </c>
      <c r="F859" s="1">
        <v>24102</v>
      </c>
      <c r="G859" s="1" t="s">
        <v>669</v>
      </c>
      <c r="H859" s="1" t="s">
        <v>661</v>
      </c>
      <c r="J859" s="1" t="s">
        <v>697</v>
      </c>
      <c r="K859" s="1" t="str">
        <f>VLOOKUP(J859,'[1]Base SCA 02 2026'!V:X,3,0)</f>
        <v>CRISOSTOMO CASTRO</v>
      </c>
      <c r="L859" s="1" t="str">
        <f>VLOOKUP(J859,'[1]Base SCA 02 2026'!V:Y,4,0)</f>
        <v>JOÃO FILHO</v>
      </c>
      <c r="M859" s="1" t="str">
        <f>VLOOKUP(J859,'[1]Base SCA 02 2026'!V:Z,5,0)</f>
        <v>ALCENO JUNIOR/JOÃO MARCOS</v>
      </c>
      <c r="N859" s="1" t="str">
        <f t="shared" si="13"/>
        <v>ALCENO JUNIOR/JOÃO MARCOS</v>
      </c>
    </row>
    <row r="860" spans="1:14" x14ac:dyDescent="0.3">
      <c r="A860" s="1">
        <v>705426</v>
      </c>
      <c r="B860" s="1" t="s">
        <v>1257</v>
      </c>
      <c r="C860" s="5" t="s">
        <v>15</v>
      </c>
      <c r="D860" s="2">
        <v>45797</v>
      </c>
      <c r="E860" s="1" t="s">
        <v>31</v>
      </c>
      <c r="F860" s="1">
        <v>39601</v>
      </c>
      <c r="G860" s="1" t="s">
        <v>660</v>
      </c>
      <c r="H860" s="1" t="s">
        <v>661</v>
      </c>
      <c r="J860" s="1" t="s">
        <v>662</v>
      </c>
      <c r="K860" s="1" t="str">
        <f>VLOOKUP(J860,'[1]Base SCA 02 2026'!V:X,3,0)</f>
        <v>CRISOSTOMO CASTRO</v>
      </c>
      <c r="L860" s="1" t="str">
        <f>VLOOKUP(J860,'[1]Base SCA 02 2026'!V:Y,4,0)</f>
        <v>MATHEUS ALMEIDA</v>
      </c>
      <c r="N860" s="1" t="str">
        <f t="shared" si="13"/>
        <v>MATHEUS ALMEIDA</v>
      </c>
    </row>
    <row r="861" spans="1:14" x14ac:dyDescent="0.3">
      <c r="A861" s="1">
        <v>705427</v>
      </c>
      <c r="B861" s="1" t="s">
        <v>1258</v>
      </c>
      <c r="C861" s="5" t="s">
        <v>15</v>
      </c>
      <c r="D861" s="2">
        <v>45797</v>
      </c>
      <c r="E861" s="1" t="s">
        <v>31</v>
      </c>
      <c r="F861" s="1">
        <v>39601</v>
      </c>
      <c r="G861" s="1" t="s">
        <v>660</v>
      </c>
      <c r="H861" s="1" t="s">
        <v>661</v>
      </c>
      <c r="J861" s="1" t="s">
        <v>662</v>
      </c>
      <c r="K861" s="1" t="str">
        <f>VLOOKUP(J861,'[1]Base SCA 02 2026'!V:X,3,0)</f>
        <v>CRISOSTOMO CASTRO</v>
      </c>
      <c r="L861" s="1" t="str">
        <f>VLOOKUP(J861,'[1]Base SCA 02 2026'!V:Y,4,0)</f>
        <v>MATHEUS ALMEIDA</v>
      </c>
      <c r="N861" s="1" t="str">
        <f t="shared" si="13"/>
        <v>MATHEUS ALMEIDA</v>
      </c>
    </row>
    <row r="862" spans="1:14" x14ac:dyDescent="0.3">
      <c r="A862" s="1">
        <v>703314</v>
      </c>
      <c r="B862" s="1" t="s">
        <v>859</v>
      </c>
      <c r="C862" s="5" t="s">
        <v>15</v>
      </c>
      <c r="D862" s="2">
        <v>44824</v>
      </c>
      <c r="E862" s="1" t="s">
        <v>507</v>
      </c>
      <c r="F862" s="1">
        <v>24201</v>
      </c>
      <c r="G862" s="1" t="s">
        <v>664</v>
      </c>
      <c r="H862" s="1" t="s">
        <v>661</v>
      </c>
      <c r="J862" s="1" t="s">
        <v>665</v>
      </c>
      <c r="K862" s="1" t="str">
        <f>VLOOKUP(J862,'[1]Base SCA 02 2026'!V:X,3,0)</f>
        <v>CRISOSTOMO CASTRO</v>
      </c>
      <c r="L862" s="1" t="str">
        <f>VLOOKUP(J862,'[1]Base SCA 02 2026'!V:Y,4,0)</f>
        <v>MATHEUS ALMEIDA</v>
      </c>
      <c r="M862" s="1" t="str">
        <f>VLOOKUP(J862,'[1]Base SCA 02 2026'!V:Z,5,0)</f>
        <v>JOSIEL NEVES</v>
      </c>
      <c r="N862" s="1" t="str">
        <f t="shared" si="13"/>
        <v>JOSIEL NEVES</v>
      </c>
    </row>
    <row r="863" spans="1:14" x14ac:dyDescent="0.3">
      <c r="A863" s="1">
        <v>705711</v>
      </c>
      <c r="B863" s="1" t="s">
        <v>1465</v>
      </c>
      <c r="C863" s="5" t="s">
        <v>15</v>
      </c>
      <c r="D863" s="2">
        <v>45971</v>
      </c>
      <c r="E863" s="1" t="s">
        <v>31</v>
      </c>
      <c r="F863" s="1">
        <v>24102</v>
      </c>
      <c r="G863" s="1" t="s">
        <v>669</v>
      </c>
      <c r="H863" s="1" t="s">
        <v>661</v>
      </c>
      <c r="J863" s="1" t="s">
        <v>672</v>
      </c>
      <c r="K863" s="1" t="str">
        <f>VLOOKUP(J863,'[1]Base SCA 02 2026'!V:X,3,0)</f>
        <v>CRISOSTOMO CASTRO</v>
      </c>
      <c r="L863" s="1" t="str">
        <f>VLOOKUP(J863,'[1]Base SCA 02 2026'!V:Y,4,0)</f>
        <v>YAN SILVA</v>
      </c>
      <c r="M863" s="1" t="str">
        <f>VLOOKUP(J863,'[1]Base SCA 02 2026'!V:Z,5,0)</f>
        <v>JUNIO TEIXEIRA /GEOVANI RORIZ</v>
      </c>
      <c r="N863" s="1" t="str">
        <f t="shared" si="13"/>
        <v>JUNIO TEIXEIRA /GEOVANI RORIZ</v>
      </c>
    </row>
    <row r="864" spans="1:14" x14ac:dyDescent="0.3">
      <c r="A864" s="1">
        <v>702315</v>
      </c>
      <c r="B864" s="1" t="s">
        <v>860</v>
      </c>
      <c r="C864" s="5" t="s">
        <v>15</v>
      </c>
      <c r="D864" s="2">
        <v>44334</v>
      </c>
      <c r="E864" s="1" t="s">
        <v>861</v>
      </c>
      <c r="F864" s="1">
        <v>39602</v>
      </c>
      <c r="G864" s="1" t="s">
        <v>699</v>
      </c>
      <c r="H864" s="1" t="s">
        <v>661</v>
      </c>
      <c r="J864" s="1" t="s">
        <v>700</v>
      </c>
      <c r="K864" s="1" t="str">
        <f>VLOOKUP(J864,'[1]Base SCA 02 2026'!V:X,3,0)</f>
        <v>CRISOSTOMO CASTRO</v>
      </c>
      <c r="L864" s="1" t="str">
        <f>VLOOKUP(J864,'[1]Base SCA 02 2026'!V:Y,4,0)</f>
        <v>MATHEUS ALMEIDA</v>
      </c>
      <c r="M864" s="1" t="str">
        <f>VLOOKUP(J864,'[1]Base SCA 02 2026'!V:Z,5,0)</f>
        <v>IURY GUEDES</v>
      </c>
      <c r="N864" s="1" t="str">
        <f t="shared" si="13"/>
        <v>IURY GUEDES</v>
      </c>
    </row>
    <row r="865" spans="1:14" x14ac:dyDescent="0.3">
      <c r="A865" s="1">
        <v>700255</v>
      </c>
      <c r="B865" s="1" t="s">
        <v>862</v>
      </c>
      <c r="C865" s="5" t="s">
        <v>15</v>
      </c>
      <c r="D865" s="2">
        <v>43262</v>
      </c>
      <c r="E865" s="1" t="s">
        <v>166</v>
      </c>
      <c r="F865" s="1">
        <v>24102</v>
      </c>
      <c r="G865" s="1" t="s">
        <v>669</v>
      </c>
      <c r="H865" s="1" t="s">
        <v>661</v>
      </c>
      <c r="J865" s="1" t="s">
        <v>697</v>
      </c>
      <c r="K865" s="1" t="str">
        <f>VLOOKUP(J865,'[1]Base SCA 02 2026'!V:X,3,0)</f>
        <v>CRISOSTOMO CASTRO</v>
      </c>
      <c r="L865" s="1" t="str">
        <f>VLOOKUP(J865,'[1]Base SCA 02 2026'!V:Y,4,0)</f>
        <v>JOÃO FILHO</v>
      </c>
      <c r="M865" s="1" t="str">
        <f>VLOOKUP(J865,'[1]Base SCA 02 2026'!V:Z,5,0)</f>
        <v>ALCENO JUNIOR/JOÃO MARCOS</v>
      </c>
      <c r="N865" s="1" t="str">
        <f t="shared" si="13"/>
        <v>ALCENO JUNIOR/JOÃO MARCOS</v>
      </c>
    </row>
    <row r="866" spans="1:14" x14ac:dyDescent="0.3">
      <c r="A866" s="1">
        <v>704868</v>
      </c>
      <c r="B866" s="1" t="s">
        <v>863</v>
      </c>
      <c r="C866" s="5" t="s">
        <v>15</v>
      </c>
      <c r="D866" s="2">
        <v>45579</v>
      </c>
      <c r="E866" s="1" t="s">
        <v>31</v>
      </c>
      <c r="F866" s="1">
        <v>24201</v>
      </c>
      <c r="G866" s="1" t="s">
        <v>664</v>
      </c>
      <c r="H866" s="1" t="s">
        <v>661</v>
      </c>
      <c r="J866" s="1" t="s">
        <v>665</v>
      </c>
      <c r="K866" s="1" t="str">
        <f>VLOOKUP(J866,'[1]Base SCA 02 2026'!V:X,3,0)</f>
        <v>CRISOSTOMO CASTRO</v>
      </c>
      <c r="L866" s="1" t="str">
        <f>VLOOKUP(J866,'[1]Base SCA 02 2026'!V:Y,4,0)</f>
        <v>MATHEUS ALMEIDA</v>
      </c>
      <c r="M866" s="1" t="str">
        <f>VLOOKUP(J866,'[1]Base SCA 02 2026'!V:Z,5,0)</f>
        <v>JOSIEL NEVES</v>
      </c>
      <c r="N866" s="1" t="str">
        <f t="shared" si="13"/>
        <v>JOSIEL NEVES</v>
      </c>
    </row>
    <row r="867" spans="1:14" x14ac:dyDescent="0.3">
      <c r="A867" s="1">
        <v>702159</v>
      </c>
      <c r="B867" s="1" t="s">
        <v>864</v>
      </c>
      <c r="C867" s="5" t="s">
        <v>15</v>
      </c>
      <c r="D867" s="2">
        <v>44299</v>
      </c>
      <c r="E867" s="1" t="s">
        <v>60</v>
      </c>
      <c r="F867" s="1">
        <v>24102</v>
      </c>
      <c r="G867" s="1" t="s">
        <v>669</v>
      </c>
      <c r="H867" s="1" t="s">
        <v>661</v>
      </c>
      <c r="J867" s="1" t="s">
        <v>682</v>
      </c>
      <c r="K867" s="1" t="str">
        <f>VLOOKUP(J867,'[1]Base SCA 02 2026'!V:X,3,0)</f>
        <v>CRISOSTOMO CASTRO</v>
      </c>
      <c r="L867" s="1" t="str">
        <f>VLOOKUP(J867,'[1]Base SCA 02 2026'!V:Y,4,0)</f>
        <v>JOÃO FILHO</v>
      </c>
      <c r="M867" s="1" t="str">
        <f>VLOOKUP(J867,'[1]Base SCA 02 2026'!V:Z,5,0)</f>
        <v>ALCENO JUNIOR/JOÃO MARCOS</v>
      </c>
      <c r="N867" s="1" t="str">
        <f t="shared" si="13"/>
        <v>ALCENO JUNIOR/JOÃO MARCOS</v>
      </c>
    </row>
    <row r="868" spans="1:14" x14ac:dyDescent="0.3">
      <c r="A868" s="1">
        <v>101465</v>
      </c>
      <c r="B868" s="1" t="s">
        <v>865</v>
      </c>
      <c r="C868" s="5" t="s">
        <v>15</v>
      </c>
      <c r="D868" s="2">
        <v>42962</v>
      </c>
      <c r="E868" s="1" t="s">
        <v>31</v>
      </c>
      <c r="F868" s="1">
        <v>24102</v>
      </c>
      <c r="G868" s="1" t="s">
        <v>669</v>
      </c>
      <c r="H868" s="1" t="s">
        <v>661</v>
      </c>
      <c r="J868" s="1" t="s">
        <v>670</v>
      </c>
      <c r="K868" s="1" t="str">
        <f>VLOOKUP(J868,'[1]Base SCA 02 2026'!V:X,3,0)</f>
        <v>CRISOSTOMO CASTRO</v>
      </c>
      <c r="L868" s="1" t="str">
        <f>VLOOKUP(J868,'[1]Base SCA 02 2026'!V:Y,4,0)</f>
        <v>YAN SILVA</v>
      </c>
      <c r="M868" s="1" t="str">
        <f>VLOOKUP(J868,'[1]Base SCA 02 2026'!V:Z,5,0)</f>
        <v>JUNIO TEIXEIRA /GEOVANI RORIZ</v>
      </c>
      <c r="N868" s="1" t="str">
        <f t="shared" si="13"/>
        <v>JUNIO TEIXEIRA /GEOVANI RORIZ</v>
      </c>
    </row>
    <row r="869" spans="1:14" x14ac:dyDescent="0.3">
      <c r="A869" s="1">
        <v>705182</v>
      </c>
      <c r="B869" s="1" t="s">
        <v>1172</v>
      </c>
      <c r="C869" s="5" t="s">
        <v>15</v>
      </c>
      <c r="D869" s="2">
        <v>45733</v>
      </c>
      <c r="E869" s="1" t="s">
        <v>31</v>
      </c>
      <c r="F869" s="1">
        <v>24102</v>
      </c>
      <c r="G869" s="1" t="s">
        <v>669</v>
      </c>
      <c r="H869" s="1" t="s">
        <v>661</v>
      </c>
      <c r="J869" s="1" t="s">
        <v>680</v>
      </c>
      <c r="K869" s="1" t="str">
        <f>VLOOKUP(J869,'[1]Base SCA 02 2026'!V:X,3,0)</f>
        <v>CRISOSTOMO CASTRO</v>
      </c>
      <c r="L869" s="1" t="str">
        <f>VLOOKUP(J869,'[1]Base SCA 02 2026'!V:Y,4,0)</f>
        <v>YAN SILVA</v>
      </c>
      <c r="M869" s="1" t="str">
        <f>VLOOKUP(J869,'[1]Base SCA 02 2026'!V:Z,5,0)</f>
        <v>JUNIO TEIXEIRA /GEOVANI RORIZ</v>
      </c>
      <c r="N869" s="1" t="str">
        <f t="shared" si="13"/>
        <v>JUNIO TEIXEIRA /GEOVANI RORIZ</v>
      </c>
    </row>
    <row r="870" spans="1:14" x14ac:dyDescent="0.3">
      <c r="A870" s="1">
        <v>700101</v>
      </c>
      <c r="B870" s="1" t="s">
        <v>867</v>
      </c>
      <c r="C870" s="5" t="s">
        <v>15</v>
      </c>
      <c r="D870" s="2">
        <v>43164</v>
      </c>
      <c r="E870" s="1" t="s">
        <v>31</v>
      </c>
      <c r="F870" s="1">
        <v>24102</v>
      </c>
      <c r="G870" s="1" t="s">
        <v>669</v>
      </c>
      <c r="H870" s="1" t="s">
        <v>661</v>
      </c>
      <c r="J870" s="1" t="s">
        <v>672</v>
      </c>
      <c r="K870" s="1" t="str">
        <f>VLOOKUP(J870,'[1]Base SCA 02 2026'!V:X,3,0)</f>
        <v>CRISOSTOMO CASTRO</v>
      </c>
      <c r="L870" s="1" t="str">
        <f>VLOOKUP(J870,'[1]Base SCA 02 2026'!V:Y,4,0)</f>
        <v>YAN SILVA</v>
      </c>
      <c r="M870" s="1" t="str">
        <f>VLOOKUP(J870,'[1]Base SCA 02 2026'!V:Z,5,0)</f>
        <v>JUNIO TEIXEIRA /GEOVANI RORIZ</v>
      </c>
      <c r="N870" s="1" t="str">
        <f t="shared" si="13"/>
        <v>JUNIO TEIXEIRA /GEOVANI RORIZ</v>
      </c>
    </row>
    <row r="871" spans="1:14" x14ac:dyDescent="0.3">
      <c r="A871" s="1">
        <v>705841</v>
      </c>
      <c r="B871" s="1" t="s">
        <v>1581</v>
      </c>
      <c r="C871" s="5" t="s">
        <v>15</v>
      </c>
      <c r="D871" s="2">
        <v>46063</v>
      </c>
      <c r="E871" s="1" t="s">
        <v>31</v>
      </c>
      <c r="F871" s="1">
        <v>24102</v>
      </c>
      <c r="G871" s="1" t="s">
        <v>669</v>
      </c>
      <c r="H871" s="1" t="s">
        <v>661</v>
      </c>
      <c r="J871" s="1" t="s">
        <v>670</v>
      </c>
      <c r="K871" s="1" t="str">
        <f>VLOOKUP(J871,'[1]Base SCA 02 2026'!V:X,3,0)</f>
        <v>CRISOSTOMO CASTRO</v>
      </c>
      <c r="L871" s="1" t="str">
        <f>VLOOKUP(J871,'[1]Base SCA 02 2026'!V:Y,4,0)</f>
        <v>YAN SILVA</v>
      </c>
      <c r="M871" s="1" t="str">
        <f>VLOOKUP(J871,'[1]Base SCA 02 2026'!V:Z,5,0)</f>
        <v>JUNIO TEIXEIRA /GEOVANI RORIZ</v>
      </c>
      <c r="N871" s="1" t="str">
        <f t="shared" si="13"/>
        <v>JUNIO TEIXEIRA /GEOVANI RORIZ</v>
      </c>
    </row>
    <row r="872" spans="1:14" x14ac:dyDescent="0.3">
      <c r="A872" s="1">
        <v>100978</v>
      </c>
      <c r="B872" s="1" t="s">
        <v>868</v>
      </c>
      <c r="C872" s="5" t="s">
        <v>15</v>
      </c>
      <c r="D872" s="2">
        <v>42548</v>
      </c>
      <c r="E872" s="1" t="s">
        <v>457</v>
      </c>
      <c r="F872" s="1">
        <v>24102</v>
      </c>
      <c r="G872" s="1" t="s">
        <v>669</v>
      </c>
      <c r="H872" s="1" t="s">
        <v>661</v>
      </c>
      <c r="J872" s="1" t="s">
        <v>804</v>
      </c>
      <c r="K872" s="1" t="str">
        <f>VLOOKUP(J872,'[1]Base SCA 02 2026'!V:X,3,0)</f>
        <v>CRISOSTOMO CASTRO</v>
      </c>
      <c r="L872" s="1" t="str">
        <f>VLOOKUP(J872,'[1]Base SCA 02 2026'!V:Y,4,0)</f>
        <v>CRISOSTOMO CASTRO</v>
      </c>
      <c r="M872" s="1" t="str">
        <f>VLOOKUP(J872,'[1]Base SCA 02 2026'!V:Z,5,0)</f>
        <v>JAILSON RORIZ</v>
      </c>
      <c r="N872" s="1" t="str">
        <f t="shared" si="13"/>
        <v>JAILSON RORIZ</v>
      </c>
    </row>
    <row r="873" spans="1:14" x14ac:dyDescent="0.3">
      <c r="A873" s="1">
        <v>705028</v>
      </c>
      <c r="B873" s="1" t="s">
        <v>869</v>
      </c>
      <c r="C873" s="5" t="s">
        <v>15</v>
      </c>
      <c r="D873" s="2">
        <v>45635</v>
      </c>
      <c r="E873" s="1" t="s">
        <v>31</v>
      </c>
      <c r="F873" s="1">
        <v>24102</v>
      </c>
      <c r="G873" s="1" t="s">
        <v>669</v>
      </c>
      <c r="H873" s="1" t="s">
        <v>661</v>
      </c>
      <c r="J873" s="1" t="s">
        <v>672</v>
      </c>
      <c r="K873" s="1" t="str">
        <f>VLOOKUP(J873,'[1]Base SCA 02 2026'!V:X,3,0)</f>
        <v>CRISOSTOMO CASTRO</v>
      </c>
      <c r="L873" s="1" t="str">
        <f>VLOOKUP(J873,'[1]Base SCA 02 2026'!V:Y,4,0)</f>
        <v>YAN SILVA</v>
      </c>
      <c r="M873" s="1" t="str">
        <f>VLOOKUP(J873,'[1]Base SCA 02 2026'!V:Z,5,0)</f>
        <v>JUNIO TEIXEIRA /GEOVANI RORIZ</v>
      </c>
      <c r="N873" s="1" t="str">
        <f t="shared" si="13"/>
        <v>JUNIO TEIXEIRA /GEOVANI RORIZ</v>
      </c>
    </row>
    <row r="874" spans="1:14" x14ac:dyDescent="0.3">
      <c r="A874" s="1">
        <v>700554</v>
      </c>
      <c r="B874" s="1" t="s">
        <v>870</v>
      </c>
      <c r="C874" s="5" t="s">
        <v>15</v>
      </c>
      <c r="D874" s="2">
        <v>43360</v>
      </c>
      <c r="E874" s="1" t="s">
        <v>141</v>
      </c>
      <c r="F874" s="1">
        <v>24102</v>
      </c>
      <c r="G874" s="1" t="s">
        <v>669</v>
      </c>
      <c r="H874" s="1" t="s">
        <v>661</v>
      </c>
      <c r="J874" s="1" t="s">
        <v>672</v>
      </c>
      <c r="K874" s="1" t="str">
        <f>VLOOKUP(J874,'[1]Base SCA 02 2026'!V:X,3,0)</f>
        <v>CRISOSTOMO CASTRO</v>
      </c>
      <c r="L874" s="1" t="str">
        <f>VLOOKUP(J874,'[1]Base SCA 02 2026'!V:Y,4,0)</f>
        <v>YAN SILVA</v>
      </c>
      <c r="M874" s="1" t="str">
        <f>VLOOKUP(J874,'[1]Base SCA 02 2026'!V:Z,5,0)</f>
        <v>JUNIO TEIXEIRA /GEOVANI RORIZ</v>
      </c>
      <c r="N874" s="1" t="str">
        <f t="shared" si="13"/>
        <v>JUNIO TEIXEIRA /GEOVANI RORIZ</v>
      </c>
    </row>
    <row r="875" spans="1:14" x14ac:dyDescent="0.3">
      <c r="A875" s="1">
        <v>704559</v>
      </c>
      <c r="B875" s="1" t="s">
        <v>871</v>
      </c>
      <c r="C875" s="5" t="s">
        <v>92</v>
      </c>
      <c r="D875" s="2">
        <v>45426</v>
      </c>
      <c r="E875" s="1" t="s">
        <v>31</v>
      </c>
      <c r="F875" s="1">
        <v>39601</v>
      </c>
      <c r="G875" s="1" t="s">
        <v>660</v>
      </c>
      <c r="H875" s="1" t="s">
        <v>661</v>
      </c>
      <c r="I875" s="2">
        <v>46058</v>
      </c>
      <c r="J875" s="1" t="s">
        <v>684</v>
      </c>
      <c r="K875" s="1" t="str">
        <f>VLOOKUP(J875,'[1]Base SCA 02 2026'!V:X,3,0)</f>
        <v>CRISOSTOMO CASTRO</v>
      </c>
      <c r="L875" s="1" t="str">
        <f>VLOOKUP(J875,'[1]Base SCA 02 2026'!V:Y,4,0)</f>
        <v>MATHEUS ALMEIDA</v>
      </c>
      <c r="M875" s="1" t="str">
        <f>VLOOKUP(J875,'[1]Base SCA 02 2026'!V:Z,5,0)</f>
        <v>ADALTON/JANILSON RORIZ/MARIVALDO</v>
      </c>
      <c r="N875" s="1" t="str">
        <f t="shared" si="13"/>
        <v>ADALTON/JANILSON RORIZ/MARIVALDO</v>
      </c>
    </row>
    <row r="876" spans="1:14" x14ac:dyDescent="0.3">
      <c r="A876" s="1">
        <v>705231</v>
      </c>
      <c r="B876" s="1" t="s">
        <v>1181</v>
      </c>
      <c r="C876" s="5" t="s">
        <v>15</v>
      </c>
      <c r="D876" s="2">
        <v>45762</v>
      </c>
      <c r="E876" s="1" t="s">
        <v>31</v>
      </c>
      <c r="F876" s="1">
        <v>24102</v>
      </c>
      <c r="G876" s="1" t="s">
        <v>669</v>
      </c>
      <c r="H876" s="1" t="s">
        <v>661</v>
      </c>
      <c r="J876" s="1" t="s">
        <v>85</v>
      </c>
      <c r="K876" s="1" t="str">
        <f>VLOOKUP(J876,'[1]Base SCA 02 2026'!V:X,3,0)</f>
        <v>PAULO BONIFÁCIO</v>
      </c>
      <c r="L876" s="1" t="str">
        <f>VLOOKUP(J876,'[1]Base SCA 02 2026'!V:Y,4,0)</f>
        <v>PAULO BONIFÁCIO</v>
      </c>
      <c r="M876" s="1" t="str">
        <f>VLOOKUP(J876,'[1]Base SCA 02 2026'!V:Z,5,0)</f>
        <v xml:space="preserve">LEONARDO SANTOS </v>
      </c>
      <c r="N876" s="1" t="str">
        <f t="shared" si="13"/>
        <v xml:space="preserve">LEONARDO SANTOS </v>
      </c>
    </row>
    <row r="877" spans="1:14" x14ac:dyDescent="0.3">
      <c r="A877" s="1">
        <v>704420</v>
      </c>
      <c r="B877" s="1" t="s">
        <v>872</v>
      </c>
      <c r="C877" s="5" t="s">
        <v>15</v>
      </c>
      <c r="D877" s="2">
        <v>45391</v>
      </c>
      <c r="E877" s="1" t="s">
        <v>60</v>
      </c>
      <c r="F877" s="1">
        <v>39601</v>
      </c>
      <c r="G877" s="1" t="s">
        <v>660</v>
      </c>
      <c r="H877" s="1" t="s">
        <v>661</v>
      </c>
      <c r="J877" s="1" t="s">
        <v>684</v>
      </c>
      <c r="K877" s="1" t="str">
        <f>VLOOKUP(J877,'[1]Base SCA 02 2026'!V:X,3,0)</f>
        <v>CRISOSTOMO CASTRO</v>
      </c>
      <c r="L877" s="1" t="str">
        <f>VLOOKUP(J877,'[1]Base SCA 02 2026'!V:Y,4,0)</f>
        <v>MATHEUS ALMEIDA</v>
      </c>
      <c r="M877" s="1" t="str">
        <f>VLOOKUP(J877,'[1]Base SCA 02 2026'!V:Z,5,0)</f>
        <v>ADALTON/JANILSON RORIZ/MARIVALDO</v>
      </c>
      <c r="N877" s="1" t="str">
        <f t="shared" si="13"/>
        <v>ADALTON/JANILSON RORIZ/MARIVALDO</v>
      </c>
    </row>
    <row r="878" spans="1:14" x14ac:dyDescent="0.3">
      <c r="A878" s="1">
        <v>704816</v>
      </c>
      <c r="B878" s="1" t="s">
        <v>873</v>
      </c>
      <c r="C878" s="5" t="s">
        <v>92</v>
      </c>
      <c r="D878" s="2">
        <v>45566</v>
      </c>
      <c r="E878" s="1" t="s">
        <v>31</v>
      </c>
      <c r="F878" s="1">
        <v>39601</v>
      </c>
      <c r="G878" s="1" t="s">
        <v>660</v>
      </c>
      <c r="H878" s="1" t="s">
        <v>661</v>
      </c>
      <c r="I878" s="2">
        <v>46058</v>
      </c>
      <c r="J878" s="1" t="s">
        <v>684</v>
      </c>
      <c r="K878" s="1" t="str">
        <f>VLOOKUP(J878,'[1]Base SCA 02 2026'!V:X,3,0)</f>
        <v>CRISOSTOMO CASTRO</v>
      </c>
      <c r="L878" s="1" t="str">
        <f>VLOOKUP(J878,'[1]Base SCA 02 2026'!V:Y,4,0)</f>
        <v>MATHEUS ALMEIDA</v>
      </c>
      <c r="M878" s="1" t="str">
        <f>VLOOKUP(J878,'[1]Base SCA 02 2026'!V:Z,5,0)</f>
        <v>ADALTON/JANILSON RORIZ/MARIVALDO</v>
      </c>
      <c r="N878" s="1" t="str">
        <f t="shared" si="13"/>
        <v>ADALTON/JANILSON RORIZ/MARIVALDO</v>
      </c>
    </row>
    <row r="879" spans="1:14" x14ac:dyDescent="0.3">
      <c r="A879" s="1">
        <v>705274</v>
      </c>
      <c r="B879" s="1" t="s">
        <v>1200</v>
      </c>
      <c r="C879" s="5" t="s">
        <v>15</v>
      </c>
      <c r="D879" s="2">
        <v>45762</v>
      </c>
      <c r="E879" s="1" t="s">
        <v>31</v>
      </c>
      <c r="F879" s="1">
        <v>24102</v>
      </c>
      <c r="G879" s="1" t="s">
        <v>669</v>
      </c>
      <c r="H879" s="1" t="s">
        <v>661</v>
      </c>
      <c r="J879" s="1" t="s">
        <v>680</v>
      </c>
      <c r="K879" s="1" t="str">
        <f>VLOOKUP(J879,'[1]Base SCA 02 2026'!V:X,3,0)</f>
        <v>CRISOSTOMO CASTRO</v>
      </c>
      <c r="L879" s="1" t="str">
        <f>VLOOKUP(J879,'[1]Base SCA 02 2026'!V:Y,4,0)</f>
        <v>YAN SILVA</v>
      </c>
      <c r="M879" s="1" t="str">
        <f>VLOOKUP(J879,'[1]Base SCA 02 2026'!V:Z,5,0)</f>
        <v>JUNIO TEIXEIRA /GEOVANI RORIZ</v>
      </c>
      <c r="N879" s="1" t="str">
        <f t="shared" si="13"/>
        <v>JUNIO TEIXEIRA /GEOVANI RORIZ</v>
      </c>
    </row>
    <row r="880" spans="1:14" x14ac:dyDescent="0.3">
      <c r="A880" s="1">
        <v>101078</v>
      </c>
      <c r="B880" s="1" t="s">
        <v>874</v>
      </c>
      <c r="C880" s="5" t="s">
        <v>15</v>
      </c>
      <c r="D880" s="2">
        <v>42667</v>
      </c>
      <c r="E880" s="1" t="s">
        <v>251</v>
      </c>
      <c r="F880" s="1">
        <v>39601</v>
      </c>
      <c r="G880" s="1" t="s">
        <v>660</v>
      </c>
      <c r="H880" s="1" t="s">
        <v>661</v>
      </c>
      <c r="J880" s="1" t="s">
        <v>662</v>
      </c>
      <c r="K880" s="1" t="str">
        <f>VLOOKUP(J880,'[1]Base SCA 02 2026'!V:X,3,0)</f>
        <v>CRISOSTOMO CASTRO</v>
      </c>
      <c r="L880" s="1" t="str">
        <f>VLOOKUP(J880,'[1]Base SCA 02 2026'!V:Y,4,0)</f>
        <v>MATHEUS ALMEIDA</v>
      </c>
      <c r="N880" s="1" t="str">
        <f t="shared" si="13"/>
        <v>MATHEUS ALMEIDA</v>
      </c>
    </row>
    <row r="881" spans="1:14" x14ac:dyDescent="0.3">
      <c r="A881" s="1">
        <v>705854</v>
      </c>
      <c r="B881" s="1" t="s">
        <v>1582</v>
      </c>
      <c r="C881" s="5" t="s">
        <v>15</v>
      </c>
      <c r="D881" s="2">
        <v>46063</v>
      </c>
      <c r="E881" s="1" t="s">
        <v>31</v>
      </c>
      <c r="F881" s="1">
        <v>24102</v>
      </c>
      <c r="G881" s="1" t="s">
        <v>669</v>
      </c>
      <c r="H881" s="1" t="s">
        <v>661</v>
      </c>
      <c r="J881" s="1" t="s">
        <v>670</v>
      </c>
      <c r="K881" s="1" t="str">
        <f>VLOOKUP(J881,'[1]Base SCA 02 2026'!V:X,3,0)</f>
        <v>CRISOSTOMO CASTRO</v>
      </c>
      <c r="L881" s="1" t="str">
        <f>VLOOKUP(J881,'[1]Base SCA 02 2026'!V:Y,4,0)</f>
        <v>YAN SILVA</v>
      </c>
      <c r="M881" s="1" t="str">
        <f>VLOOKUP(J881,'[1]Base SCA 02 2026'!V:Z,5,0)</f>
        <v>JUNIO TEIXEIRA /GEOVANI RORIZ</v>
      </c>
      <c r="N881" s="1" t="str">
        <f t="shared" si="13"/>
        <v>JUNIO TEIXEIRA /GEOVANI RORIZ</v>
      </c>
    </row>
    <row r="882" spans="1:14" x14ac:dyDescent="0.3">
      <c r="A882" s="1">
        <v>704401</v>
      </c>
      <c r="B882" s="1" t="s">
        <v>875</v>
      </c>
      <c r="C882" s="5" t="s">
        <v>15</v>
      </c>
      <c r="D882" s="2">
        <v>45391</v>
      </c>
      <c r="E882" s="1" t="s">
        <v>418</v>
      </c>
      <c r="F882" s="1">
        <v>39601</v>
      </c>
      <c r="G882" s="1" t="s">
        <v>660</v>
      </c>
      <c r="H882" s="1" t="s">
        <v>661</v>
      </c>
      <c r="J882" s="1" t="s">
        <v>684</v>
      </c>
      <c r="K882" s="1" t="str">
        <f>VLOOKUP(J882,'[1]Base SCA 02 2026'!V:X,3,0)</f>
        <v>CRISOSTOMO CASTRO</v>
      </c>
      <c r="L882" s="1" t="str">
        <f>VLOOKUP(J882,'[1]Base SCA 02 2026'!V:Y,4,0)</f>
        <v>MATHEUS ALMEIDA</v>
      </c>
      <c r="M882" s="1" t="str">
        <f>VLOOKUP(J882,'[1]Base SCA 02 2026'!V:Z,5,0)</f>
        <v>ADALTON/JANILSON RORIZ/MARIVALDO</v>
      </c>
      <c r="N882" s="1" t="str">
        <f t="shared" si="13"/>
        <v>ADALTON/JANILSON RORIZ/MARIVALDO</v>
      </c>
    </row>
    <row r="883" spans="1:14" x14ac:dyDescent="0.3">
      <c r="A883" s="1">
        <v>705488</v>
      </c>
      <c r="B883" s="1" t="s">
        <v>1306</v>
      </c>
      <c r="C883" s="5" t="s">
        <v>15</v>
      </c>
      <c r="D883" s="2">
        <v>45839</v>
      </c>
      <c r="E883" s="1" t="s">
        <v>31</v>
      </c>
      <c r="F883" s="1">
        <v>39601</v>
      </c>
      <c r="G883" s="1" t="s">
        <v>660</v>
      </c>
      <c r="H883" s="1" t="s">
        <v>661</v>
      </c>
      <c r="J883" s="1" t="s">
        <v>662</v>
      </c>
      <c r="K883" s="1" t="str">
        <f>VLOOKUP(J883,'[1]Base SCA 02 2026'!V:X,3,0)</f>
        <v>CRISOSTOMO CASTRO</v>
      </c>
      <c r="L883" s="1" t="str">
        <f>VLOOKUP(J883,'[1]Base SCA 02 2026'!V:Y,4,0)</f>
        <v>MATHEUS ALMEIDA</v>
      </c>
      <c r="N883" s="1" t="str">
        <f t="shared" si="13"/>
        <v>MATHEUS ALMEIDA</v>
      </c>
    </row>
    <row r="884" spans="1:14" x14ac:dyDescent="0.3">
      <c r="A884" s="1">
        <v>704394</v>
      </c>
      <c r="B884" s="1" t="s">
        <v>876</v>
      </c>
      <c r="C884" s="5" t="s">
        <v>15</v>
      </c>
      <c r="D884" s="2">
        <v>45391</v>
      </c>
      <c r="E884" s="1" t="s">
        <v>418</v>
      </c>
      <c r="F884" s="1">
        <v>39601</v>
      </c>
      <c r="G884" s="1" t="s">
        <v>660</v>
      </c>
      <c r="H884" s="1" t="s">
        <v>661</v>
      </c>
      <c r="J884" s="1" t="s">
        <v>684</v>
      </c>
      <c r="K884" s="1" t="str">
        <f>VLOOKUP(J884,'[1]Base SCA 02 2026'!V:X,3,0)</f>
        <v>CRISOSTOMO CASTRO</v>
      </c>
      <c r="L884" s="1" t="str">
        <f>VLOOKUP(J884,'[1]Base SCA 02 2026'!V:Y,4,0)</f>
        <v>MATHEUS ALMEIDA</v>
      </c>
      <c r="M884" s="1" t="str">
        <f>VLOOKUP(J884,'[1]Base SCA 02 2026'!V:Z,5,0)</f>
        <v>ADALTON/JANILSON RORIZ/MARIVALDO</v>
      </c>
      <c r="N884" s="1" t="str">
        <f t="shared" si="13"/>
        <v>ADALTON/JANILSON RORIZ/MARIVALDO</v>
      </c>
    </row>
    <row r="885" spans="1:14" x14ac:dyDescent="0.3">
      <c r="A885" s="1">
        <v>704421</v>
      </c>
      <c r="B885" s="1" t="s">
        <v>877</v>
      </c>
      <c r="C885" s="5" t="s">
        <v>15</v>
      </c>
      <c r="D885" s="2">
        <v>45398</v>
      </c>
      <c r="E885" s="1" t="s">
        <v>381</v>
      </c>
      <c r="F885" s="1">
        <v>39602</v>
      </c>
      <c r="G885" s="1" t="s">
        <v>699</v>
      </c>
      <c r="H885" s="1" t="s">
        <v>661</v>
      </c>
      <c r="J885" s="1" t="s">
        <v>700</v>
      </c>
      <c r="K885" s="1" t="str">
        <f>VLOOKUP(J885,'[1]Base SCA 02 2026'!V:X,3,0)</f>
        <v>CRISOSTOMO CASTRO</v>
      </c>
      <c r="L885" s="1" t="str">
        <f>VLOOKUP(J885,'[1]Base SCA 02 2026'!V:Y,4,0)</f>
        <v>MATHEUS ALMEIDA</v>
      </c>
      <c r="M885" s="1" t="str">
        <f>VLOOKUP(J885,'[1]Base SCA 02 2026'!V:Z,5,0)</f>
        <v>IURY GUEDES</v>
      </c>
      <c r="N885" s="1" t="str">
        <f t="shared" si="13"/>
        <v>IURY GUEDES</v>
      </c>
    </row>
    <row r="886" spans="1:14" x14ac:dyDescent="0.3">
      <c r="A886" s="1">
        <v>704984</v>
      </c>
      <c r="B886" s="1" t="s">
        <v>878</v>
      </c>
      <c r="C886" s="5" t="s">
        <v>15</v>
      </c>
      <c r="D886" s="2">
        <v>45629</v>
      </c>
      <c r="E886" s="1" t="s">
        <v>31</v>
      </c>
      <c r="F886" s="1">
        <v>39601</v>
      </c>
      <c r="G886" s="1" t="s">
        <v>660</v>
      </c>
      <c r="H886" s="1" t="s">
        <v>661</v>
      </c>
      <c r="J886" s="1" t="s">
        <v>684</v>
      </c>
      <c r="K886" s="1" t="str">
        <f>VLOOKUP(J886,'[1]Base SCA 02 2026'!V:X,3,0)</f>
        <v>CRISOSTOMO CASTRO</v>
      </c>
      <c r="L886" s="1" t="str">
        <f>VLOOKUP(J886,'[1]Base SCA 02 2026'!V:Y,4,0)</f>
        <v>MATHEUS ALMEIDA</v>
      </c>
      <c r="M886" s="1" t="str">
        <f>VLOOKUP(J886,'[1]Base SCA 02 2026'!V:Z,5,0)</f>
        <v>ADALTON/JANILSON RORIZ/MARIVALDO</v>
      </c>
      <c r="N886" s="1" t="str">
        <f t="shared" si="13"/>
        <v>ADALTON/JANILSON RORIZ/MARIVALDO</v>
      </c>
    </row>
    <row r="887" spans="1:14" x14ac:dyDescent="0.3">
      <c r="A887" s="1">
        <v>704164</v>
      </c>
      <c r="B887" s="1" t="s">
        <v>879</v>
      </c>
      <c r="C887" s="5" t="s">
        <v>15</v>
      </c>
      <c r="D887" s="2">
        <v>45264</v>
      </c>
      <c r="E887" s="1" t="s">
        <v>31</v>
      </c>
      <c r="F887" s="1">
        <v>24102</v>
      </c>
      <c r="G887" s="1" t="s">
        <v>669</v>
      </c>
      <c r="H887" s="1" t="s">
        <v>661</v>
      </c>
      <c r="J887" s="1" t="s">
        <v>672</v>
      </c>
      <c r="K887" s="1" t="str">
        <f>VLOOKUP(J887,'[1]Base SCA 02 2026'!V:X,3,0)</f>
        <v>CRISOSTOMO CASTRO</v>
      </c>
      <c r="L887" s="1" t="str">
        <f>VLOOKUP(J887,'[1]Base SCA 02 2026'!V:Y,4,0)</f>
        <v>YAN SILVA</v>
      </c>
      <c r="M887" s="1" t="str">
        <f>VLOOKUP(J887,'[1]Base SCA 02 2026'!V:Z,5,0)</f>
        <v>JUNIO TEIXEIRA /GEOVANI RORIZ</v>
      </c>
      <c r="N887" s="1" t="str">
        <f t="shared" si="13"/>
        <v>JUNIO TEIXEIRA /GEOVANI RORIZ</v>
      </c>
    </row>
    <row r="888" spans="1:14" x14ac:dyDescent="0.3">
      <c r="A888" s="1">
        <v>705459</v>
      </c>
      <c r="B888" s="1" t="s">
        <v>1283</v>
      </c>
      <c r="C888" s="5" t="s">
        <v>15</v>
      </c>
      <c r="D888" s="2">
        <v>45812</v>
      </c>
      <c r="E888" s="1" t="s">
        <v>31</v>
      </c>
      <c r="F888" s="1">
        <v>39601</v>
      </c>
      <c r="G888" s="1" t="s">
        <v>660</v>
      </c>
      <c r="H888" s="1" t="s">
        <v>661</v>
      </c>
      <c r="J888" s="1" t="s">
        <v>662</v>
      </c>
      <c r="K888" s="1" t="str">
        <f>VLOOKUP(J888,'[1]Base SCA 02 2026'!V:X,3,0)</f>
        <v>CRISOSTOMO CASTRO</v>
      </c>
      <c r="L888" s="1" t="str">
        <f>VLOOKUP(J888,'[1]Base SCA 02 2026'!V:Y,4,0)</f>
        <v>MATHEUS ALMEIDA</v>
      </c>
      <c r="N888" s="1" t="str">
        <f t="shared" si="13"/>
        <v>MATHEUS ALMEIDA</v>
      </c>
    </row>
    <row r="889" spans="1:14" x14ac:dyDescent="0.3">
      <c r="A889" s="1">
        <v>701699</v>
      </c>
      <c r="B889" s="1" t="s">
        <v>880</v>
      </c>
      <c r="C889" s="5" t="s">
        <v>15</v>
      </c>
      <c r="D889" s="2">
        <v>44025</v>
      </c>
      <c r="E889" s="1" t="s">
        <v>141</v>
      </c>
      <c r="F889" s="1">
        <v>24102</v>
      </c>
      <c r="G889" s="1" t="s">
        <v>669</v>
      </c>
      <c r="H889" s="1" t="s">
        <v>661</v>
      </c>
      <c r="J889" s="1" t="s">
        <v>697</v>
      </c>
      <c r="K889" s="1" t="str">
        <f>VLOOKUP(J889,'[1]Base SCA 02 2026'!V:X,3,0)</f>
        <v>CRISOSTOMO CASTRO</v>
      </c>
      <c r="L889" s="1" t="str">
        <f>VLOOKUP(J889,'[1]Base SCA 02 2026'!V:Y,4,0)</f>
        <v>JOÃO FILHO</v>
      </c>
      <c r="M889" s="1" t="str">
        <f>VLOOKUP(J889,'[1]Base SCA 02 2026'!V:Z,5,0)</f>
        <v>ALCENO JUNIOR/JOÃO MARCOS</v>
      </c>
      <c r="N889" s="1" t="str">
        <f t="shared" si="13"/>
        <v>ALCENO JUNIOR/JOÃO MARCOS</v>
      </c>
    </row>
    <row r="890" spans="1:14" x14ac:dyDescent="0.3">
      <c r="A890" s="1">
        <v>700084</v>
      </c>
      <c r="B890" s="1" t="s">
        <v>881</v>
      </c>
      <c r="C890" s="5" t="s">
        <v>15</v>
      </c>
      <c r="D890" s="2">
        <v>43150</v>
      </c>
      <c r="E890" s="1" t="s">
        <v>31</v>
      </c>
      <c r="F890" s="1">
        <v>24102</v>
      </c>
      <c r="G890" s="1" t="s">
        <v>669</v>
      </c>
      <c r="H890" s="1" t="s">
        <v>661</v>
      </c>
      <c r="J890" s="1" t="s">
        <v>672</v>
      </c>
      <c r="K890" s="1" t="str">
        <f>VLOOKUP(J890,'[1]Base SCA 02 2026'!V:X,3,0)</f>
        <v>CRISOSTOMO CASTRO</v>
      </c>
      <c r="L890" s="1" t="str">
        <f>VLOOKUP(J890,'[1]Base SCA 02 2026'!V:Y,4,0)</f>
        <v>YAN SILVA</v>
      </c>
      <c r="M890" s="1" t="str">
        <f>VLOOKUP(J890,'[1]Base SCA 02 2026'!V:Z,5,0)</f>
        <v>JUNIO TEIXEIRA /GEOVANI RORIZ</v>
      </c>
      <c r="N890" s="1" t="str">
        <f t="shared" si="13"/>
        <v>JUNIO TEIXEIRA /GEOVANI RORIZ</v>
      </c>
    </row>
    <row r="891" spans="1:14" x14ac:dyDescent="0.3">
      <c r="A891" s="1">
        <v>705592</v>
      </c>
      <c r="B891" s="1" t="s">
        <v>1336</v>
      </c>
      <c r="C891" s="5" t="s">
        <v>92</v>
      </c>
      <c r="D891" s="2">
        <v>45881</v>
      </c>
      <c r="E891" s="1" t="s">
        <v>31</v>
      </c>
      <c r="F891" s="1">
        <v>39601</v>
      </c>
      <c r="G891" s="1" t="s">
        <v>660</v>
      </c>
      <c r="H891" s="1" t="s">
        <v>661</v>
      </c>
      <c r="I891" s="2">
        <v>46058</v>
      </c>
      <c r="J891" s="1" t="s">
        <v>684</v>
      </c>
      <c r="K891" s="1" t="str">
        <f>VLOOKUP(J891,'[1]Base SCA 02 2026'!V:X,3,0)</f>
        <v>CRISOSTOMO CASTRO</v>
      </c>
      <c r="L891" s="1" t="str">
        <f>VLOOKUP(J891,'[1]Base SCA 02 2026'!V:Y,4,0)</f>
        <v>MATHEUS ALMEIDA</v>
      </c>
      <c r="M891" s="1" t="str">
        <f>VLOOKUP(J891,'[1]Base SCA 02 2026'!V:Z,5,0)</f>
        <v>ADALTON/JANILSON RORIZ/MARIVALDO</v>
      </c>
      <c r="N891" s="1" t="str">
        <f t="shared" si="13"/>
        <v>ADALTON/JANILSON RORIZ/MARIVALDO</v>
      </c>
    </row>
    <row r="892" spans="1:14" x14ac:dyDescent="0.3">
      <c r="A892" s="1">
        <v>703699</v>
      </c>
      <c r="B892" s="1" t="s">
        <v>882</v>
      </c>
      <c r="C892" s="5" t="s">
        <v>15</v>
      </c>
      <c r="D892" s="2">
        <v>45019</v>
      </c>
      <c r="E892" s="1" t="s">
        <v>1086</v>
      </c>
      <c r="F892" s="1">
        <v>31103</v>
      </c>
      <c r="G892" s="1" t="s">
        <v>718</v>
      </c>
      <c r="H892" s="1" t="s">
        <v>661</v>
      </c>
      <c r="J892" s="1" t="s">
        <v>719</v>
      </c>
      <c r="K892" s="1" t="str">
        <f>VLOOKUP(J892,'[1]Base SCA 02 2026'!V:X,3,0)</f>
        <v xml:space="preserve">GISELE NASCENTE </v>
      </c>
      <c r="L892" s="1" t="str">
        <f>VLOOKUP(J892,'[1]Base SCA 02 2026'!V:Y,4,0)</f>
        <v xml:space="preserve">GISELE NASCENTE </v>
      </c>
      <c r="M892" s="1" t="str">
        <f>VLOOKUP(J892,'[1]Base SCA 02 2026'!V:Z,5,0)</f>
        <v>MARCOS OLIVEIRA</v>
      </c>
      <c r="N892" s="1" t="str">
        <f t="shared" si="13"/>
        <v>MARCOS OLIVEIRA</v>
      </c>
    </row>
    <row r="893" spans="1:14" x14ac:dyDescent="0.3">
      <c r="A893" s="1">
        <v>705200</v>
      </c>
      <c r="B893" s="1" t="s">
        <v>1173</v>
      </c>
      <c r="C893" s="5" t="s">
        <v>15</v>
      </c>
      <c r="D893" s="2">
        <v>45726</v>
      </c>
      <c r="E893" s="1" t="s">
        <v>31</v>
      </c>
      <c r="F893" s="1">
        <v>24102</v>
      </c>
      <c r="G893" s="1" t="s">
        <v>669</v>
      </c>
      <c r="H893" s="1" t="s">
        <v>661</v>
      </c>
      <c r="J893" s="1" t="s">
        <v>680</v>
      </c>
      <c r="K893" s="1" t="str">
        <f>VLOOKUP(J893,'[1]Base SCA 02 2026'!V:X,3,0)</f>
        <v>CRISOSTOMO CASTRO</v>
      </c>
      <c r="L893" s="1" t="str">
        <f>VLOOKUP(J893,'[1]Base SCA 02 2026'!V:Y,4,0)</f>
        <v>YAN SILVA</v>
      </c>
      <c r="M893" s="1" t="str">
        <f>VLOOKUP(J893,'[1]Base SCA 02 2026'!V:Z,5,0)</f>
        <v>JUNIO TEIXEIRA /GEOVANI RORIZ</v>
      </c>
      <c r="N893" s="1" t="str">
        <f t="shared" si="13"/>
        <v>JUNIO TEIXEIRA /GEOVANI RORIZ</v>
      </c>
    </row>
    <row r="894" spans="1:14" x14ac:dyDescent="0.3">
      <c r="A894" s="1">
        <v>705084</v>
      </c>
      <c r="B894" s="1" t="s">
        <v>884</v>
      </c>
      <c r="C894" s="5" t="s">
        <v>15</v>
      </c>
      <c r="D894" s="2">
        <v>45670</v>
      </c>
      <c r="E894" s="1" t="s">
        <v>31</v>
      </c>
      <c r="F894" s="1">
        <v>24102</v>
      </c>
      <c r="G894" s="1" t="s">
        <v>669</v>
      </c>
      <c r="H894" s="1" t="s">
        <v>661</v>
      </c>
      <c r="J894" s="1" t="s">
        <v>672</v>
      </c>
      <c r="K894" s="1" t="str">
        <f>VLOOKUP(J894,'[1]Base SCA 02 2026'!V:X,3,0)</f>
        <v>CRISOSTOMO CASTRO</v>
      </c>
      <c r="L894" s="1" t="str">
        <f>VLOOKUP(J894,'[1]Base SCA 02 2026'!V:Y,4,0)</f>
        <v>YAN SILVA</v>
      </c>
      <c r="M894" s="1" t="str">
        <f>VLOOKUP(J894,'[1]Base SCA 02 2026'!V:Z,5,0)</f>
        <v>JUNIO TEIXEIRA /GEOVANI RORIZ</v>
      </c>
      <c r="N894" s="1" t="str">
        <f t="shared" si="13"/>
        <v>JUNIO TEIXEIRA /GEOVANI RORIZ</v>
      </c>
    </row>
    <row r="895" spans="1:14" x14ac:dyDescent="0.3">
      <c r="A895" s="1">
        <v>703453</v>
      </c>
      <c r="B895" s="1" t="s">
        <v>885</v>
      </c>
      <c r="C895" s="5" t="s">
        <v>15</v>
      </c>
      <c r="D895" s="2">
        <v>44881</v>
      </c>
      <c r="E895" s="1" t="s">
        <v>31</v>
      </c>
      <c r="F895" s="1">
        <v>24201</v>
      </c>
      <c r="G895" s="1" t="s">
        <v>664</v>
      </c>
      <c r="H895" s="1" t="s">
        <v>661</v>
      </c>
      <c r="J895" s="1" t="s">
        <v>665</v>
      </c>
      <c r="K895" s="1" t="str">
        <f>VLOOKUP(J895,'[1]Base SCA 02 2026'!V:X,3,0)</f>
        <v>CRISOSTOMO CASTRO</v>
      </c>
      <c r="L895" s="1" t="str">
        <f>VLOOKUP(J895,'[1]Base SCA 02 2026'!V:Y,4,0)</f>
        <v>MATHEUS ALMEIDA</v>
      </c>
      <c r="M895" s="1" t="str">
        <f>VLOOKUP(J895,'[1]Base SCA 02 2026'!V:Z,5,0)</f>
        <v>JOSIEL NEVES</v>
      </c>
      <c r="N895" s="1" t="str">
        <f t="shared" si="13"/>
        <v>JOSIEL NEVES</v>
      </c>
    </row>
    <row r="896" spans="1:14" x14ac:dyDescent="0.3">
      <c r="A896" s="1">
        <v>703273</v>
      </c>
      <c r="B896" s="1" t="s">
        <v>886</v>
      </c>
      <c r="C896" s="5" t="s">
        <v>15</v>
      </c>
      <c r="D896" s="2">
        <v>44781</v>
      </c>
      <c r="E896" s="1" t="s">
        <v>97</v>
      </c>
      <c r="F896" s="1">
        <v>32102</v>
      </c>
      <c r="G896" s="1" t="s">
        <v>674</v>
      </c>
      <c r="H896" s="1" t="s">
        <v>661</v>
      </c>
      <c r="J896" s="1" t="s">
        <v>675</v>
      </c>
      <c r="K896" s="1" t="str">
        <f>VLOOKUP(J896,'[1]Base SCA 02 2026'!V:X,3,0)</f>
        <v>RAFAEL XAVIER</v>
      </c>
      <c r="L896" s="1" t="str">
        <f>VLOOKUP(J896,'[1]Base SCA 02 2026'!V:Y,4,0)</f>
        <v>FERNANDO GUILHERME</v>
      </c>
      <c r="M896" s="1" t="str">
        <f>VLOOKUP(J896,'[1]Base SCA 02 2026'!V:Z,5,0)</f>
        <v>MARCELO DOURADO</v>
      </c>
      <c r="N896" s="1" t="str">
        <f t="shared" si="13"/>
        <v>MARCELO DOURADO</v>
      </c>
    </row>
    <row r="897" spans="1:14" x14ac:dyDescent="0.3">
      <c r="A897" s="1">
        <v>704536</v>
      </c>
      <c r="B897" s="1" t="s">
        <v>887</v>
      </c>
      <c r="C897" s="5" t="s">
        <v>15</v>
      </c>
      <c r="D897" s="2">
        <v>45426</v>
      </c>
      <c r="E897" s="1" t="s">
        <v>31</v>
      </c>
      <c r="F897" s="1">
        <v>39601</v>
      </c>
      <c r="G897" s="1" t="s">
        <v>660</v>
      </c>
      <c r="H897" s="1" t="s">
        <v>661</v>
      </c>
      <c r="J897" s="1" t="s">
        <v>662</v>
      </c>
      <c r="K897" s="1" t="str">
        <f>VLOOKUP(J897,'[1]Base SCA 02 2026'!V:X,3,0)</f>
        <v>CRISOSTOMO CASTRO</v>
      </c>
      <c r="L897" s="1" t="str">
        <f>VLOOKUP(J897,'[1]Base SCA 02 2026'!V:Y,4,0)</f>
        <v>MATHEUS ALMEIDA</v>
      </c>
      <c r="N897" s="1" t="str">
        <f t="shared" si="13"/>
        <v>MATHEUS ALMEIDA</v>
      </c>
    </row>
    <row r="898" spans="1:14" x14ac:dyDescent="0.3">
      <c r="A898" s="1">
        <v>704921</v>
      </c>
      <c r="B898" s="1" t="s">
        <v>888</v>
      </c>
      <c r="C898" s="5" t="s">
        <v>15</v>
      </c>
      <c r="D898" s="2">
        <v>45601</v>
      </c>
      <c r="E898" s="1" t="s">
        <v>31</v>
      </c>
      <c r="F898" s="1">
        <v>39601</v>
      </c>
      <c r="G898" s="1" t="s">
        <v>660</v>
      </c>
      <c r="H898" s="1" t="s">
        <v>661</v>
      </c>
      <c r="J898" s="1" t="s">
        <v>662</v>
      </c>
      <c r="K898" s="1" t="str">
        <f>VLOOKUP(J898,'[1]Base SCA 02 2026'!V:X,3,0)</f>
        <v>CRISOSTOMO CASTRO</v>
      </c>
      <c r="L898" s="1" t="str">
        <f>VLOOKUP(J898,'[1]Base SCA 02 2026'!V:Y,4,0)</f>
        <v>MATHEUS ALMEIDA</v>
      </c>
      <c r="N898" s="1" t="str">
        <f t="shared" si="13"/>
        <v>MATHEUS ALMEIDA</v>
      </c>
    </row>
    <row r="899" spans="1:14" x14ac:dyDescent="0.3">
      <c r="A899" s="1">
        <v>705025</v>
      </c>
      <c r="B899" s="1" t="s">
        <v>889</v>
      </c>
      <c r="C899" s="5" t="s">
        <v>15</v>
      </c>
      <c r="D899" s="2">
        <v>45636</v>
      </c>
      <c r="E899" s="1" t="s">
        <v>31</v>
      </c>
      <c r="F899" s="1">
        <v>24102</v>
      </c>
      <c r="G899" s="1" t="s">
        <v>669</v>
      </c>
      <c r="H899" s="1" t="s">
        <v>661</v>
      </c>
      <c r="J899" s="1" t="s">
        <v>672</v>
      </c>
      <c r="K899" s="1" t="str">
        <f>VLOOKUP(J899,'[1]Base SCA 02 2026'!V:X,3,0)</f>
        <v>CRISOSTOMO CASTRO</v>
      </c>
      <c r="L899" s="1" t="str">
        <f>VLOOKUP(J899,'[1]Base SCA 02 2026'!V:Y,4,0)</f>
        <v>YAN SILVA</v>
      </c>
      <c r="M899" s="1" t="str">
        <f>VLOOKUP(J899,'[1]Base SCA 02 2026'!V:Z,5,0)</f>
        <v>JUNIO TEIXEIRA /GEOVANI RORIZ</v>
      </c>
      <c r="N899" s="1" t="str">
        <f t="shared" ref="N899:N962" si="14">IF(M899&lt;&gt;"", M899, IF(L899&lt;&gt;"", L899, K899))</f>
        <v>JUNIO TEIXEIRA /GEOVANI RORIZ</v>
      </c>
    </row>
    <row r="900" spans="1:14" x14ac:dyDescent="0.3">
      <c r="A900" s="1">
        <v>101626</v>
      </c>
      <c r="B900" s="1" t="s">
        <v>890</v>
      </c>
      <c r="C900" s="5" t="s">
        <v>15</v>
      </c>
      <c r="D900" s="2">
        <v>43010</v>
      </c>
      <c r="E900" s="1" t="s">
        <v>111</v>
      </c>
      <c r="F900" s="1">
        <v>24102</v>
      </c>
      <c r="G900" s="1" t="s">
        <v>669</v>
      </c>
      <c r="H900" s="1" t="s">
        <v>661</v>
      </c>
      <c r="J900" s="1" t="s">
        <v>891</v>
      </c>
      <c r="K900" s="1" t="str">
        <f>VLOOKUP(J900,'[1]Base SCA 02 2026'!V:X,3,0)</f>
        <v>CRISOSTOMO CASTRO</v>
      </c>
      <c r="N900" s="1" t="str">
        <f t="shared" si="14"/>
        <v>CRISOSTOMO CASTRO</v>
      </c>
    </row>
    <row r="901" spans="1:14" x14ac:dyDescent="0.3">
      <c r="A901" s="1">
        <v>702066</v>
      </c>
      <c r="B901" s="1" t="s">
        <v>892</v>
      </c>
      <c r="C901" s="5" t="s">
        <v>15</v>
      </c>
      <c r="D901" s="2">
        <v>44264</v>
      </c>
      <c r="E901" s="1" t="s">
        <v>199</v>
      </c>
      <c r="F901" s="1">
        <v>24102</v>
      </c>
      <c r="G901" s="1" t="s">
        <v>669</v>
      </c>
      <c r="H901" s="1" t="s">
        <v>661</v>
      </c>
      <c r="J901" s="1" t="s">
        <v>682</v>
      </c>
      <c r="K901" s="1" t="str">
        <f>VLOOKUP(J901,'[1]Base SCA 02 2026'!V:X,3,0)</f>
        <v>CRISOSTOMO CASTRO</v>
      </c>
      <c r="L901" s="1" t="str">
        <f>VLOOKUP(J901,'[1]Base SCA 02 2026'!V:Y,4,0)</f>
        <v>JOÃO FILHO</v>
      </c>
      <c r="M901" s="1" t="str">
        <f>VLOOKUP(J901,'[1]Base SCA 02 2026'!V:Z,5,0)</f>
        <v>ALCENO JUNIOR/JOÃO MARCOS</v>
      </c>
      <c r="N901" s="1" t="str">
        <f t="shared" si="14"/>
        <v>ALCENO JUNIOR/JOÃO MARCOS</v>
      </c>
    </row>
    <row r="902" spans="1:14" x14ac:dyDescent="0.3">
      <c r="A902" s="1">
        <v>705551</v>
      </c>
      <c r="B902" s="1" t="s">
        <v>1338</v>
      </c>
      <c r="C902" s="5" t="s">
        <v>15</v>
      </c>
      <c r="D902" s="2">
        <v>45874</v>
      </c>
      <c r="E902" s="1" t="s">
        <v>31</v>
      </c>
      <c r="F902" s="1">
        <v>39601</v>
      </c>
      <c r="G902" s="1" t="s">
        <v>660</v>
      </c>
      <c r="H902" s="1" t="s">
        <v>661</v>
      </c>
      <c r="J902" s="1" t="s">
        <v>684</v>
      </c>
      <c r="K902" s="1" t="str">
        <f>VLOOKUP(J902,'[1]Base SCA 02 2026'!V:X,3,0)</f>
        <v>CRISOSTOMO CASTRO</v>
      </c>
      <c r="L902" s="1" t="str">
        <f>VLOOKUP(J902,'[1]Base SCA 02 2026'!V:Y,4,0)</f>
        <v>MATHEUS ALMEIDA</v>
      </c>
      <c r="M902" s="1" t="str">
        <f>VLOOKUP(J902,'[1]Base SCA 02 2026'!V:Z,5,0)</f>
        <v>ADALTON/JANILSON RORIZ/MARIVALDO</v>
      </c>
      <c r="N902" s="1" t="str">
        <f t="shared" si="14"/>
        <v>ADALTON/JANILSON RORIZ/MARIVALDO</v>
      </c>
    </row>
    <row r="903" spans="1:14" x14ac:dyDescent="0.3">
      <c r="A903" s="1">
        <v>704006</v>
      </c>
      <c r="B903" s="1" t="s">
        <v>893</v>
      </c>
      <c r="C903" s="5" t="s">
        <v>15</v>
      </c>
      <c r="D903" s="2">
        <v>45118</v>
      </c>
      <c r="E903" s="1" t="s">
        <v>162</v>
      </c>
      <c r="F903" s="1">
        <v>32102</v>
      </c>
      <c r="G903" s="1" t="s">
        <v>674</v>
      </c>
      <c r="H903" s="1" t="s">
        <v>661</v>
      </c>
      <c r="J903" s="1" t="s">
        <v>675</v>
      </c>
      <c r="K903" s="1" t="str">
        <f>VLOOKUP(J903,'[1]Base SCA 02 2026'!V:X,3,0)</f>
        <v>RAFAEL XAVIER</v>
      </c>
      <c r="L903" s="1" t="str">
        <f>VLOOKUP(J903,'[1]Base SCA 02 2026'!V:Y,4,0)</f>
        <v>FERNANDO GUILHERME</v>
      </c>
      <c r="M903" s="1" t="str">
        <f>VLOOKUP(J903,'[1]Base SCA 02 2026'!V:Z,5,0)</f>
        <v>MARCELO DOURADO</v>
      </c>
      <c r="N903" s="1" t="str">
        <f t="shared" si="14"/>
        <v>MARCELO DOURADO</v>
      </c>
    </row>
    <row r="904" spans="1:14" x14ac:dyDescent="0.3">
      <c r="A904" s="1">
        <v>700136</v>
      </c>
      <c r="B904" s="1" t="s">
        <v>895</v>
      </c>
      <c r="C904" s="5" t="s">
        <v>15</v>
      </c>
      <c r="D904" s="2">
        <v>43222</v>
      </c>
      <c r="E904" s="1" t="s">
        <v>336</v>
      </c>
      <c r="F904" s="1">
        <v>24102</v>
      </c>
      <c r="G904" s="1" t="s">
        <v>669</v>
      </c>
      <c r="H904" s="1" t="s">
        <v>661</v>
      </c>
      <c r="J904" s="1" t="s">
        <v>804</v>
      </c>
      <c r="K904" s="1" t="str">
        <f>VLOOKUP(J904,'[1]Base SCA 02 2026'!V:X,3,0)</f>
        <v>CRISOSTOMO CASTRO</v>
      </c>
      <c r="L904" s="1" t="str">
        <f>VLOOKUP(J904,'[1]Base SCA 02 2026'!V:Y,4,0)</f>
        <v>CRISOSTOMO CASTRO</v>
      </c>
      <c r="M904" s="1" t="str">
        <f>VLOOKUP(J904,'[1]Base SCA 02 2026'!V:Z,5,0)</f>
        <v>JAILSON RORIZ</v>
      </c>
      <c r="N904" s="1" t="str">
        <f t="shared" si="14"/>
        <v>JAILSON RORIZ</v>
      </c>
    </row>
    <row r="905" spans="1:14" x14ac:dyDescent="0.3">
      <c r="A905" s="1">
        <v>702805</v>
      </c>
      <c r="B905" s="1" t="s">
        <v>896</v>
      </c>
      <c r="C905" s="5" t="s">
        <v>15</v>
      </c>
      <c r="D905" s="2">
        <v>44607</v>
      </c>
      <c r="E905" s="1" t="s">
        <v>31</v>
      </c>
      <c r="F905" s="1">
        <v>24102</v>
      </c>
      <c r="G905" s="1" t="s">
        <v>669</v>
      </c>
      <c r="H905" s="1" t="s">
        <v>661</v>
      </c>
      <c r="J905" s="1" t="s">
        <v>680</v>
      </c>
      <c r="K905" s="1" t="str">
        <f>VLOOKUP(J905,'[1]Base SCA 02 2026'!V:X,3,0)</f>
        <v>CRISOSTOMO CASTRO</v>
      </c>
      <c r="L905" s="1" t="str">
        <f>VLOOKUP(J905,'[1]Base SCA 02 2026'!V:Y,4,0)</f>
        <v>YAN SILVA</v>
      </c>
      <c r="M905" s="1" t="str">
        <f>VLOOKUP(J905,'[1]Base SCA 02 2026'!V:Z,5,0)</f>
        <v>JUNIO TEIXEIRA /GEOVANI RORIZ</v>
      </c>
      <c r="N905" s="1" t="str">
        <f t="shared" si="14"/>
        <v>JUNIO TEIXEIRA /GEOVANI RORIZ</v>
      </c>
    </row>
    <row r="906" spans="1:14" x14ac:dyDescent="0.3">
      <c r="A906" s="1">
        <v>702799</v>
      </c>
      <c r="B906" s="1" t="s">
        <v>898</v>
      </c>
      <c r="C906" s="5" t="s">
        <v>15</v>
      </c>
      <c r="D906" s="2">
        <v>44607</v>
      </c>
      <c r="E906" s="1" t="s">
        <v>138</v>
      </c>
      <c r="F906" s="1">
        <v>24102</v>
      </c>
      <c r="G906" s="1" t="s">
        <v>669</v>
      </c>
      <c r="H906" s="1" t="s">
        <v>661</v>
      </c>
      <c r="J906" s="1" t="s">
        <v>672</v>
      </c>
      <c r="K906" s="1" t="str">
        <f>VLOOKUP(J906,'[1]Base SCA 02 2026'!V:X,3,0)</f>
        <v>CRISOSTOMO CASTRO</v>
      </c>
      <c r="L906" s="1" t="str">
        <f>VLOOKUP(J906,'[1]Base SCA 02 2026'!V:Y,4,0)</f>
        <v>YAN SILVA</v>
      </c>
      <c r="M906" s="1" t="str">
        <f>VLOOKUP(J906,'[1]Base SCA 02 2026'!V:Z,5,0)</f>
        <v>JUNIO TEIXEIRA /GEOVANI RORIZ</v>
      </c>
      <c r="N906" s="1" t="str">
        <f t="shared" si="14"/>
        <v>JUNIO TEIXEIRA /GEOVANI RORIZ</v>
      </c>
    </row>
    <row r="907" spans="1:14" x14ac:dyDescent="0.3">
      <c r="A907" s="1">
        <v>700178</v>
      </c>
      <c r="B907" s="1" t="s">
        <v>899</v>
      </c>
      <c r="C907" s="5" t="s">
        <v>15</v>
      </c>
      <c r="D907" s="2">
        <v>43234</v>
      </c>
      <c r="E907" s="1" t="s">
        <v>507</v>
      </c>
      <c r="F907" s="1">
        <v>24201</v>
      </c>
      <c r="G907" s="1" t="s">
        <v>664</v>
      </c>
      <c r="H907" s="1" t="s">
        <v>661</v>
      </c>
      <c r="J907" s="1" t="s">
        <v>665</v>
      </c>
      <c r="K907" s="1" t="str">
        <f>VLOOKUP(J907,'[1]Base SCA 02 2026'!V:X,3,0)</f>
        <v>CRISOSTOMO CASTRO</v>
      </c>
      <c r="L907" s="1" t="str">
        <f>VLOOKUP(J907,'[1]Base SCA 02 2026'!V:Y,4,0)</f>
        <v>MATHEUS ALMEIDA</v>
      </c>
      <c r="M907" s="1" t="str">
        <f>VLOOKUP(J907,'[1]Base SCA 02 2026'!V:Z,5,0)</f>
        <v>JOSIEL NEVES</v>
      </c>
      <c r="N907" s="1" t="str">
        <f t="shared" si="14"/>
        <v>JOSIEL NEVES</v>
      </c>
    </row>
    <row r="908" spans="1:14" x14ac:dyDescent="0.3">
      <c r="A908" s="1">
        <v>701367</v>
      </c>
      <c r="B908" s="1" t="s">
        <v>900</v>
      </c>
      <c r="C908" s="5" t="s">
        <v>15</v>
      </c>
      <c r="D908" s="2">
        <v>43759</v>
      </c>
      <c r="E908" s="1" t="s">
        <v>31</v>
      </c>
      <c r="F908" s="1">
        <v>24102</v>
      </c>
      <c r="G908" s="1" t="s">
        <v>669</v>
      </c>
      <c r="H908" s="1" t="s">
        <v>661</v>
      </c>
      <c r="J908" s="1" t="s">
        <v>672</v>
      </c>
      <c r="K908" s="1" t="str">
        <f>VLOOKUP(J908,'[1]Base SCA 02 2026'!V:X,3,0)</f>
        <v>CRISOSTOMO CASTRO</v>
      </c>
      <c r="L908" s="1" t="str">
        <f>VLOOKUP(J908,'[1]Base SCA 02 2026'!V:Y,4,0)</f>
        <v>YAN SILVA</v>
      </c>
      <c r="M908" s="1" t="str">
        <f>VLOOKUP(J908,'[1]Base SCA 02 2026'!V:Z,5,0)</f>
        <v>JUNIO TEIXEIRA /GEOVANI RORIZ</v>
      </c>
      <c r="N908" s="1" t="str">
        <f t="shared" si="14"/>
        <v>JUNIO TEIXEIRA /GEOVANI RORIZ</v>
      </c>
    </row>
    <row r="909" spans="1:14" x14ac:dyDescent="0.3">
      <c r="A909" s="1">
        <v>704555</v>
      </c>
      <c r="B909" s="1" t="s">
        <v>901</v>
      </c>
      <c r="C909" s="5" t="s">
        <v>15</v>
      </c>
      <c r="D909" s="2">
        <v>45426</v>
      </c>
      <c r="E909" s="1" t="s">
        <v>31</v>
      </c>
      <c r="F909" s="1">
        <v>39601</v>
      </c>
      <c r="G909" s="1" t="s">
        <v>660</v>
      </c>
      <c r="H909" s="1" t="s">
        <v>661</v>
      </c>
      <c r="J909" s="1" t="s">
        <v>684</v>
      </c>
      <c r="K909" s="1" t="str">
        <f>VLOOKUP(J909,'[1]Base SCA 02 2026'!V:X,3,0)</f>
        <v>CRISOSTOMO CASTRO</v>
      </c>
      <c r="L909" s="1" t="str">
        <f>VLOOKUP(J909,'[1]Base SCA 02 2026'!V:Y,4,0)</f>
        <v>MATHEUS ALMEIDA</v>
      </c>
      <c r="M909" s="1" t="str">
        <f>VLOOKUP(J909,'[1]Base SCA 02 2026'!V:Z,5,0)</f>
        <v>ADALTON/JANILSON RORIZ/MARIVALDO</v>
      </c>
      <c r="N909" s="1" t="str">
        <f t="shared" si="14"/>
        <v>ADALTON/JANILSON RORIZ/MARIVALDO</v>
      </c>
    </row>
    <row r="910" spans="1:14" x14ac:dyDescent="0.3">
      <c r="A910" s="1">
        <v>704516</v>
      </c>
      <c r="B910" s="1" t="s">
        <v>902</v>
      </c>
      <c r="C910" s="5" t="s">
        <v>15</v>
      </c>
      <c r="D910" s="2">
        <v>45420</v>
      </c>
      <c r="E910" s="1" t="s">
        <v>31</v>
      </c>
      <c r="F910" s="1">
        <v>39601</v>
      </c>
      <c r="G910" s="1" t="s">
        <v>660</v>
      </c>
      <c r="H910" s="1" t="s">
        <v>661</v>
      </c>
      <c r="J910" s="1" t="s">
        <v>684</v>
      </c>
      <c r="K910" s="1" t="str">
        <f>VLOOKUP(J910,'[1]Base SCA 02 2026'!V:X,3,0)</f>
        <v>CRISOSTOMO CASTRO</v>
      </c>
      <c r="L910" s="1" t="str">
        <f>VLOOKUP(J910,'[1]Base SCA 02 2026'!V:Y,4,0)</f>
        <v>MATHEUS ALMEIDA</v>
      </c>
      <c r="M910" s="1" t="str">
        <f>VLOOKUP(J910,'[1]Base SCA 02 2026'!V:Z,5,0)</f>
        <v>ADALTON/JANILSON RORIZ/MARIVALDO</v>
      </c>
      <c r="N910" s="1" t="str">
        <f t="shared" si="14"/>
        <v>ADALTON/JANILSON RORIZ/MARIVALDO</v>
      </c>
    </row>
    <row r="911" spans="1:14" x14ac:dyDescent="0.3">
      <c r="A911" s="1">
        <v>705665</v>
      </c>
      <c r="B911" s="1" t="s">
        <v>1431</v>
      </c>
      <c r="C911" s="5" t="s">
        <v>15</v>
      </c>
      <c r="D911" s="2">
        <v>45944</v>
      </c>
      <c r="E911" s="1" t="s">
        <v>31</v>
      </c>
      <c r="F911" s="1">
        <v>39601</v>
      </c>
      <c r="G911" s="1" t="s">
        <v>660</v>
      </c>
      <c r="H911" s="1" t="s">
        <v>661</v>
      </c>
      <c r="J911" s="1" t="s">
        <v>662</v>
      </c>
      <c r="K911" s="1" t="str">
        <f>VLOOKUP(J911,'[1]Base SCA 02 2026'!V:X,3,0)</f>
        <v>CRISOSTOMO CASTRO</v>
      </c>
      <c r="L911" s="1" t="str">
        <f>VLOOKUP(J911,'[1]Base SCA 02 2026'!V:Y,4,0)</f>
        <v>MATHEUS ALMEIDA</v>
      </c>
      <c r="N911" s="1" t="str">
        <f t="shared" si="14"/>
        <v>MATHEUS ALMEIDA</v>
      </c>
    </row>
    <row r="912" spans="1:14" x14ac:dyDescent="0.3">
      <c r="A912" s="1">
        <v>705077</v>
      </c>
      <c r="B912" s="1" t="s">
        <v>903</v>
      </c>
      <c r="C912" s="5" t="s">
        <v>15</v>
      </c>
      <c r="D912" s="2">
        <v>45671</v>
      </c>
      <c r="E912" s="1" t="s">
        <v>31</v>
      </c>
      <c r="F912" s="1">
        <v>24102</v>
      </c>
      <c r="G912" s="1" t="s">
        <v>669</v>
      </c>
      <c r="H912" s="1" t="s">
        <v>661</v>
      </c>
      <c r="J912" s="1" t="s">
        <v>672</v>
      </c>
      <c r="K912" s="1" t="str">
        <f>VLOOKUP(J912,'[1]Base SCA 02 2026'!V:X,3,0)</f>
        <v>CRISOSTOMO CASTRO</v>
      </c>
      <c r="L912" s="1" t="str">
        <f>VLOOKUP(J912,'[1]Base SCA 02 2026'!V:Y,4,0)</f>
        <v>YAN SILVA</v>
      </c>
      <c r="M912" s="1" t="str">
        <f>VLOOKUP(J912,'[1]Base SCA 02 2026'!V:Z,5,0)</f>
        <v>JUNIO TEIXEIRA /GEOVANI RORIZ</v>
      </c>
      <c r="N912" s="1" t="str">
        <f t="shared" si="14"/>
        <v>JUNIO TEIXEIRA /GEOVANI RORIZ</v>
      </c>
    </row>
    <row r="913" spans="1:14" x14ac:dyDescent="0.3">
      <c r="A913" s="1">
        <v>702906</v>
      </c>
      <c r="B913" s="1" t="s">
        <v>906</v>
      </c>
      <c r="C913" s="5" t="s">
        <v>15</v>
      </c>
      <c r="D913" s="2">
        <v>44656</v>
      </c>
      <c r="E913" s="1" t="s">
        <v>31</v>
      </c>
      <c r="F913" s="1">
        <v>24102</v>
      </c>
      <c r="G913" s="1" t="s">
        <v>669</v>
      </c>
      <c r="H913" s="1" t="s">
        <v>661</v>
      </c>
      <c r="J913" s="1" t="s">
        <v>697</v>
      </c>
      <c r="K913" s="1" t="str">
        <f>VLOOKUP(J913,'[1]Base SCA 02 2026'!V:X,3,0)</f>
        <v>CRISOSTOMO CASTRO</v>
      </c>
      <c r="L913" s="1" t="str">
        <f>VLOOKUP(J913,'[1]Base SCA 02 2026'!V:Y,4,0)</f>
        <v>JOÃO FILHO</v>
      </c>
      <c r="M913" s="1" t="str">
        <f>VLOOKUP(J913,'[1]Base SCA 02 2026'!V:Z,5,0)</f>
        <v>ALCENO JUNIOR/JOÃO MARCOS</v>
      </c>
      <c r="N913" s="1" t="str">
        <f t="shared" si="14"/>
        <v>ALCENO JUNIOR/JOÃO MARCOS</v>
      </c>
    </row>
    <row r="914" spans="1:14" x14ac:dyDescent="0.3">
      <c r="A914" s="1">
        <v>704621</v>
      </c>
      <c r="B914" s="1" t="s">
        <v>907</v>
      </c>
      <c r="C914" s="5" t="s">
        <v>15</v>
      </c>
      <c r="D914" s="2">
        <v>45476</v>
      </c>
      <c r="E914" s="1" t="s">
        <v>31</v>
      </c>
      <c r="F914" s="1">
        <v>39601</v>
      </c>
      <c r="G914" s="1" t="s">
        <v>660</v>
      </c>
      <c r="H914" s="1" t="s">
        <v>661</v>
      </c>
      <c r="J914" s="1" t="s">
        <v>684</v>
      </c>
      <c r="K914" s="1" t="str">
        <f>VLOOKUP(J914,'[1]Base SCA 02 2026'!V:X,3,0)</f>
        <v>CRISOSTOMO CASTRO</v>
      </c>
      <c r="L914" s="1" t="str">
        <f>VLOOKUP(J914,'[1]Base SCA 02 2026'!V:Y,4,0)</f>
        <v>MATHEUS ALMEIDA</v>
      </c>
      <c r="M914" s="1" t="str">
        <f>VLOOKUP(J914,'[1]Base SCA 02 2026'!V:Z,5,0)</f>
        <v>ADALTON/JANILSON RORIZ/MARIVALDO</v>
      </c>
      <c r="N914" s="1" t="str">
        <f t="shared" si="14"/>
        <v>ADALTON/JANILSON RORIZ/MARIVALDO</v>
      </c>
    </row>
    <row r="915" spans="1:14" x14ac:dyDescent="0.3">
      <c r="A915" s="1">
        <v>701641</v>
      </c>
      <c r="B915" s="1" t="s">
        <v>908</v>
      </c>
      <c r="C915" s="5" t="s">
        <v>15</v>
      </c>
      <c r="D915" s="2">
        <v>44018</v>
      </c>
      <c r="E915" s="1" t="s">
        <v>22</v>
      </c>
      <c r="F915" s="1">
        <v>39601</v>
      </c>
      <c r="G915" s="1" t="s">
        <v>660</v>
      </c>
      <c r="H915" s="1" t="s">
        <v>661</v>
      </c>
      <c r="J915" s="1" t="s">
        <v>662</v>
      </c>
      <c r="K915" s="1" t="str">
        <f>VLOOKUP(J915,'[1]Base SCA 02 2026'!V:X,3,0)</f>
        <v>CRISOSTOMO CASTRO</v>
      </c>
      <c r="L915" s="1" t="str">
        <f>VLOOKUP(J915,'[1]Base SCA 02 2026'!V:Y,4,0)</f>
        <v>MATHEUS ALMEIDA</v>
      </c>
      <c r="N915" s="1" t="str">
        <f t="shared" si="14"/>
        <v>MATHEUS ALMEIDA</v>
      </c>
    </row>
    <row r="916" spans="1:14" x14ac:dyDescent="0.3">
      <c r="A916" s="1">
        <v>704071</v>
      </c>
      <c r="B916" s="1" t="s">
        <v>909</v>
      </c>
      <c r="C916" s="5" t="s">
        <v>15</v>
      </c>
      <c r="D916" s="2">
        <v>45175</v>
      </c>
      <c r="E916" s="1" t="s">
        <v>507</v>
      </c>
      <c r="F916" s="1">
        <v>24201</v>
      </c>
      <c r="G916" s="1" t="s">
        <v>664</v>
      </c>
      <c r="H916" s="1" t="s">
        <v>661</v>
      </c>
      <c r="J916" s="1" t="s">
        <v>665</v>
      </c>
      <c r="K916" s="1" t="str">
        <f>VLOOKUP(J916,'[1]Base SCA 02 2026'!V:X,3,0)</f>
        <v>CRISOSTOMO CASTRO</v>
      </c>
      <c r="L916" s="1" t="str">
        <f>VLOOKUP(J916,'[1]Base SCA 02 2026'!V:Y,4,0)</f>
        <v>MATHEUS ALMEIDA</v>
      </c>
      <c r="M916" s="1" t="str">
        <f>VLOOKUP(J916,'[1]Base SCA 02 2026'!V:Z,5,0)</f>
        <v>JOSIEL NEVES</v>
      </c>
      <c r="N916" s="1" t="str">
        <f t="shared" si="14"/>
        <v>JOSIEL NEVES</v>
      </c>
    </row>
    <row r="917" spans="1:14" x14ac:dyDescent="0.3">
      <c r="A917" s="1">
        <v>703401</v>
      </c>
      <c r="B917" s="1" t="s">
        <v>910</v>
      </c>
      <c r="C917" s="5" t="s">
        <v>15</v>
      </c>
      <c r="D917" s="2">
        <v>44852</v>
      </c>
      <c r="E917" s="1" t="s">
        <v>686</v>
      </c>
      <c r="F917" s="1">
        <v>39601</v>
      </c>
      <c r="G917" s="1" t="s">
        <v>660</v>
      </c>
      <c r="H917" s="1" t="s">
        <v>661</v>
      </c>
      <c r="J917" s="1" t="s">
        <v>684</v>
      </c>
      <c r="K917" s="1" t="str">
        <f>VLOOKUP(J917,'[1]Base SCA 02 2026'!V:X,3,0)</f>
        <v>CRISOSTOMO CASTRO</v>
      </c>
      <c r="L917" s="1" t="str">
        <f>VLOOKUP(J917,'[1]Base SCA 02 2026'!V:Y,4,0)</f>
        <v>MATHEUS ALMEIDA</v>
      </c>
      <c r="M917" s="1" t="str">
        <f>VLOOKUP(J917,'[1]Base SCA 02 2026'!V:Z,5,0)</f>
        <v>ADALTON/JANILSON RORIZ/MARIVALDO</v>
      </c>
      <c r="N917" s="1" t="str">
        <f t="shared" si="14"/>
        <v>ADALTON/JANILSON RORIZ/MARIVALDO</v>
      </c>
    </row>
    <row r="918" spans="1:14" x14ac:dyDescent="0.3">
      <c r="A918" s="1">
        <v>705461</v>
      </c>
      <c r="B918" s="1" t="s">
        <v>1284</v>
      </c>
      <c r="C918" s="5" t="s">
        <v>15</v>
      </c>
      <c r="D918" s="2">
        <v>45812</v>
      </c>
      <c r="E918" s="1" t="s">
        <v>31</v>
      </c>
      <c r="F918" s="1">
        <v>24102</v>
      </c>
      <c r="G918" s="1" t="s">
        <v>669</v>
      </c>
      <c r="H918" s="1" t="s">
        <v>661</v>
      </c>
      <c r="J918" s="1" t="s">
        <v>680</v>
      </c>
      <c r="K918" s="1" t="str">
        <f>VLOOKUP(J918,'[1]Base SCA 02 2026'!V:X,3,0)</f>
        <v>CRISOSTOMO CASTRO</v>
      </c>
      <c r="L918" s="1" t="str">
        <f>VLOOKUP(J918,'[1]Base SCA 02 2026'!V:Y,4,0)</f>
        <v>YAN SILVA</v>
      </c>
      <c r="M918" s="1" t="str">
        <f>VLOOKUP(J918,'[1]Base SCA 02 2026'!V:Z,5,0)</f>
        <v>JUNIO TEIXEIRA /GEOVANI RORIZ</v>
      </c>
      <c r="N918" s="1" t="str">
        <f t="shared" si="14"/>
        <v>JUNIO TEIXEIRA /GEOVANI RORIZ</v>
      </c>
    </row>
    <row r="919" spans="1:14" x14ac:dyDescent="0.3">
      <c r="A919" s="1">
        <v>704364</v>
      </c>
      <c r="B919" s="1" t="s">
        <v>911</v>
      </c>
      <c r="C919" s="5" t="s">
        <v>15</v>
      </c>
      <c r="D919" s="2">
        <v>45384</v>
      </c>
      <c r="E919" s="1" t="s">
        <v>16</v>
      </c>
      <c r="F919" s="1">
        <v>24102</v>
      </c>
      <c r="G919" s="1" t="s">
        <v>669</v>
      </c>
      <c r="H919" s="1" t="s">
        <v>661</v>
      </c>
      <c r="J919" s="1" t="s">
        <v>682</v>
      </c>
      <c r="K919" s="1" t="str">
        <f>VLOOKUP(J919,'[1]Base SCA 02 2026'!V:X,3,0)</f>
        <v>CRISOSTOMO CASTRO</v>
      </c>
      <c r="L919" s="1" t="str">
        <f>VLOOKUP(J919,'[1]Base SCA 02 2026'!V:Y,4,0)</f>
        <v>JOÃO FILHO</v>
      </c>
      <c r="M919" s="1" t="str">
        <f>VLOOKUP(J919,'[1]Base SCA 02 2026'!V:Z,5,0)</f>
        <v>ALCENO JUNIOR/JOÃO MARCOS</v>
      </c>
      <c r="N919" s="1" t="str">
        <f t="shared" si="14"/>
        <v>ALCENO JUNIOR/JOÃO MARCOS</v>
      </c>
    </row>
    <row r="920" spans="1:14" x14ac:dyDescent="0.3">
      <c r="A920" s="1">
        <v>701338</v>
      </c>
      <c r="B920" s="1" t="s">
        <v>912</v>
      </c>
      <c r="C920" s="5" t="s">
        <v>15</v>
      </c>
      <c r="D920" s="2">
        <v>43759</v>
      </c>
      <c r="E920" s="1" t="s">
        <v>138</v>
      </c>
      <c r="F920" s="1">
        <v>24102</v>
      </c>
      <c r="G920" s="1" t="s">
        <v>669</v>
      </c>
      <c r="H920" s="1" t="s">
        <v>661</v>
      </c>
      <c r="J920" s="1" t="s">
        <v>682</v>
      </c>
      <c r="K920" s="1" t="str">
        <f>VLOOKUP(J920,'[1]Base SCA 02 2026'!V:X,3,0)</f>
        <v>CRISOSTOMO CASTRO</v>
      </c>
      <c r="L920" s="1" t="str">
        <f>VLOOKUP(J920,'[1]Base SCA 02 2026'!V:Y,4,0)</f>
        <v>JOÃO FILHO</v>
      </c>
      <c r="M920" s="1" t="str">
        <f>VLOOKUP(J920,'[1]Base SCA 02 2026'!V:Z,5,0)</f>
        <v>ALCENO JUNIOR/JOÃO MARCOS</v>
      </c>
      <c r="N920" s="1" t="str">
        <f t="shared" si="14"/>
        <v>ALCENO JUNIOR/JOÃO MARCOS</v>
      </c>
    </row>
    <row r="921" spans="1:14" x14ac:dyDescent="0.3">
      <c r="A921" s="1">
        <v>701942</v>
      </c>
      <c r="B921" s="1" t="s">
        <v>913</v>
      </c>
      <c r="C921" s="5" t="s">
        <v>15</v>
      </c>
      <c r="D921" s="2">
        <v>44153</v>
      </c>
      <c r="E921" s="1" t="s">
        <v>794</v>
      </c>
      <c r="F921" s="1">
        <v>39602</v>
      </c>
      <c r="G921" s="1" t="s">
        <v>699</v>
      </c>
      <c r="H921" s="1" t="s">
        <v>661</v>
      </c>
      <c r="J921" s="1" t="s">
        <v>700</v>
      </c>
      <c r="K921" s="1" t="str">
        <f>VLOOKUP(J921,'[1]Base SCA 02 2026'!V:X,3,0)</f>
        <v>CRISOSTOMO CASTRO</v>
      </c>
      <c r="L921" s="1" t="str">
        <f>VLOOKUP(J921,'[1]Base SCA 02 2026'!V:Y,4,0)</f>
        <v>MATHEUS ALMEIDA</v>
      </c>
      <c r="M921" s="1" t="str">
        <f>VLOOKUP(J921,'[1]Base SCA 02 2026'!V:Z,5,0)</f>
        <v>IURY GUEDES</v>
      </c>
      <c r="N921" s="1" t="str">
        <f t="shared" si="14"/>
        <v>IURY GUEDES</v>
      </c>
    </row>
    <row r="922" spans="1:14" x14ac:dyDescent="0.3">
      <c r="A922" s="1">
        <v>701307</v>
      </c>
      <c r="B922" s="1" t="s">
        <v>914</v>
      </c>
      <c r="C922" s="5" t="s">
        <v>15</v>
      </c>
      <c r="D922" s="2">
        <v>39510</v>
      </c>
      <c r="E922" s="1" t="s">
        <v>255</v>
      </c>
      <c r="F922" s="1">
        <v>24102</v>
      </c>
      <c r="G922" s="1" t="s">
        <v>669</v>
      </c>
      <c r="H922" s="1" t="s">
        <v>661</v>
      </c>
      <c r="J922" s="1" t="s">
        <v>670</v>
      </c>
      <c r="K922" s="1" t="str">
        <f>VLOOKUP(J922,'[1]Base SCA 02 2026'!V:X,3,0)</f>
        <v>CRISOSTOMO CASTRO</v>
      </c>
      <c r="L922" s="1" t="str">
        <f>VLOOKUP(J922,'[1]Base SCA 02 2026'!V:Y,4,0)</f>
        <v>YAN SILVA</v>
      </c>
      <c r="M922" s="1" t="str">
        <f>VLOOKUP(J922,'[1]Base SCA 02 2026'!V:Z,5,0)</f>
        <v>JUNIO TEIXEIRA /GEOVANI RORIZ</v>
      </c>
      <c r="N922" s="1" t="str">
        <f t="shared" si="14"/>
        <v>JUNIO TEIXEIRA /GEOVANI RORIZ</v>
      </c>
    </row>
    <row r="923" spans="1:14" x14ac:dyDescent="0.3">
      <c r="A923" s="1">
        <v>101765</v>
      </c>
      <c r="B923" s="1" t="s">
        <v>915</v>
      </c>
      <c r="C923" s="5" t="s">
        <v>15</v>
      </c>
      <c r="D923" s="2">
        <v>43073</v>
      </c>
      <c r="E923" s="1" t="s">
        <v>507</v>
      </c>
      <c r="F923" s="1">
        <v>24201</v>
      </c>
      <c r="G923" s="1" t="s">
        <v>664</v>
      </c>
      <c r="H923" s="1" t="s">
        <v>661</v>
      </c>
      <c r="J923" s="1" t="s">
        <v>665</v>
      </c>
      <c r="K923" s="1" t="str">
        <f>VLOOKUP(J923,'[1]Base SCA 02 2026'!V:X,3,0)</f>
        <v>CRISOSTOMO CASTRO</v>
      </c>
      <c r="L923" s="1" t="str">
        <f>VLOOKUP(J923,'[1]Base SCA 02 2026'!V:Y,4,0)</f>
        <v>MATHEUS ALMEIDA</v>
      </c>
      <c r="M923" s="1" t="str">
        <f>VLOOKUP(J923,'[1]Base SCA 02 2026'!V:Z,5,0)</f>
        <v>JOSIEL NEVES</v>
      </c>
      <c r="N923" s="1" t="str">
        <f t="shared" si="14"/>
        <v>JOSIEL NEVES</v>
      </c>
    </row>
    <row r="924" spans="1:14" x14ac:dyDescent="0.3">
      <c r="A924" s="1">
        <v>703724</v>
      </c>
      <c r="B924" s="1" t="s">
        <v>916</v>
      </c>
      <c r="C924" s="5" t="s">
        <v>15</v>
      </c>
      <c r="D924" s="2">
        <v>45026</v>
      </c>
      <c r="E924" s="1" t="s">
        <v>16</v>
      </c>
      <c r="F924" s="1">
        <v>24102</v>
      </c>
      <c r="G924" s="1" t="s">
        <v>669</v>
      </c>
      <c r="H924" s="1" t="s">
        <v>661</v>
      </c>
      <c r="J924" s="1" t="s">
        <v>682</v>
      </c>
      <c r="K924" s="1" t="str">
        <f>VLOOKUP(J924,'[1]Base SCA 02 2026'!V:X,3,0)</f>
        <v>CRISOSTOMO CASTRO</v>
      </c>
      <c r="L924" s="1" t="str">
        <f>VLOOKUP(J924,'[1]Base SCA 02 2026'!V:Y,4,0)</f>
        <v>JOÃO FILHO</v>
      </c>
      <c r="M924" s="1" t="str">
        <f>VLOOKUP(J924,'[1]Base SCA 02 2026'!V:Z,5,0)</f>
        <v>ALCENO JUNIOR/JOÃO MARCOS</v>
      </c>
      <c r="N924" s="1" t="str">
        <f t="shared" si="14"/>
        <v>ALCENO JUNIOR/JOÃO MARCOS</v>
      </c>
    </row>
    <row r="925" spans="1:14" x14ac:dyDescent="0.3">
      <c r="A925" s="1">
        <v>704785</v>
      </c>
      <c r="B925" s="1" t="s">
        <v>917</v>
      </c>
      <c r="C925" s="5" t="s">
        <v>15</v>
      </c>
      <c r="D925" s="2">
        <v>45551</v>
      </c>
      <c r="E925" s="1" t="s">
        <v>418</v>
      </c>
      <c r="F925" s="1">
        <v>39601</v>
      </c>
      <c r="G925" s="1" t="s">
        <v>660</v>
      </c>
      <c r="H925" s="1" t="s">
        <v>661</v>
      </c>
      <c r="J925" s="1" t="s">
        <v>684</v>
      </c>
      <c r="K925" s="1" t="str">
        <f>VLOOKUP(J925,'[1]Base SCA 02 2026'!V:X,3,0)</f>
        <v>CRISOSTOMO CASTRO</v>
      </c>
      <c r="L925" s="1" t="str">
        <f>VLOOKUP(J925,'[1]Base SCA 02 2026'!V:Y,4,0)</f>
        <v>MATHEUS ALMEIDA</v>
      </c>
      <c r="M925" s="1" t="str">
        <f>VLOOKUP(J925,'[1]Base SCA 02 2026'!V:Z,5,0)</f>
        <v>ADALTON/JANILSON RORIZ/MARIVALDO</v>
      </c>
      <c r="N925" s="1" t="str">
        <f t="shared" si="14"/>
        <v>ADALTON/JANILSON RORIZ/MARIVALDO</v>
      </c>
    </row>
    <row r="926" spans="1:14" x14ac:dyDescent="0.3">
      <c r="A926" s="1">
        <v>704253</v>
      </c>
      <c r="B926" s="1" t="s">
        <v>918</v>
      </c>
      <c r="C926" s="5" t="s">
        <v>15</v>
      </c>
      <c r="D926" s="2">
        <v>45342</v>
      </c>
      <c r="E926" s="1" t="s">
        <v>31</v>
      </c>
      <c r="F926" s="1">
        <v>24102</v>
      </c>
      <c r="G926" s="1" t="s">
        <v>669</v>
      </c>
      <c r="H926" s="1" t="s">
        <v>661</v>
      </c>
      <c r="J926" s="1" t="s">
        <v>680</v>
      </c>
      <c r="K926" s="1" t="str">
        <f>VLOOKUP(J926,'[1]Base SCA 02 2026'!V:X,3,0)</f>
        <v>CRISOSTOMO CASTRO</v>
      </c>
      <c r="L926" s="1" t="str">
        <f>VLOOKUP(J926,'[1]Base SCA 02 2026'!V:Y,4,0)</f>
        <v>YAN SILVA</v>
      </c>
      <c r="M926" s="1" t="str">
        <f>VLOOKUP(J926,'[1]Base SCA 02 2026'!V:Z,5,0)</f>
        <v>JUNIO TEIXEIRA /GEOVANI RORIZ</v>
      </c>
      <c r="N926" s="1" t="str">
        <f t="shared" si="14"/>
        <v>JUNIO TEIXEIRA /GEOVANI RORIZ</v>
      </c>
    </row>
    <row r="927" spans="1:14" x14ac:dyDescent="0.3">
      <c r="A927" s="1">
        <v>705727</v>
      </c>
      <c r="B927" s="1" t="s">
        <v>1466</v>
      </c>
      <c r="C927" s="5" t="s">
        <v>15</v>
      </c>
      <c r="D927" s="2">
        <v>45972</v>
      </c>
      <c r="E927" s="1" t="s">
        <v>31</v>
      </c>
      <c r="F927" s="1">
        <v>24201</v>
      </c>
      <c r="G927" s="1" t="s">
        <v>664</v>
      </c>
      <c r="H927" s="1" t="s">
        <v>661</v>
      </c>
      <c r="J927" s="1" t="s">
        <v>665</v>
      </c>
      <c r="K927" s="1" t="str">
        <f>VLOOKUP(J927,'[1]Base SCA 02 2026'!V:X,3,0)</f>
        <v>CRISOSTOMO CASTRO</v>
      </c>
      <c r="L927" s="1" t="str">
        <f>VLOOKUP(J927,'[1]Base SCA 02 2026'!V:Y,4,0)</f>
        <v>MATHEUS ALMEIDA</v>
      </c>
      <c r="M927" s="1" t="str">
        <f>VLOOKUP(J927,'[1]Base SCA 02 2026'!V:Z,5,0)</f>
        <v>JOSIEL NEVES</v>
      </c>
      <c r="N927" s="1" t="str">
        <f t="shared" si="14"/>
        <v>JOSIEL NEVES</v>
      </c>
    </row>
    <row r="928" spans="1:14" x14ac:dyDescent="0.3">
      <c r="A928" s="1">
        <v>702531</v>
      </c>
      <c r="B928" s="1" t="s">
        <v>919</v>
      </c>
      <c r="C928" s="5" t="s">
        <v>15</v>
      </c>
      <c r="D928" s="2">
        <v>44418</v>
      </c>
      <c r="E928" s="1" t="s">
        <v>109</v>
      </c>
      <c r="F928" s="1">
        <v>32102</v>
      </c>
      <c r="G928" s="1" t="s">
        <v>674</v>
      </c>
      <c r="H928" s="1" t="s">
        <v>661</v>
      </c>
      <c r="J928" s="1" t="s">
        <v>675</v>
      </c>
      <c r="K928" s="1" t="str">
        <f>VLOOKUP(J928,'[1]Base SCA 02 2026'!V:X,3,0)</f>
        <v>RAFAEL XAVIER</v>
      </c>
      <c r="L928" s="1" t="str">
        <f>VLOOKUP(J928,'[1]Base SCA 02 2026'!V:Y,4,0)</f>
        <v>FERNANDO GUILHERME</v>
      </c>
      <c r="M928" s="1" t="str">
        <f>VLOOKUP(J928,'[1]Base SCA 02 2026'!V:Z,5,0)</f>
        <v>MARCELO DOURADO</v>
      </c>
      <c r="N928" s="1" t="str">
        <f t="shared" si="14"/>
        <v>MARCELO DOURADO</v>
      </c>
    </row>
    <row r="929" spans="1:14" x14ac:dyDescent="0.3">
      <c r="A929" s="1">
        <v>702935</v>
      </c>
      <c r="B929" s="1" t="s">
        <v>920</v>
      </c>
      <c r="C929" s="5" t="s">
        <v>15</v>
      </c>
      <c r="D929" s="2">
        <v>44663</v>
      </c>
      <c r="E929" s="1" t="s">
        <v>31</v>
      </c>
      <c r="F929" s="1">
        <v>24102</v>
      </c>
      <c r="G929" s="1" t="s">
        <v>669</v>
      </c>
      <c r="H929" s="1" t="s">
        <v>661</v>
      </c>
      <c r="J929" s="1" t="s">
        <v>680</v>
      </c>
      <c r="K929" s="1" t="str">
        <f>VLOOKUP(J929,'[1]Base SCA 02 2026'!V:X,3,0)</f>
        <v>CRISOSTOMO CASTRO</v>
      </c>
      <c r="L929" s="1" t="str">
        <f>VLOOKUP(J929,'[1]Base SCA 02 2026'!V:Y,4,0)</f>
        <v>YAN SILVA</v>
      </c>
      <c r="M929" s="1" t="str">
        <f>VLOOKUP(J929,'[1]Base SCA 02 2026'!V:Z,5,0)</f>
        <v>JUNIO TEIXEIRA /GEOVANI RORIZ</v>
      </c>
      <c r="N929" s="1" t="str">
        <f t="shared" si="14"/>
        <v>JUNIO TEIXEIRA /GEOVANI RORIZ</v>
      </c>
    </row>
    <row r="930" spans="1:14" x14ac:dyDescent="0.3">
      <c r="A930" s="1">
        <v>100789</v>
      </c>
      <c r="B930" s="1" t="s">
        <v>921</v>
      </c>
      <c r="C930" s="5" t="s">
        <v>15</v>
      </c>
      <c r="D930" s="2">
        <v>42240</v>
      </c>
      <c r="E930" s="1" t="s">
        <v>199</v>
      </c>
      <c r="F930" s="1">
        <v>24201</v>
      </c>
      <c r="G930" s="1" t="s">
        <v>664</v>
      </c>
      <c r="H930" s="1" t="s">
        <v>661</v>
      </c>
      <c r="J930" s="1" t="s">
        <v>665</v>
      </c>
      <c r="K930" s="1" t="str">
        <f>VLOOKUP(J930,'[1]Base SCA 02 2026'!V:X,3,0)</f>
        <v>CRISOSTOMO CASTRO</v>
      </c>
      <c r="L930" s="1" t="str">
        <f>VLOOKUP(J930,'[1]Base SCA 02 2026'!V:Y,4,0)</f>
        <v>MATHEUS ALMEIDA</v>
      </c>
      <c r="M930" s="1" t="str">
        <f>VLOOKUP(J930,'[1]Base SCA 02 2026'!V:Z,5,0)</f>
        <v>JOSIEL NEVES</v>
      </c>
      <c r="N930" s="1" t="str">
        <f t="shared" si="14"/>
        <v>JOSIEL NEVES</v>
      </c>
    </row>
    <row r="931" spans="1:14" x14ac:dyDescent="0.3">
      <c r="A931" s="1">
        <v>700444</v>
      </c>
      <c r="B931" s="1" t="s">
        <v>922</v>
      </c>
      <c r="C931" s="5" t="s">
        <v>15</v>
      </c>
      <c r="D931" s="2">
        <v>43326</v>
      </c>
      <c r="E931" s="1" t="s">
        <v>31</v>
      </c>
      <c r="F931" s="1">
        <v>24102</v>
      </c>
      <c r="G931" s="1" t="s">
        <v>669</v>
      </c>
      <c r="H931" s="1" t="s">
        <v>661</v>
      </c>
      <c r="J931" s="1" t="s">
        <v>680</v>
      </c>
      <c r="K931" s="1" t="str">
        <f>VLOOKUP(J931,'[1]Base SCA 02 2026'!V:X,3,0)</f>
        <v>CRISOSTOMO CASTRO</v>
      </c>
      <c r="L931" s="1" t="str">
        <f>VLOOKUP(J931,'[1]Base SCA 02 2026'!V:Y,4,0)</f>
        <v>YAN SILVA</v>
      </c>
      <c r="M931" s="1" t="str">
        <f>VLOOKUP(J931,'[1]Base SCA 02 2026'!V:Z,5,0)</f>
        <v>JUNIO TEIXEIRA /GEOVANI RORIZ</v>
      </c>
      <c r="N931" s="1" t="str">
        <f t="shared" si="14"/>
        <v>JUNIO TEIXEIRA /GEOVANI RORIZ</v>
      </c>
    </row>
    <row r="932" spans="1:14" x14ac:dyDescent="0.3">
      <c r="A932" s="1">
        <v>704938</v>
      </c>
      <c r="B932" s="1" t="s">
        <v>923</v>
      </c>
      <c r="C932" s="5" t="s">
        <v>15</v>
      </c>
      <c r="D932" s="2">
        <v>45607</v>
      </c>
      <c r="E932" s="1" t="s">
        <v>31</v>
      </c>
      <c r="F932" s="1">
        <v>39601</v>
      </c>
      <c r="G932" s="1" t="s">
        <v>660</v>
      </c>
      <c r="H932" s="1" t="s">
        <v>661</v>
      </c>
      <c r="J932" s="1" t="s">
        <v>662</v>
      </c>
      <c r="K932" s="1" t="str">
        <f>VLOOKUP(J932,'[1]Base SCA 02 2026'!V:X,3,0)</f>
        <v>CRISOSTOMO CASTRO</v>
      </c>
      <c r="L932" s="1" t="str">
        <f>VLOOKUP(J932,'[1]Base SCA 02 2026'!V:Y,4,0)</f>
        <v>MATHEUS ALMEIDA</v>
      </c>
      <c r="N932" s="1" t="str">
        <f t="shared" si="14"/>
        <v>MATHEUS ALMEIDA</v>
      </c>
    </row>
    <row r="933" spans="1:14" x14ac:dyDescent="0.3">
      <c r="A933" s="1">
        <v>700901</v>
      </c>
      <c r="B933" s="1" t="s">
        <v>924</v>
      </c>
      <c r="C933" s="5" t="s">
        <v>15</v>
      </c>
      <c r="D933" s="2">
        <v>43529</v>
      </c>
      <c r="E933" s="1" t="s">
        <v>166</v>
      </c>
      <c r="F933" s="1">
        <v>24102</v>
      </c>
      <c r="G933" s="1" t="s">
        <v>669</v>
      </c>
      <c r="H933" s="1" t="s">
        <v>661</v>
      </c>
      <c r="J933" s="1" t="s">
        <v>682</v>
      </c>
      <c r="K933" s="1" t="str">
        <f>VLOOKUP(J933,'[1]Base SCA 02 2026'!V:X,3,0)</f>
        <v>CRISOSTOMO CASTRO</v>
      </c>
      <c r="L933" s="1" t="str">
        <f>VLOOKUP(J933,'[1]Base SCA 02 2026'!V:Y,4,0)</f>
        <v>JOÃO FILHO</v>
      </c>
      <c r="M933" s="1" t="str">
        <f>VLOOKUP(J933,'[1]Base SCA 02 2026'!V:Z,5,0)</f>
        <v>ALCENO JUNIOR/JOÃO MARCOS</v>
      </c>
      <c r="N933" s="1" t="str">
        <f t="shared" si="14"/>
        <v>ALCENO JUNIOR/JOÃO MARCOS</v>
      </c>
    </row>
    <row r="934" spans="1:14" x14ac:dyDescent="0.3">
      <c r="A934" s="1">
        <v>704333</v>
      </c>
      <c r="B934" s="1" t="s">
        <v>925</v>
      </c>
      <c r="C934" s="5" t="s">
        <v>15</v>
      </c>
      <c r="D934" s="2">
        <v>45363</v>
      </c>
      <c r="E934" s="1" t="s">
        <v>31</v>
      </c>
      <c r="F934" s="1">
        <v>24102</v>
      </c>
      <c r="G934" s="1" t="s">
        <v>669</v>
      </c>
      <c r="H934" s="1" t="s">
        <v>661</v>
      </c>
      <c r="J934" s="1" t="s">
        <v>672</v>
      </c>
      <c r="K934" s="1" t="str">
        <f>VLOOKUP(J934,'[1]Base SCA 02 2026'!V:X,3,0)</f>
        <v>CRISOSTOMO CASTRO</v>
      </c>
      <c r="L934" s="1" t="str">
        <f>VLOOKUP(J934,'[1]Base SCA 02 2026'!V:Y,4,0)</f>
        <v>YAN SILVA</v>
      </c>
      <c r="M934" s="1" t="str">
        <f>VLOOKUP(J934,'[1]Base SCA 02 2026'!V:Z,5,0)</f>
        <v>JUNIO TEIXEIRA /GEOVANI RORIZ</v>
      </c>
      <c r="N934" s="1" t="str">
        <f t="shared" si="14"/>
        <v>JUNIO TEIXEIRA /GEOVANI RORIZ</v>
      </c>
    </row>
    <row r="935" spans="1:14" x14ac:dyDescent="0.3">
      <c r="A935" s="1">
        <v>700355</v>
      </c>
      <c r="B935" s="1" t="s">
        <v>926</v>
      </c>
      <c r="C935" s="5" t="s">
        <v>15</v>
      </c>
      <c r="D935" s="2">
        <v>43297</v>
      </c>
      <c r="E935" s="1" t="s">
        <v>16</v>
      </c>
      <c r="F935" s="1">
        <v>24102</v>
      </c>
      <c r="G935" s="1" t="s">
        <v>669</v>
      </c>
      <c r="H935" s="1" t="s">
        <v>661</v>
      </c>
      <c r="J935" s="1" t="s">
        <v>682</v>
      </c>
      <c r="K935" s="1" t="str">
        <f>VLOOKUP(J935,'[1]Base SCA 02 2026'!V:X,3,0)</f>
        <v>CRISOSTOMO CASTRO</v>
      </c>
      <c r="L935" s="1" t="str">
        <f>VLOOKUP(J935,'[1]Base SCA 02 2026'!V:Y,4,0)</f>
        <v>JOÃO FILHO</v>
      </c>
      <c r="M935" s="1" t="str">
        <f>VLOOKUP(J935,'[1]Base SCA 02 2026'!V:Z,5,0)</f>
        <v>ALCENO JUNIOR/JOÃO MARCOS</v>
      </c>
      <c r="N935" s="1" t="str">
        <f t="shared" si="14"/>
        <v>ALCENO JUNIOR/JOÃO MARCOS</v>
      </c>
    </row>
    <row r="936" spans="1:14" x14ac:dyDescent="0.3">
      <c r="A936" s="1">
        <v>705776</v>
      </c>
      <c r="B936" s="1" t="s">
        <v>1500</v>
      </c>
      <c r="C936" s="5" t="s">
        <v>15</v>
      </c>
      <c r="D936" s="2">
        <v>45993</v>
      </c>
      <c r="E936" s="1" t="s">
        <v>129</v>
      </c>
      <c r="F936" s="1">
        <v>31103</v>
      </c>
      <c r="G936" s="1" t="s">
        <v>718</v>
      </c>
      <c r="H936" s="1" t="s">
        <v>661</v>
      </c>
      <c r="J936" s="1" t="s">
        <v>719</v>
      </c>
      <c r="K936" s="1" t="str">
        <f>VLOOKUP(J936,'[1]Base SCA 02 2026'!V:X,3,0)</f>
        <v xml:space="preserve">GISELE NASCENTE </v>
      </c>
      <c r="L936" s="1" t="str">
        <f>VLOOKUP(J936,'[1]Base SCA 02 2026'!V:Y,4,0)</f>
        <v xml:space="preserve">GISELE NASCENTE </v>
      </c>
      <c r="M936" s="1" t="str">
        <f>VLOOKUP(J936,'[1]Base SCA 02 2026'!V:Z,5,0)</f>
        <v>MARCOS OLIVEIRA</v>
      </c>
      <c r="N936" s="1" t="str">
        <f t="shared" si="14"/>
        <v>MARCOS OLIVEIRA</v>
      </c>
    </row>
    <row r="937" spans="1:14" x14ac:dyDescent="0.3">
      <c r="A937" s="1">
        <v>701406</v>
      </c>
      <c r="B937" s="1" t="s">
        <v>927</v>
      </c>
      <c r="C937" s="5" t="s">
        <v>15</v>
      </c>
      <c r="D937" s="2">
        <v>43773</v>
      </c>
      <c r="E937" s="1" t="s">
        <v>260</v>
      </c>
      <c r="F937" s="1">
        <v>24102</v>
      </c>
      <c r="G937" s="1" t="s">
        <v>669</v>
      </c>
      <c r="H937" s="1" t="s">
        <v>661</v>
      </c>
      <c r="J937" s="1" t="s">
        <v>672</v>
      </c>
      <c r="K937" s="1" t="str">
        <f>VLOOKUP(J937,'[1]Base SCA 02 2026'!V:X,3,0)</f>
        <v>CRISOSTOMO CASTRO</v>
      </c>
      <c r="L937" s="1" t="str">
        <f>VLOOKUP(J937,'[1]Base SCA 02 2026'!V:Y,4,0)</f>
        <v>YAN SILVA</v>
      </c>
      <c r="M937" s="1" t="str">
        <f>VLOOKUP(J937,'[1]Base SCA 02 2026'!V:Z,5,0)</f>
        <v>JUNIO TEIXEIRA /GEOVANI RORIZ</v>
      </c>
      <c r="N937" s="1" t="str">
        <f t="shared" si="14"/>
        <v>JUNIO TEIXEIRA /GEOVANI RORIZ</v>
      </c>
    </row>
    <row r="938" spans="1:14" x14ac:dyDescent="0.3">
      <c r="A938" s="1">
        <v>705872</v>
      </c>
      <c r="B938" s="1" t="s">
        <v>1583</v>
      </c>
      <c r="C938" s="5" t="s">
        <v>15</v>
      </c>
      <c r="D938" s="2">
        <v>46063</v>
      </c>
      <c r="E938" s="1" t="s">
        <v>31</v>
      </c>
      <c r="F938" s="1">
        <v>24102</v>
      </c>
      <c r="G938" s="1" t="s">
        <v>669</v>
      </c>
      <c r="H938" s="1" t="s">
        <v>661</v>
      </c>
      <c r="J938" s="1" t="s">
        <v>670</v>
      </c>
      <c r="K938" s="1" t="str">
        <f>VLOOKUP(J938,'[1]Base SCA 02 2026'!V:X,3,0)</f>
        <v>CRISOSTOMO CASTRO</v>
      </c>
      <c r="L938" s="1" t="str">
        <f>VLOOKUP(J938,'[1]Base SCA 02 2026'!V:Y,4,0)</f>
        <v>YAN SILVA</v>
      </c>
      <c r="M938" s="1" t="str">
        <f>VLOOKUP(J938,'[1]Base SCA 02 2026'!V:Z,5,0)</f>
        <v>JUNIO TEIXEIRA /GEOVANI RORIZ</v>
      </c>
      <c r="N938" s="1" t="str">
        <f t="shared" si="14"/>
        <v>JUNIO TEIXEIRA /GEOVANI RORIZ</v>
      </c>
    </row>
    <row r="939" spans="1:14" x14ac:dyDescent="0.3">
      <c r="A939" s="1">
        <v>703721</v>
      </c>
      <c r="B939" s="1" t="s">
        <v>928</v>
      </c>
      <c r="C939" s="5" t="s">
        <v>15</v>
      </c>
      <c r="D939" s="2">
        <v>45026</v>
      </c>
      <c r="E939" s="1" t="s">
        <v>146</v>
      </c>
      <c r="F939" s="1">
        <v>39601</v>
      </c>
      <c r="G939" s="1" t="s">
        <v>660</v>
      </c>
      <c r="H939" s="1" t="s">
        <v>661</v>
      </c>
      <c r="J939" s="1" t="s">
        <v>684</v>
      </c>
      <c r="K939" s="1" t="str">
        <f>VLOOKUP(J939,'[1]Base SCA 02 2026'!V:X,3,0)</f>
        <v>CRISOSTOMO CASTRO</v>
      </c>
      <c r="L939" s="1" t="str">
        <f>VLOOKUP(J939,'[1]Base SCA 02 2026'!V:Y,4,0)</f>
        <v>MATHEUS ALMEIDA</v>
      </c>
      <c r="M939" s="1" t="str">
        <f>VLOOKUP(J939,'[1]Base SCA 02 2026'!V:Z,5,0)</f>
        <v>ADALTON/JANILSON RORIZ/MARIVALDO</v>
      </c>
      <c r="N939" s="1" t="str">
        <f t="shared" si="14"/>
        <v>ADALTON/JANILSON RORIZ/MARIVALDO</v>
      </c>
    </row>
    <row r="940" spans="1:14" x14ac:dyDescent="0.3">
      <c r="A940" s="1">
        <v>703940</v>
      </c>
      <c r="B940" s="1" t="s">
        <v>929</v>
      </c>
      <c r="C940" s="5" t="s">
        <v>15</v>
      </c>
      <c r="D940" s="2">
        <v>45089</v>
      </c>
      <c r="E940" s="1" t="s">
        <v>27</v>
      </c>
      <c r="F940" s="1">
        <v>39601</v>
      </c>
      <c r="G940" s="1" t="s">
        <v>660</v>
      </c>
      <c r="H940" s="1" t="s">
        <v>661</v>
      </c>
      <c r="J940" s="1" t="s">
        <v>684</v>
      </c>
      <c r="K940" s="1" t="str">
        <f>VLOOKUP(J940,'[1]Base SCA 02 2026'!V:X,3,0)</f>
        <v>CRISOSTOMO CASTRO</v>
      </c>
      <c r="L940" s="1" t="str">
        <f>VLOOKUP(J940,'[1]Base SCA 02 2026'!V:Y,4,0)</f>
        <v>MATHEUS ALMEIDA</v>
      </c>
      <c r="M940" s="1" t="str">
        <f>VLOOKUP(J940,'[1]Base SCA 02 2026'!V:Z,5,0)</f>
        <v>ADALTON/JANILSON RORIZ/MARIVALDO</v>
      </c>
      <c r="N940" s="1" t="str">
        <f t="shared" si="14"/>
        <v>ADALTON/JANILSON RORIZ/MARIVALDO</v>
      </c>
    </row>
    <row r="941" spans="1:14" x14ac:dyDescent="0.3">
      <c r="A941" s="1">
        <v>705847</v>
      </c>
      <c r="B941" s="1" t="s">
        <v>1584</v>
      </c>
      <c r="C941" s="5" t="s">
        <v>15</v>
      </c>
      <c r="D941" s="2">
        <v>46063</v>
      </c>
      <c r="E941" s="1" t="s">
        <v>31</v>
      </c>
      <c r="F941" s="1">
        <v>24102</v>
      </c>
      <c r="G941" s="1" t="s">
        <v>669</v>
      </c>
      <c r="H941" s="1" t="s">
        <v>661</v>
      </c>
      <c r="J941" s="1" t="s">
        <v>670</v>
      </c>
      <c r="K941" s="1" t="str">
        <f>VLOOKUP(J941,'[1]Base SCA 02 2026'!V:X,3,0)</f>
        <v>CRISOSTOMO CASTRO</v>
      </c>
      <c r="L941" s="1" t="str">
        <f>VLOOKUP(J941,'[1]Base SCA 02 2026'!V:Y,4,0)</f>
        <v>YAN SILVA</v>
      </c>
      <c r="M941" s="1" t="str">
        <f>VLOOKUP(J941,'[1]Base SCA 02 2026'!V:Z,5,0)</f>
        <v>JUNIO TEIXEIRA /GEOVANI RORIZ</v>
      </c>
      <c r="N941" s="1" t="str">
        <f t="shared" si="14"/>
        <v>JUNIO TEIXEIRA /GEOVANI RORIZ</v>
      </c>
    </row>
    <row r="942" spans="1:14" x14ac:dyDescent="0.3">
      <c r="A942" s="1">
        <v>704722</v>
      </c>
      <c r="B942" s="1" t="s">
        <v>930</v>
      </c>
      <c r="C942" s="5" t="s">
        <v>15</v>
      </c>
      <c r="D942" s="2">
        <v>45518</v>
      </c>
      <c r="E942" s="1" t="s">
        <v>27</v>
      </c>
      <c r="F942" s="1">
        <v>39601</v>
      </c>
      <c r="G942" s="1" t="s">
        <v>660</v>
      </c>
      <c r="H942" s="1" t="s">
        <v>661</v>
      </c>
      <c r="J942" s="1" t="s">
        <v>684</v>
      </c>
      <c r="K942" s="1" t="str">
        <f>VLOOKUP(J942,'[1]Base SCA 02 2026'!V:X,3,0)</f>
        <v>CRISOSTOMO CASTRO</v>
      </c>
      <c r="L942" s="1" t="str">
        <f>VLOOKUP(J942,'[1]Base SCA 02 2026'!V:Y,4,0)</f>
        <v>MATHEUS ALMEIDA</v>
      </c>
      <c r="M942" s="1" t="str">
        <f>VLOOKUP(J942,'[1]Base SCA 02 2026'!V:Z,5,0)</f>
        <v>ADALTON/JANILSON RORIZ/MARIVALDO</v>
      </c>
      <c r="N942" s="1" t="str">
        <f t="shared" si="14"/>
        <v>ADALTON/JANILSON RORIZ/MARIVALDO</v>
      </c>
    </row>
    <row r="943" spans="1:14" x14ac:dyDescent="0.3">
      <c r="A943" s="1">
        <v>704321</v>
      </c>
      <c r="B943" s="1" t="s">
        <v>931</v>
      </c>
      <c r="C943" s="5" t="s">
        <v>15</v>
      </c>
      <c r="D943" s="2">
        <v>45356</v>
      </c>
      <c r="E943" s="1" t="s">
        <v>31</v>
      </c>
      <c r="F943" s="1">
        <v>24102</v>
      </c>
      <c r="G943" s="1" t="s">
        <v>669</v>
      </c>
      <c r="H943" s="1" t="s">
        <v>661</v>
      </c>
      <c r="J943" s="1" t="s">
        <v>670</v>
      </c>
      <c r="K943" s="1" t="str">
        <f>VLOOKUP(J943,'[1]Base SCA 02 2026'!V:X,3,0)</f>
        <v>CRISOSTOMO CASTRO</v>
      </c>
      <c r="L943" s="1" t="str">
        <f>VLOOKUP(J943,'[1]Base SCA 02 2026'!V:Y,4,0)</f>
        <v>YAN SILVA</v>
      </c>
      <c r="M943" s="1" t="str">
        <f>VLOOKUP(J943,'[1]Base SCA 02 2026'!V:Z,5,0)</f>
        <v>JUNIO TEIXEIRA /GEOVANI RORIZ</v>
      </c>
      <c r="N943" s="1" t="str">
        <f t="shared" si="14"/>
        <v>JUNIO TEIXEIRA /GEOVANI RORIZ</v>
      </c>
    </row>
    <row r="944" spans="1:14" x14ac:dyDescent="0.3">
      <c r="A944" s="1">
        <v>705849</v>
      </c>
      <c r="B944" s="1" t="s">
        <v>1585</v>
      </c>
      <c r="C944" s="5" t="s">
        <v>15</v>
      </c>
      <c r="D944" s="2">
        <v>46063</v>
      </c>
      <c r="E944" s="1" t="s">
        <v>31</v>
      </c>
      <c r="F944" s="1">
        <v>24102</v>
      </c>
      <c r="G944" s="1" t="s">
        <v>669</v>
      </c>
      <c r="H944" s="1" t="s">
        <v>661</v>
      </c>
      <c r="J944" s="1" t="s">
        <v>670</v>
      </c>
      <c r="K944" s="1" t="str">
        <f>VLOOKUP(J944,'[1]Base SCA 02 2026'!V:X,3,0)</f>
        <v>CRISOSTOMO CASTRO</v>
      </c>
      <c r="L944" s="1" t="str">
        <f>VLOOKUP(J944,'[1]Base SCA 02 2026'!V:Y,4,0)</f>
        <v>YAN SILVA</v>
      </c>
      <c r="M944" s="1" t="str">
        <f>VLOOKUP(J944,'[1]Base SCA 02 2026'!V:Z,5,0)</f>
        <v>JUNIO TEIXEIRA /GEOVANI RORIZ</v>
      </c>
      <c r="N944" s="1" t="str">
        <f t="shared" si="14"/>
        <v>JUNIO TEIXEIRA /GEOVANI RORIZ</v>
      </c>
    </row>
    <row r="945" spans="1:14" x14ac:dyDescent="0.3">
      <c r="A945" s="1">
        <v>704417</v>
      </c>
      <c r="B945" s="1" t="s">
        <v>932</v>
      </c>
      <c r="C945" s="5" t="s">
        <v>15</v>
      </c>
      <c r="D945" s="2">
        <v>45391</v>
      </c>
      <c r="E945" s="1" t="s">
        <v>146</v>
      </c>
      <c r="F945" s="1">
        <v>39601</v>
      </c>
      <c r="G945" s="1" t="s">
        <v>660</v>
      </c>
      <c r="H945" s="1" t="s">
        <v>661</v>
      </c>
      <c r="J945" s="1" t="s">
        <v>684</v>
      </c>
      <c r="K945" s="1" t="str">
        <f>VLOOKUP(J945,'[1]Base SCA 02 2026'!V:X,3,0)</f>
        <v>CRISOSTOMO CASTRO</v>
      </c>
      <c r="L945" s="1" t="str">
        <f>VLOOKUP(J945,'[1]Base SCA 02 2026'!V:Y,4,0)</f>
        <v>MATHEUS ALMEIDA</v>
      </c>
      <c r="M945" s="1" t="str">
        <f>VLOOKUP(J945,'[1]Base SCA 02 2026'!V:Z,5,0)</f>
        <v>ADALTON/JANILSON RORIZ/MARIVALDO</v>
      </c>
      <c r="N945" s="1" t="str">
        <f t="shared" si="14"/>
        <v>ADALTON/JANILSON RORIZ/MARIVALDO</v>
      </c>
    </row>
    <row r="946" spans="1:14" x14ac:dyDescent="0.3">
      <c r="A946" s="1">
        <v>705530</v>
      </c>
      <c r="B946" s="1" t="s">
        <v>1307</v>
      </c>
      <c r="C946" s="5" t="s">
        <v>92</v>
      </c>
      <c r="D946" s="2">
        <v>45847</v>
      </c>
      <c r="E946" s="1" t="s">
        <v>31</v>
      </c>
      <c r="F946" s="1">
        <v>39601</v>
      </c>
      <c r="G946" s="1" t="s">
        <v>660</v>
      </c>
      <c r="H946" s="1" t="s">
        <v>661</v>
      </c>
      <c r="I946" s="2">
        <v>46058</v>
      </c>
      <c r="J946" s="1" t="s">
        <v>684</v>
      </c>
      <c r="K946" s="1" t="str">
        <f>VLOOKUP(J946,'[1]Base SCA 02 2026'!V:X,3,0)</f>
        <v>CRISOSTOMO CASTRO</v>
      </c>
      <c r="L946" s="1" t="str">
        <f>VLOOKUP(J946,'[1]Base SCA 02 2026'!V:Y,4,0)</f>
        <v>MATHEUS ALMEIDA</v>
      </c>
      <c r="M946" s="1" t="str">
        <f>VLOOKUP(J946,'[1]Base SCA 02 2026'!V:Z,5,0)</f>
        <v>ADALTON/JANILSON RORIZ/MARIVALDO</v>
      </c>
      <c r="N946" s="1" t="str">
        <f t="shared" si="14"/>
        <v>ADALTON/JANILSON RORIZ/MARIVALDO</v>
      </c>
    </row>
    <row r="947" spans="1:14" x14ac:dyDescent="0.3">
      <c r="A947" s="1">
        <v>701554</v>
      </c>
      <c r="B947" s="1" t="s">
        <v>933</v>
      </c>
      <c r="C947" s="5" t="s">
        <v>15</v>
      </c>
      <c r="D947" s="2">
        <v>43959</v>
      </c>
      <c r="E947" s="1" t="s">
        <v>31</v>
      </c>
      <c r="F947" s="1">
        <v>24102</v>
      </c>
      <c r="G947" s="1" t="s">
        <v>669</v>
      </c>
      <c r="H947" s="1" t="s">
        <v>661</v>
      </c>
      <c r="J947" s="1" t="s">
        <v>680</v>
      </c>
      <c r="K947" s="1" t="str">
        <f>VLOOKUP(J947,'[1]Base SCA 02 2026'!V:X,3,0)</f>
        <v>CRISOSTOMO CASTRO</v>
      </c>
      <c r="L947" s="1" t="str">
        <f>VLOOKUP(J947,'[1]Base SCA 02 2026'!V:Y,4,0)</f>
        <v>YAN SILVA</v>
      </c>
      <c r="M947" s="1" t="str">
        <f>VLOOKUP(J947,'[1]Base SCA 02 2026'!V:Z,5,0)</f>
        <v>JUNIO TEIXEIRA /GEOVANI RORIZ</v>
      </c>
      <c r="N947" s="1" t="str">
        <f t="shared" si="14"/>
        <v>JUNIO TEIXEIRA /GEOVANI RORIZ</v>
      </c>
    </row>
    <row r="948" spans="1:14" x14ac:dyDescent="0.3">
      <c r="A948" s="1">
        <v>702673</v>
      </c>
      <c r="B948" s="1" t="s">
        <v>935</v>
      </c>
      <c r="C948" s="5" t="s">
        <v>15</v>
      </c>
      <c r="D948" s="2">
        <v>44517</v>
      </c>
      <c r="E948" s="1" t="s">
        <v>146</v>
      </c>
      <c r="F948" s="1">
        <v>39601</v>
      </c>
      <c r="G948" s="1" t="s">
        <v>660</v>
      </c>
      <c r="H948" s="1" t="s">
        <v>661</v>
      </c>
      <c r="J948" s="1" t="s">
        <v>684</v>
      </c>
      <c r="K948" s="1" t="str">
        <f>VLOOKUP(J948,'[1]Base SCA 02 2026'!V:X,3,0)</f>
        <v>CRISOSTOMO CASTRO</v>
      </c>
      <c r="L948" s="1" t="str">
        <f>VLOOKUP(J948,'[1]Base SCA 02 2026'!V:Y,4,0)</f>
        <v>MATHEUS ALMEIDA</v>
      </c>
      <c r="M948" s="1" t="str">
        <f>VLOOKUP(J948,'[1]Base SCA 02 2026'!V:Z,5,0)</f>
        <v>ADALTON/JANILSON RORIZ/MARIVALDO</v>
      </c>
      <c r="N948" s="1" t="str">
        <f t="shared" si="14"/>
        <v>ADALTON/JANILSON RORIZ/MARIVALDO</v>
      </c>
    </row>
    <row r="949" spans="1:14" x14ac:dyDescent="0.3">
      <c r="A949" s="1">
        <v>703717</v>
      </c>
      <c r="B949" s="1" t="s">
        <v>936</v>
      </c>
      <c r="C949" s="5" t="s">
        <v>15</v>
      </c>
      <c r="D949" s="2">
        <v>45019</v>
      </c>
      <c r="E949" s="1" t="s">
        <v>230</v>
      </c>
      <c r="F949" s="1">
        <v>38102</v>
      </c>
      <c r="G949" s="1" t="s">
        <v>725</v>
      </c>
      <c r="H949" s="1" t="s">
        <v>661</v>
      </c>
      <c r="J949" s="1" t="s">
        <v>726</v>
      </c>
      <c r="K949" s="1" t="str">
        <f>VLOOKUP(J949,'[1]Base SCA 02 2026'!V:X,3,0)</f>
        <v xml:space="preserve">LEIDJANE MARTINS </v>
      </c>
      <c r="L949" s="1" t="str">
        <f>VLOOKUP(J949,'[1]Base SCA 02 2026'!V:Y,4,0)</f>
        <v xml:space="preserve">LEIDJANE MARTINS </v>
      </c>
      <c r="M949" s="1" t="str">
        <f>VLOOKUP(J949,'[1]Base SCA 02 2026'!V:Z,5,0)</f>
        <v>DENIS ACASSIO</v>
      </c>
      <c r="N949" s="1" t="str">
        <f t="shared" si="14"/>
        <v>DENIS ACASSIO</v>
      </c>
    </row>
    <row r="950" spans="1:14" x14ac:dyDescent="0.3">
      <c r="A950" s="1">
        <v>705123</v>
      </c>
      <c r="B950" s="1" t="s">
        <v>1149</v>
      </c>
      <c r="C950" s="5" t="s">
        <v>15</v>
      </c>
      <c r="D950" s="2">
        <v>45698</v>
      </c>
      <c r="E950" s="1" t="s">
        <v>336</v>
      </c>
      <c r="F950" s="1">
        <v>24102</v>
      </c>
      <c r="G950" s="1" t="s">
        <v>669</v>
      </c>
      <c r="H950" s="1" t="s">
        <v>661</v>
      </c>
      <c r="J950" s="1" t="s">
        <v>680</v>
      </c>
      <c r="K950" s="1" t="str">
        <f>VLOOKUP(J950,'[1]Base SCA 02 2026'!V:X,3,0)</f>
        <v>CRISOSTOMO CASTRO</v>
      </c>
      <c r="L950" s="1" t="str">
        <f>VLOOKUP(J950,'[1]Base SCA 02 2026'!V:Y,4,0)</f>
        <v>YAN SILVA</v>
      </c>
      <c r="M950" s="1" t="str">
        <f>VLOOKUP(J950,'[1]Base SCA 02 2026'!V:Z,5,0)</f>
        <v>JUNIO TEIXEIRA /GEOVANI RORIZ</v>
      </c>
      <c r="N950" s="1" t="str">
        <f t="shared" si="14"/>
        <v>JUNIO TEIXEIRA /GEOVANI RORIZ</v>
      </c>
    </row>
    <row r="951" spans="1:14" x14ac:dyDescent="0.3">
      <c r="A951" s="1">
        <v>705031</v>
      </c>
      <c r="B951" s="1" t="s">
        <v>937</v>
      </c>
      <c r="C951" s="5" t="s">
        <v>15</v>
      </c>
      <c r="D951" s="2">
        <v>45636</v>
      </c>
      <c r="E951" s="1" t="s">
        <v>31</v>
      </c>
      <c r="F951" s="1">
        <v>24201</v>
      </c>
      <c r="G951" s="1" t="s">
        <v>664</v>
      </c>
      <c r="H951" s="1" t="s">
        <v>661</v>
      </c>
      <c r="J951" s="1" t="s">
        <v>665</v>
      </c>
      <c r="K951" s="1" t="str">
        <f>VLOOKUP(J951,'[1]Base SCA 02 2026'!V:X,3,0)</f>
        <v>CRISOSTOMO CASTRO</v>
      </c>
      <c r="L951" s="1" t="str">
        <f>VLOOKUP(J951,'[1]Base SCA 02 2026'!V:Y,4,0)</f>
        <v>MATHEUS ALMEIDA</v>
      </c>
      <c r="M951" s="1" t="str">
        <f>VLOOKUP(J951,'[1]Base SCA 02 2026'!V:Z,5,0)</f>
        <v>JOSIEL NEVES</v>
      </c>
      <c r="N951" s="1" t="str">
        <f t="shared" si="14"/>
        <v>JOSIEL NEVES</v>
      </c>
    </row>
    <row r="952" spans="1:14" x14ac:dyDescent="0.3">
      <c r="A952" s="1">
        <v>705388</v>
      </c>
      <c r="B952" s="1" t="s">
        <v>1261</v>
      </c>
      <c r="C952" s="5" t="s">
        <v>15</v>
      </c>
      <c r="D952" s="2">
        <v>45784</v>
      </c>
      <c r="E952" s="1" t="s">
        <v>31</v>
      </c>
      <c r="F952" s="1">
        <v>39601</v>
      </c>
      <c r="G952" s="1" t="s">
        <v>660</v>
      </c>
      <c r="H952" s="1" t="s">
        <v>661</v>
      </c>
      <c r="J952" s="1" t="s">
        <v>684</v>
      </c>
      <c r="K952" s="1" t="str">
        <f>VLOOKUP(J952,'[1]Base SCA 02 2026'!V:X,3,0)</f>
        <v>CRISOSTOMO CASTRO</v>
      </c>
      <c r="L952" s="1" t="str">
        <f>VLOOKUP(J952,'[1]Base SCA 02 2026'!V:Y,4,0)</f>
        <v>MATHEUS ALMEIDA</v>
      </c>
      <c r="M952" s="1" t="str">
        <f>VLOOKUP(J952,'[1]Base SCA 02 2026'!V:Z,5,0)</f>
        <v>ADALTON/JANILSON RORIZ/MARIVALDO</v>
      </c>
      <c r="N952" s="1" t="str">
        <f t="shared" si="14"/>
        <v>ADALTON/JANILSON RORIZ/MARIVALDO</v>
      </c>
    </row>
    <row r="953" spans="1:14" x14ac:dyDescent="0.3">
      <c r="A953" s="1">
        <v>705553</v>
      </c>
      <c r="B953" s="1" t="s">
        <v>1339</v>
      </c>
      <c r="C953" s="5" t="s">
        <v>15</v>
      </c>
      <c r="D953" s="2">
        <v>45874</v>
      </c>
      <c r="E953" s="1" t="s">
        <v>31</v>
      </c>
      <c r="F953" s="1">
        <v>39601</v>
      </c>
      <c r="G953" s="1" t="s">
        <v>660</v>
      </c>
      <c r="H953" s="1" t="s">
        <v>661</v>
      </c>
      <c r="J953" s="1" t="s">
        <v>684</v>
      </c>
      <c r="K953" s="1" t="str">
        <f>VLOOKUP(J953,'[1]Base SCA 02 2026'!V:X,3,0)</f>
        <v>CRISOSTOMO CASTRO</v>
      </c>
      <c r="L953" s="1" t="str">
        <f>VLOOKUP(J953,'[1]Base SCA 02 2026'!V:Y,4,0)</f>
        <v>MATHEUS ALMEIDA</v>
      </c>
      <c r="M953" s="1" t="str">
        <f>VLOOKUP(J953,'[1]Base SCA 02 2026'!V:Z,5,0)</f>
        <v>ADALTON/JANILSON RORIZ/MARIVALDO</v>
      </c>
      <c r="N953" s="1" t="str">
        <f t="shared" si="14"/>
        <v>ADALTON/JANILSON RORIZ/MARIVALDO</v>
      </c>
    </row>
    <row r="954" spans="1:14" x14ac:dyDescent="0.3">
      <c r="A954" s="1">
        <v>705869</v>
      </c>
      <c r="B954" s="1" t="s">
        <v>1586</v>
      </c>
      <c r="C954" s="5" t="s">
        <v>15</v>
      </c>
      <c r="D954" s="2">
        <v>46063</v>
      </c>
      <c r="E954" s="1" t="s">
        <v>31</v>
      </c>
      <c r="F954" s="1">
        <v>24102</v>
      </c>
      <c r="G954" s="1" t="s">
        <v>669</v>
      </c>
      <c r="H954" s="1" t="s">
        <v>661</v>
      </c>
      <c r="J954" s="1" t="s">
        <v>670</v>
      </c>
      <c r="K954" s="1" t="str">
        <f>VLOOKUP(J954,'[1]Base SCA 02 2026'!V:X,3,0)</f>
        <v>CRISOSTOMO CASTRO</v>
      </c>
      <c r="L954" s="1" t="str">
        <f>VLOOKUP(J954,'[1]Base SCA 02 2026'!V:Y,4,0)</f>
        <v>YAN SILVA</v>
      </c>
      <c r="M954" s="1" t="str">
        <f>VLOOKUP(J954,'[1]Base SCA 02 2026'!V:Z,5,0)</f>
        <v>JUNIO TEIXEIRA /GEOVANI RORIZ</v>
      </c>
      <c r="N954" s="1" t="str">
        <f t="shared" si="14"/>
        <v>JUNIO TEIXEIRA /GEOVANI RORIZ</v>
      </c>
    </row>
    <row r="955" spans="1:14" x14ac:dyDescent="0.3">
      <c r="A955" s="1">
        <v>704248</v>
      </c>
      <c r="B955" s="1" t="s">
        <v>938</v>
      </c>
      <c r="C955" s="5" t="s">
        <v>15</v>
      </c>
      <c r="D955" s="2">
        <v>45342</v>
      </c>
      <c r="E955" s="1" t="s">
        <v>31</v>
      </c>
      <c r="F955" s="1">
        <v>24102</v>
      </c>
      <c r="G955" s="1" t="s">
        <v>669</v>
      </c>
      <c r="H955" s="1" t="s">
        <v>661</v>
      </c>
      <c r="J955" s="1" t="s">
        <v>680</v>
      </c>
      <c r="K955" s="1" t="str">
        <f>VLOOKUP(J955,'[1]Base SCA 02 2026'!V:X,3,0)</f>
        <v>CRISOSTOMO CASTRO</v>
      </c>
      <c r="L955" s="1" t="str">
        <f>VLOOKUP(J955,'[1]Base SCA 02 2026'!V:Y,4,0)</f>
        <v>YAN SILVA</v>
      </c>
      <c r="M955" s="1" t="str">
        <f>VLOOKUP(J955,'[1]Base SCA 02 2026'!V:Z,5,0)</f>
        <v>JUNIO TEIXEIRA /GEOVANI RORIZ</v>
      </c>
      <c r="N955" s="1" t="str">
        <f t="shared" si="14"/>
        <v>JUNIO TEIXEIRA /GEOVANI RORIZ</v>
      </c>
    </row>
    <row r="956" spans="1:14" x14ac:dyDescent="0.3">
      <c r="A956" s="1">
        <v>701353</v>
      </c>
      <c r="B956" s="1" t="s">
        <v>413</v>
      </c>
      <c r="C956" s="5" t="s">
        <v>15</v>
      </c>
      <c r="D956" s="2">
        <v>43759</v>
      </c>
      <c r="E956" s="1" t="s">
        <v>166</v>
      </c>
      <c r="F956" s="1">
        <v>24102</v>
      </c>
      <c r="G956" s="1" t="s">
        <v>669</v>
      </c>
      <c r="H956" s="1" t="s">
        <v>661</v>
      </c>
      <c r="J956" s="1" t="s">
        <v>697</v>
      </c>
      <c r="K956" s="1" t="str">
        <f>VLOOKUP(J956,'[1]Base SCA 02 2026'!V:X,3,0)</f>
        <v>CRISOSTOMO CASTRO</v>
      </c>
      <c r="L956" s="1" t="str">
        <f>VLOOKUP(J956,'[1]Base SCA 02 2026'!V:Y,4,0)</f>
        <v>JOÃO FILHO</v>
      </c>
      <c r="M956" s="1" t="str">
        <f>VLOOKUP(J956,'[1]Base SCA 02 2026'!V:Z,5,0)</f>
        <v>ALCENO JUNIOR/JOÃO MARCOS</v>
      </c>
      <c r="N956" s="1" t="str">
        <f t="shared" si="14"/>
        <v>ALCENO JUNIOR/JOÃO MARCOS</v>
      </c>
    </row>
    <row r="957" spans="1:14" x14ac:dyDescent="0.3">
      <c r="A957" s="1">
        <v>703934</v>
      </c>
      <c r="B957" s="1" t="s">
        <v>939</v>
      </c>
      <c r="C957" s="5" t="s">
        <v>15</v>
      </c>
      <c r="D957" s="2">
        <v>45089</v>
      </c>
      <c r="E957" s="1" t="s">
        <v>60</v>
      </c>
      <c r="F957" s="1">
        <v>39601</v>
      </c>
      <c r="G957" s="1" t="s">
        <v>660</v>
      </c>
      <c r="H957" s="1" t="s">
        <v>661</v>
      </c>
      <c r="J957" s="1" t="s">
        <v>684</v>
      </c>
      <c r="K957" s="1" t="str">
        <f>VLOOKUP(J957,'[1]Base SCA 02 2026'!V:X,3,0)</f>
        <v>CRISOSTOMO CASTRO</v>
      </c>
      <c r="L957" s="1" t="str">
        <f>VLOOKUP(J957,'[1]Base SCA 02 2026'!V:Y,4,0)</f>
        <v>MATHEUS ALMEIDA</v>
      </c>
      <c r="M957" s="1" t="str">
        <f>VLOOKUP(J957,'[1]Base SCA 02 2026'!V:Z,5,0)</f>
        <v>ADALTON/JANILSON RORIZ/MARIVALDO</v>
      </c>
      <c r="N957" s="1" t="str">
        <f t="shared" si="14"/>
        <v>ADALTON/JANILSON RORIZ/MARIVALDO</v>
      </c>
    </row>
    <row r="958" spans="1:14" x14ac:dyDescent="0.3">
      <c r="A958" s="1">
        <v>701381</v>
      </c>
      <c r="B958" s="1" t="s">
        <v>940</v>
      </c>
      <c r="C958" s="5" t="s">
        <v>15</v>
      </c>
      <c r="D958" s="2">
        <v>43759</v>
      </c>
      <c r="E958" s="1" t="s">
        <v>160</v>
      </c>
      <c r="F958" s="1">
        <v>32102</v>
      </c>
      <c r="G958" s="1" t="s">
        <v>674</v>
      </c>
      <c r="H958" s="1" t="s">
        <v>661</v>
      </c>
      <c r="J958" s="1" t="s">
        <v>675</v>
      </c>
      <c r="K958" s="1" t="str">
        <f>VLOOKUP(J958,'[1]Base SCA 02 2026'!V:X,3,0)</f>
        <v>RAFAEL XAVIER</v>
      </c>
      <c r="L958" s="1" t="str">
        <f>VLOOKUP(J958,'[1]Base SCA 02 2026'!V:Y,4,0)</f>
        <v>FERNANDO GUILHERME</v>
      </c>
      <c r="M958" s="1" t="str">
        <f>VLOOKUP(J958,'[1]Base SCA 02 2026'!V:Z,5,0)</f>
        <v>MARCELO DOURADO</v>
      </c>
      <c r="N958" s="1" t="str">
        <f t="shared" si="14"/>
        <v>MARCELO DOURADO</v>
      </c>
    </row>
    <row r="959" spans="1:14" x14ac:dyDescent="0.3">
      <c r="A959" s="1">
        <v>101931</v>
      </c>
      <c r="B959" s="1" t="s">
        <v>416</v>
      </c>
      <c r="C959" s="5" t="s">
        <v>233</v>
      </c>
      <c r="D959" s="2">
        <v>41143</v>
      </c>
      <c r="E959" s="1" t="s">
        <v>794</v>
      </c>
      <c r="F959" s="1">
        <v>39602</v>
      </c>
      <c r="G959" s="1" t="s">
        <v>699</v>
      </c>
      <c r="H959" s="1" t="s">
        <v>661</v>
      </c>
      <c r="J959" s="1" t="s">
        <v>700</v>
      </c>
      <c r="K959" s="1" t="str">
        <f>VLOOKUP(J959,'[1]Base SCA 02 2026'!V:X,3,0)</f>
        <v>CRISOSTOMO CASTRO</v>
      </c>
      <c r="L959" s="1" t="str">
        <f>VLOOKUP(J959,'[1]Base SCA 02 2026'!V:Y,4,0)</f>
        <v>MATHEUS ALMEIDA</v>
      </c>
      <c r="M959" s="1" t="str">
        <f>VLOOKUP(J959,'[1]Base SCA 02 2026'!V:Z,5,0)</f>
        <v>IURY GUEDES</v>
      </c>
      <c r="N959" s="1" t="str">
        <f t="shared" si="14"/>
        <v>IURY GUEDES</v>
      </c>
    </row>
    <row r="960" spans="1:14" x14ac:dyDescent="0.3">
      <c r="A960" s="1">
        <v>704437</v>
      </c>
      <c r="B960" s="1" t="s">
        <v>941</v>
      </c>
      <c r="C960" s="5" t="s">
        <v>15</v>
      </c>
      <c r="D960" s="2">
        <v>45419</v>
      </c>
      <c r="E960" s="1" t="s">
        <v>31</v>
      </c>
      <c r="F960" s="1">
        <v>38102</v>
      </c>
      <c r="G960" s="1" t="s">
        <v>725</v>
      </c>
      <c r="H960" s="1" t="s">
        <v>661</v>
      </c>
      <c r="J960" s="1" t="s">
        <v>726</v>
      </c>
      <c r="K960" s="1" t="str">
        <f>VLOOKUP(J960,'[1]Base SCA 02 2026'!V:X,3,0)</f>
        <v xml:space="preserve">LEIDJANE MARTINS </v>
      </c>
      <c r="L960" s="1" t="str">
        <f>VLOOKUP(J960,'[1]Base SCA 02 2026'!V:Y,4,0)</f>
        <v xml:space="preserve">LEIDJANE MARTINS </v>
      </c>
      <c r="M960" s="1" t="str">
        <f>VLOOKUP(J960,'[1]Base SCA 02 2026'!V:Z,5,0)</f>
        <v>DENIS ACASSIO</v>
      </c>
      <c r="N960" s="1" t="str">
        <f t="shared" si="14"/>
        <v>DENIS ACASSIO</v>
      </c>
    </row>
    <row r="961" spans="1:14" x14ac:dyDescent="0.3">
      <c r="A961" s="1">
        <v>701567</v>
      </c>
      <c r="B961" s="1" t="s">
        <v>942</v>
      </c>
      <c r="C961" s="5" t="s">
        <v>15</v>
      </c>
      <c r="D961" s="2">
        <v>43969</v>
      </c>
      <c r="E961" s="1" t="s">
        <v>146</v>
      </c>
      <c r="F961" s="1">
        <v>39601</v>
      </c>
      <c r="G961" s="1" t="s">
        <v>660</v>
      </c>
      <c r="H961" s="1" t="s">
        <v>661</v>
      </c>
      <c r="J961" s="1" t="s">
        <v>684</v>
      </c>
      <c r="K961" s="1" t="str">
        <f>VLOOKUP(J961,'[1]Base SCA 02 2026'!V:X,3,0)</f>
        <v>CRISOSTOMO CASTRO</v>
      </c>
      <c r="L961" s="1" t="str">
        <f>VLOOKUP(J961,'[1]Base SCA 02 2026'!V:Y,4,0)</f>
        <v>MATHEUS ALMEIDA</v>
      </c>
      <c r="M961" s="1" t="str">
        <f>VLOOKUP(J961,'[1]Base SCA 02 2026'!V:Z,5,0)</f>
        <v>ADALTON/JANILSON RORIZ/MARIVALDO</v>
      </c>
      <c r="N961" s="1" t="str">
        <f t="shared" si="14"/>
        <v>ADALTON/JANILSON RORIZ/MARIVALDO</v>
      </c>
    </row>
    <row r="962" spans="1:14" x14ac:dyDescent="0.3">
      <c r="A962" s="1">
        <v>703715</v>
      </c>
      <c r="B962" s="1" t="s">
        <v>943</v>
      </c>
      <c r="C962" s="5" t="s">
        <v>92</v>
      </c>
      <c r="D962" s="2">
        <v>45019</v>
      </c>
      <c r="E962" s="1" t="s">
        <v>371</v>
      </c>
      <c r="F962" s="1">
        <v>39601</v>
      </c>
      <c r="G962" s="1" t="s">
        <v>660</v>
      </c>
      <c r="H962" s="1" t="s">
        <v>661</v>
      </c>
      <c r="I962" s="2">
        <v>46058</v>
      </c>
      <c r="J962" s="1" t="s">
        <v>684</v>
      </c>
      <c r="K962" s="1" t="str">
        <f>VLOOKUP(J962,'[1]Base SCA 02 2026'!V:X,3,0)</f>
        <v>CRISOSTOMO CASTRO</v>
      </c>
      <c r="L962" s="1" t="str">
        <f>VLOOKUP(J962,'[1]Base SCA 02 2026'!V:Y,4,0)</f>
        <v>MATHEUS ALMEIDA</v>
      </c>
      <c r="M962" s="1" t="str">
        <f>VLOOKUP(J962,'[1]Base SCA 02 2026'!V:Z,5,0)</f>
        <v>ADALTON/JANILSON RORIZ/MARIVALDO</v>
      </c>
      <c r="N962" s="1" t="str">
        <f t="shared" si="14"/>
        <v>ADALTON/JANILSON RORIZ/MARIVALDO</v>
      </c>
    </row>
    <row r="963" spans="1:14" x14ac:dyDescent="0.3">
      <c r="A963" s="1">
        <v>100808</v>
      </c>
      <c r="B963" s="1" t="s">
        <v>944</v>
      </c>
      <c r="C963" s="5" t="s">
        <v>15</v>
      </c>
      <c r="D963" s="2">
        <v>42303</v>
      </c>
      <c r="E963" s="1" t="s">
        <v>734</v>
      </c>
      <c r="F963" s="1">
        <v>24201</v>
      </c>
      <c r="G963" s="1" t="s">
        <v>664</v>
      </c>
      <c r="H963" s="1" t="s">
        <v>661</v>
      </c>
      <c r="J963" s="1" t="s">
        <v>665</v>
      </c>
      <c r="K963" s="1" t="str">
        <f>VLOOKUP(J963,'[1]Base SCA 02 2026'!V:X,3,0)</f>
        <v>CRISOSTOMO CASTRO</v>
      </c>
      <c r="L963" s="1" t="str">
        <f>VLOOKUP(J963,'[1]Base SCA 02 2026'!V:Y,4,0)</f>
        <v>MATHEUS ALMEIDA</v>
      </c>
      <c r="M963" s="1" t="str">
        <f>VLOOKUP(J963,'[1]Base SCA 02 2026'!V:Z,5,0)</f>
        <v>JOSIEL NEVES</v>
      </c>
      <c r="N963" s="1" t="str">
        <f t="shared" ref="N963:N1026" si="15">IF(M963&lt;&gt;"", M963, IF(L963&lt;&gt;"", L963, K963))</f>
        <v>JOSIEL NEVES</v>
      </c>
    </row>
    <row r="964" spans="1:14" x14ac:dyDescent="0.3">
      <c r="A964" s="1">
        <v>703530</v>
      </c>
      <c r="B964" s="1" t="s">
        <v>945</v>
      </c>
      <c r="C964" s="5" t="s">
        <v>15</v>
      </c>
      <c r="D964" s="2">
        <v>44907</v>
      </c>
      <c r="E964" s="1" t="s">
        <v>146</v>
      </c>
      <c r="F964" s="1">
        <v>24102</v>
      </c>
      <c r="G964" s="1" t="s">
        <v>669</v>
      </c>
      <c r="H964" s="1" t="s">
        <v>661</v>
      </c>
      <c r="J964" s="1" t="s">
        <v>804</v>
      </c>
      <c r="K964" s="1" t="str">
        <f>VLOOKUP(J964,'[1]Base SCA 02 2026'!V:X,3,0)</f>
        <v>CRISOSTOMO CASTRO</v>
      </c>
      <c r="L964" s="1" t="str">
        <f>VLOOKUP(J964,'[1]Base SCA 02 2026'!V:Y,4,0)</f>
        <v>CRISOSTOMO CASTRO</v>
      </c>
      <c r="M964" s="1" t="str">
        <f>VLOOKUP(J964,'[1]Base SCA 02 2026'!V:Z,5,0)</f>
        <v>JAILSON RORIZ</v>
      </c>
      <c r="N964" s="1" t="str">
        <f t="shared" si="15"/>
        <v>JAILSON RORIZ</v>
      </c>
    </row>
    <row r="965" spans="1:14" x14ac:dyDescent="0.3">
      <c r="A965" s="1">
        <v>703552</v>
      </c>
      <c r="B965" s="1" t="s">
        <v>946</v>
      </c>
      <c r="C965" s="5" t="s">
        <v>15</v>
      </c>
      <c r="D965" s="2">
        <v>44935</v>
      </c>
      <c r="E965" s="1" t="s">
        <v>255</v>
      </c>
      <c r="F965" s="1">
        <v>24102</v>
      </c>
      <c r="G965" s="1" t="s">
        <v>669</v>
      </c>
      <c r="H965" s="1" t="s">
        <v>661</v>
      </c>
      <c r="J965" s="1" t="s">
        <v>680</v>
      </c>
      <c r="K965" s="1" t="str">
        <f>VLOOKUP(J965,'[1]Base SCA 02 2026'!V:X,3,0)</f>
        <v>CRISOSTOMO CASTRO</v>
      </c>
      <c r="L965" s="1" t="str">
        <f>VLOOKUP(J965,'[1]Base SCA 02 2026'!V:Y,4,0)</f>
        <v>YAN SILVA</v>
      </c>
      <c r="M965" s="1" t="str">
        <f>VLOOKUP(J965,'[1]Base SCA 02 2026'!V:Z,5,0)</f>
        <v>JUNIO TEIXEIRA /GEOVANI RORIZ</v>
      </c>
      <c r="N965" s="1" t="str">
        <f t="shared" si="15"/>
        <v>JUNIO TEIXEIRA /GEOVANI RORIZ</v>
      </c>
    </row>
    <row r="966" spans="1:14" x14ac:dyDescent="0.3">
      <c r="A966" s="1">
        <v>705867</v>
      </c>
      <c r="B966" s="1" t="s">
        <v>1587</v>
      </c>
      <c r="C966" s="5" t="s">
        <v>15</v>
      </c>
      <c r="D966" s="2">
        <v>46063</v>
      </c>
      <c r="E966" s="1" t="s">
        <v>31</v>
      </c>
      <c r="F966" s="1">
        <v>24102</v>
      </c>
      <c r="G966" s="1" t="s">
        <v>669</v>
      </c>
      <c r="H966" s="1" t="s">
        <v>661</v>
      </c>
      <c r="J966" s="1" t="s">
        <v>670</v>
      </c>
      <c r="K966" s="1" t="str">
        <f>VLOOKUP(J966,'[1]Base SCA 02 2026'!V:X,3,0)</f>
        <v>CRISOSTOMO CASTRO</v>
      </c>
      <c r="L966" s="1" t="str">
        <f>VLOOKUP(J966,'[1]Base SCA 02 2026'!V:Y,4,0)</f>
        <v>YAN SILVA</v>
      </c>
      <c r="M966" s="1" t="str">
        <f>VLOOKUP(J966,'[1]Base SCA 02 2026'!V:Z,5,0)</f>
        <v>JUNIO TEIXEIRA /GEOVANI RORIZ</v>
      </c>
      <c r="N966" s="1" t="str">
        <f t="shared" si="15"/>
        <v>JUNIO TEIXEIRA /GEOVANI RORIZ</v>
      </c>
    </row>
    <row r="967" spans="1:14" x14ac:dyDescent="0.3">
      <c r="A967" s="1">
        <v>703553</v>
      </c>
      <c r="B967" s="1" t="s">
        <v>948</v>
      </c>
      <c r="C967" s="5" t="s">
        <v>15</v>
      </c>
      <c r="D967" s="2">
        <v>44935</v>
      </c>
      <c r="E967" s="1" t="s">
        <v>138</v>
      </c>
      <c r="F967" s="1">
        <v>24102</v>
      </c>
      <c r="G967" s="1" t="s">
        <v>669</v>
      </c>
      <c r="H967" s="1" t="s">
        <v>661</v>
      </c>
      <c r="J967" s="1" t="s">
        <v>682</v>
      </c>
      <c r="K967" s="1" t="str">
        <f>VLOOKUP(J967,'[1]Base SCA 02 2026'!V:X,3,0)</f>
        <v>CRISOSTOMO CASTRO</v>
      </c>
      <c r="L967" s="1" t="str">
        <f>VLOOKUP(J967,'[1]Base SCA 02 2026'!V:Y,4,0)</f>
        <v>JOÃO FILHO</v>
      </c>
      <c r="M967" s="1" t="str">
        <f>VLOOKUP(J967,'[1]Base SCA 02 2026'!V:Z,5,0)</f>
        <v>ALCENO JUNIOR/JOÃO MARCOS</v>
      </c>
      <c r="N967" s="1" t="str">
        <f t="shared" si="15"/>
        <v>ALCENO JUNIOR/JOÃO MARCOS</v>
      </c>
    </row>
    <row r="968" spans="1:14" x14ac:dyDescent="0.3">
      <c r="A968" s="1">
        <v>705174</v>
      </c>
      <c r="B968" s="1" t="s">
        <v>1174</v>
      </c>
      <c r="C968" s="5" t="s">
        <v>15</v>
      </c>
      <c r="D968" s="2">
        <v>45726</v>
      </c>
      <c r="E968" s="1" t="s">
        <v>138</v>
      </c>
      <c r="F968" s="1">
        <v>24102</v>
      </c>
      <c r="G968" s="1" t="s">
        <v>669</v>
      </c>
      <c r="H968" s="1" t="s">
        <v>661</v>
      </c>
      <c r="J968" s="1" t="s">
        <v>697</v>
      </c>
      <c r="K968" s="1" t="str">
        <f>VLOOKUP(J968,'[1]Base SCA 02 2026'!V:X,3,0)</f>
        <v>CRISOSTOMO CASTRO</v>
      </c>
      <c r="L968" s="1" t="str">
        <f>VLOOKUP(J968,'[1]Base SCA 02 2026'!V:Y,4,0)</f>
        <v>JOÃO FILHO</v>
      </c>
      <c r="M968" s="1" t="str">
        <f>VLOOKUP(J968,'[1]Base SCA 02 2026'!V:Z,5,0)</f>
        <v>ALCENO JUNIOR/JOÃO MARCOS</v>
      </c>
      <c r="N968" s="1" t="str">
        <f t="shared" si="15"/>
        <v>ALCENO JUNIOR/JOÃO MARCOS</v>
      </c>
    </row>
    <row r="969" spans="1:14" x14ac:dyDescent="0.3">
      <c r="A969" s="1">
        <v>703422</v>
      </c>
      <c r="B969" s="1" t="s">
        <v>949</v>
      </c>
      <c r="C969" s="5" t="s">
        <v>15</v>
      </c>
      <c r="D969" s="2">
        <v>44873</v>
      </c>
      <c r="E969" s="1" t="s">
        <v>16</v>
      </c>
      <c r="F969" s="1">
        <v>24102</v>
      </c>
      <c r="G969" s="1" t="s">
        <v>669</v>
      </c>
      <c r="H969" s="1" t="s">
        <v>661</v>
      </c>
      <c r="J969" s="1" t="s">
        <v>682</v>
      </c>
      <c r="K969" s="1" t="str">
        <f>VLOOKUP(J969,'[1]Base SCA 02 2026'!V:X,3,0)</f>
        <v>CRISOSTOMO CASTRO</v>
      </c>
      <c r="L969" s="1" t="str">
        <f>VLOOKUP(J969,'[1]Base SCA 02 2026'!V:Y,4,0)</f>
        <v>JOÃO FILHO</v>
      </c>
      <c r="M969" s="1" t="str">
        <f>VLOOKUP(J969,'[1]Base SCA 02 2026'!V:Z,5,0)</f>
        <v>ALCENO JUNIOR/JOÃO MARCOS</v>
      </c>
      <c r="N969" s="1" t="str">
        <f t="shared" si="15"/>
        <v>ALCENO JUNIOR/JOÃO MARCOS</v>
      </c>
    </row>
    <row r="970" spans="1:14" x14ac:dyDescent="0.3">
      <c r="A970" s="1">
        <v>705053</v>
      </c>
      <c r="B970" s="1" t="s">
        <v>950</v>
      </c>
      <c r="C970" s="5" t="s">
        <v>92</v>
      </c>
      <c r="D970" s="2">
        <v>45643</v>
      </c>
      <c r="E970" s="1" t="s">
        <v>31</v>
      </c>
      <c r="F970" s="1">
        <v>39601</v>
      </c>
      <c r="G970" s="1" t="s">
        <v>660</v>
      </c>
      <c r="H970" s="1" t="s">
        <v>661</v>
      </c>
      <c r="I970" s="2">
        <v>46058</v>
      </c>
      <c r="J970" s="1" t="s">
        <v>684</v>
      </c>
      <c r="K970" s="1" t="str">
        <f>VLOOKUP(J970,'[1]Base SCA 02 2026'!V:X,3,0)</f>
        <v>CRISOSTOMO CASTRO</v>
      </c>
      <c r="L970" s="1" t="str">
        <f>VLOOKUP(J970,'[1]Base SCA 02 2026'!V:Y,4,0)</f>
        <v>MATHEUS ALMEIDA</v>
      </c>
      <c r="M970" s="1" t="str">
        <f>VLOOKUP(J970,'[1]Base SCA 02 2026'!V:Z,5,0)</f>
        <v>ADALTON/JANILSON RORIZ/MARIVALDO</v>
      </c>
      <c r="N970" s="1" t="str">
        <f t="shared" si="15"/>
        <v>ADALTON/JANILSON RORIZ/MARIVALDO</v>
      </c>
    </row>
    <row r="971" spans="1:14" x14ac:dyDescent="0.3">
      <c r="A971" s="1">
        <v>704315</v>
      </c>
      <c r="B971" s="1" t="s">
        <v>951</v>
      </c>
      <c r="C971" s="5" t="s">
        <v>15</v>
      </c>
      <c r="D971" s="2">
        <v>45356</v>
      </c>
      <c r="E971" s="1" t="s">
        <v>31</v>
      </c>
      <c r="F971" s="1">
        <v>24102</v>
      </c>
      <c r="G971" s="1" t="s">
        <v>669</v>
      </c>
      <c r="H971" s="1" t="s">
        <v>661</v>
      </c>
      <c r="J971" s="1" t="s">
        <v>672</v>
      </c>
      <c r="K971" s="1" t="str">
        <f>VLOOKUP(J971,'[1]Base SCA 02 2026'!V:X,3,0)</f>
        <v>CRISOSTOMO CASTRO</v>
      </c>
      <c r="L971" s="1" t="str">
        <f>VLOOKUP(J971,'[1]Base SCA 02 2026'!V:Y,4,0)</f>
        <v>YAN SILVA</v>
      </c>
      <c r="M971" s="1" t="str">
        <f>VLOOKUP(J971,'[1]Base SCA 02 2026'!V:Z,5,0)</f>
        <v>JUNIO TEIXEIRA /GEOVANI RORIZ</v>
      </c>
      <c r="N971" s="1" t="str">
        <f t="shared" si="15"/>
        <v>JUNIO TEIXEIRA /GEOVANI RORIZ</v>
      </c>
    </row>
    <row r="972" spans="1:14" x14ac:dyDescent="0.3">
      <c r="A972" s="1">
        <v>702385</v>
      </c>
      <c r="B972" s="1" t="s">
        <v>952</v>
      </c>
      <c r="C972" s="5" t="s">
        <v>15</v>
      </c>
      <c r="D972" s="2">
        <v>44369</v>
      </c>
      <c r="E972" s="1" t="s">
        <v>109</v>
      </c>
      <c r="F972" s="1">
        <v>32102</v>
      </c>
      <c r="G972" s="1" t="s">
        <v>674</v>
      </c>
      <c r="H972" s="1" t="s">
        <v>661</v>
      </c>
      <c r="J972" s="1" t="s">
        <v>675</v>
      </c>
      <c r="K972" s="1" t="str">
        <f>VLOOKUP(J972,'[1]Base SCA 02 2026'!V:X,3,0)</f>
        <v>RAFAEL XAVIER</v>
      </c>
      <c r="L972" s="1" t="str">
        <f>VLOOKUP(J972,'[1]Base SCA 02 2026'!V:Y,4,0)</f>
        <v>FERNANDO GUILHERME</v>
      </c>
      <c r="M972" s="1" t="str">
        <f>VLOOKUP(J972,'[1]Base SCA 02 2026'!V:Z,5,0)</f>
        <v>MARCELO DOURADO</v>
      </c>
      <c r="N972" s="1" t="str">
        <f t="shared" si="15"/>
        <v>MARCELO DOURADO</v>
      </c>
    </row>
    <row r="973" spans="1:14" x14ac:dyDescent="0.3">
      <c r="A973" s="1">
        <v>704398</v>
      </c>
      <c r="B973" s="1" t="s">
        <v>953</v>
      </c>
      <c r="C973" s="5" t="s">
        <v>15</v>
      </c>
      <c r="D973" s="2">
        <v>45391</v>
      </c>
      <c r="E973" s="1" t="s">
        <v>371</v>
      </c>
      <c r="F973" s="1">
        <v>39601</v>
      </c>
      <c r="G973" s="1" t="s">
        <v>660</v>
      </c>
      <c r="H973" s="1" t="s">
        <v>661</v>
      </c>
      <c r="J973" s="1" t="s">
        <v>662</v>
      </c>
      <c r="K973" s="1" t="str">
        <f>VLOOKUP(J973,'[1]Base SCA 02 2026'!V:X,3,0)</f>
        <v>CRISOSTOMO CASTRO</v>
      </c>
      <c r="L973" s="1" t="str">
        <f>VLOOKUP(J973,'[1]Base SCA 02 2026'!V:Y,4,0)</f>
        <v>MATHEUS ALMEIDA</v>
      </c>
      <c r="N973" s="1" t="str">
        <f t="shared" si="15"/>
        <v>MATHEUS ALMEIDA</v>
      </c>
    </row>
    <row r="974" spans="1:14" x14ac:dyDescent="0.3">
      <c r="A974" s="1">
        <v>704014</v>
      </c>
      <c r="B974" s="1" t="s">
        <v>954</v>
      </c>
      <c r="C974" s="5" t="s">
        <v>15</v>
      </c>
      <c r="D974" s="2">
        <v>45146</v>
      </c>
      <c r="E974" s="1" t="s">
        <v>60</v>
      </c>
      <c r="F974" s="1">
        <v>39601</v>
      </c>
      <c r="G974" s="1" t="s">
        <v>660</v>
      </c>
      <c r="H974" s="1" t="s">
        <v>661</v>
      </c>
      <c r="J974" s="1" t="s">
        <v>684</v>
      </c>
      <c r="K974" s="1" t="str">
        <f>VLOOKUP(J974,'[1]Base SCA 02 2026'!V:X,3,0)</f>
        <v>CRISOSTOMO CASTRO</v>
      </c>
      <c r="L974" s="1" t="str">
        <f>VLOOKUP(J974,'[1]Base SCA 02 2026'!V:Y,4,0)</f>
        <v>MATHEUS ALMEIDA</v>
      </c>
      <c r="M974" s="1" t="str">
        <f>VLOOKUP(J974,'[1]Base SCA 02 2026'!V:Z,5,0)</f>
        <v>ADALTON/JANILSON RORIZ/MARIVALDO</v>
      </c>
      <c r="N974" s="1" t="str">
        <f t="shared" si="15"/>
        <v>ADALTON/JANILSON RORIZ/MARIVALDO</v>
      </c>
    </row>
    <row r="975" spans="1:14" x14ac:dyDescent="0.3">
      <c r="A975" s="1">
        <v>702992</v>
      </c>
      <c r="B975" s="1" t="s">
        <v>955</v>
      </c>
      <c r="C975" s="5" t="s">
        <v>15</v>
      </c>
      <c r="D975" s="2">
        <v>44691</v>
      </c>
      <c r="E975" s="1" t="s">
        <v>507</v>
      </c>
      <c r="F975" s="1">
        <v>24201</v>
      </c>
      <c r="G975" s="1" t="s">
        <v>664</v>
      </c>
      <c r="H975" s="1" t="s">
        <v>661</v>
      </c>
      <c r="J975" s="1" t="s">
        <v>665</v>
      </c>
      <c r="K975" s="1" t="str">
        <f>VLOOKUP(J975,'[1]Base SCA 02 2026'!V:X,3,0)</f>
        <v>CRISOSTOMO CASTRO</v>
      </c>
      <c r="L975" s="1" t="str">
        <f>VLOOKUP(J975,'[1]Base SCA 02 2026'!V:Y,4,0)</f>
        <v>MATHEUS ALMEIDA</v>
      </c>
      <c r="M975" s="1" t="str">
        <f>VLOOKUP(J975,'[1]Base SCA 02 2026'!V:Z,5,0)</f>
        <v>JOSIEL NEVES</v>
      </c>
      <c r="N975" s="1" t="str">
        <f t="shared" si="15"/>
        <v>JOSIEL NEVES</v>
      </c>
    </row>
    <row r="976" spans="1:14" x14ac:dyDescent="0.3">
      <c r="A976" s="1">
        <v>704575</v>
      </c>
      <c r="B976" s="1" t="s">
        <v>956</v>
      </c>
      <c r="C976" s="5" t="s">
        <v>15</v>
      </c>
      <c r="D976" s="2">
        <v>45448</v>
      </c>
      <c r="E976" s="1" t="s">
        <v>427</v>
      </c>
      <c r="F976" s="1">
        <v>39602</v>
      </c>
      <c r="G976" s="1" t="s">
        <v>699</v>
      </c>
      <c r="H976" s="1" t="s">
        <v>661</v>
      </c>
      <c r="J976" s="1" t="s">
        <v>700</v>
      </c>
      <c r="K976" s="1" t="str">
        <f>VLOOKUP(J976,'[1]Base SCA 02 2026'!V:X,3,0)</f>
        <v>CRISOSTOMO CASTRO</v>
      </c>
      <c r="L976" s="1" t="str">
        <f>VLOOKUP(J976,'[1]Base SCA 02 2026'!V:Y,4,0)</f>
        <v>MATHEUS ALMEIDA</v>
      </c>
      <c r="M976" s="1" t="str">
        <f>VLOOKUP(J976,'[1]Base SCA 02 2026'!V:Z,5,0)</f>
        <v>IURY GUEDES</v>
      </c>
      <c r="N976" s="1" t="str">
        <f t="shared" si="15"/>
        <v>IURY GUEDES</v>
      </c>
    </row>
    <row r="977" spans="1:14" x14ac:dyDescent="0.3">
      <c r="A977" s="1">
        <v>702818</v>
      </c>
      <c r="B977" s="1" t="s">
        <v>957</v>
      </c>
      <c r="C977" s="5" t="s">
        <v>15</v>
      </c>
      <c r="D977" s="2">
        <v>44614</v>
      </c>
      <c r="E977" s="1" t="s">
        <v>31</v>
      </c>
      <c r="F977" s="1">
        <v>24102</v>
      </c>
      <c r="G977" s="1" t="s">
        <v>669</v>
      </c>
      <c r="H977" s="1" t="s">
        <v>661</v>
      </c>
      <c r="J977" s="1" t="s">
        <v>672</v>
      </c>
      <c r="K977" s="1" t="str">
        <f>VLOOKUP(J977,'[1]Base SCA 02 2026'!V:X,3,0)</f>
        <v>CRISOSTOMO CASTRO</v>
      </c>
      <c r="L977" s="1" t="str">
        <f>VLOOKUP(J977,'[1]Base SCA 02 2026'!V:Y,4,0)</f>
        <v>YAN SILVA</v>
      </c>
      <c r="M977" s="1" t="str">
        <f>VLOOKUP(J977,'[1]Base SCA 02 2026'!V:Z,5,0)</f>
        <v>JUNIO TEIXEIRA /GEOVANI RORIZ</v>
      </c>
      <c r="N977" s="1" t="str">
        <f t="shared" si="15"/>
        <v>JUNIO TEIXEIRA /GEOVANI RORIZ</v>
      </c>
    </row>
    <row r="978" spans="1:14" x14ac:dyDescent="0.3">
      <c r="A978" s="1">
        <v>101714</v>
      </c>
      <c r="B978" s="1" t="s">
        <v>958</v>
      </c>
      <c r="C978" s="5" t="s">
        <v>15</v>
      </c>
      <c r="D978" s="2">
        <v>43060</v>
      </c>
      <c r="E978" s="1" t="s">
        <v>219</v>
      </c>
      <c r="F978" s="1">
        <v>32102</v>
      </c>
      <c r="G978" s="1" t="s">
        <v>674</v>
      </c>
      <c r="H978" s="1" t="s">
        <v>661</v>
      </c>
      <c r="J978" s="1" t="s">
        <v>675</v>
      </c>
      <c r="K978" s="1" t="str">
        <f>VLOOKUP(J978,'[1]Base SCA 02 2026'!V:X,3,0)</f>
        <v>RAFAEL XAVIER</v>
      </c>
      <c r="L978" s="1" t="str">
        <f>VLOOKUP(J978,'[1]Base SCA 02 2026'!V:Y,4,0)</f>
        <v>FERNANDO GUILHERME</v>
      </c>
      <c r="M978" s="1" t="str">
        <f>VLOOKUP(J978,'[1]Base SCA 02 2026'!V:Z,5,0)</f>
        <v>MARCELO DOURADO</v>
      </c>
      <c r="N978" s="1" t="str">
        <f t="shared" si="15"/>
        <v>MARCELO DOURADO</v>
      </c>
    </row>
    <row r="979" spans="1:14" x14ac:dyDescent="0.3">
      <c r="A979" s="1">
        <v>701030</v>
      </c>
      <c r="B979" s="1" t="s">
        <v>959</v>
      </c>
      <c r="C979" s="5" t="s">
        <v>15</v>
      </c>
      <c r="D979" s="2">
        <v>43605</v>
      </c>
      <c r="E979" s="1" t="s">
        <v>60</v>
      </c>
      <c r="F979" s="1">
        <v>24102</v>
      </c>
      <c r="G979" s="1" t="s">
        <v>669</v>
      </c>
      <c r="H979" s="1" t="s">
        <v>661</v>
      </c>
      <c r="J979" s="1" t="s">
        <v>697</v>
      </c>
      <c r="K979" s="1" t="str">
        <f>VLOOKUP(J979,'[1]Base SCA 02 2026'!V:X,3,0)</f>
        <v>CRISOSTOMO CASTRO</v>
      </c>
      <c r="L979" s="1" t="str">
        <f>VLOOKUP(J979,'[1]Base SCA 02 2026'!V:Y,4,0)</f>
        <v>JOÃO FILHO</v>
      </c>
      <c r="M979" s="1" t="str">
        <f>VLOOKUP(J979,'[1]Base SCA 02 2026'!V:Z,5,0)</f>
        <v>ALCENO JUNIOR/JOÃO MARCOS</v>
      </c>
      <c r="N979" s="1" t="str">
        <f t="shared" si="15"/>
        <v>ALCENO JUNIOR/JOÃO MARCOS</v>
      </c>
    </row>
    <row r="980" spans="1:14" x14ac:dyDescent="0.3">
      <c r="A980" s="1">
        <v>703631</v>
      </c>
      <c r="B980" s="1" t="s">
        <v>960</v>
      </c>
      <c r="C980" s="5" t="s">
        <v>15</v>
      </c>
      <c r="D980" s="2">
        <v>44991</v>
      </c>
      <c r="E980" s="1" t="s">
        <v>60</v>
      </c>
      <c r="F980" s="1">
        <v>24102</v>
      </c>
      <c r="G980" s="1" t="s">
        <v>669</v>
      </c>
      <c r="H980" s="1" t="s">
        <v>661</v>
      </c>
      <c r="J980" s="1" t="s">
        <v>697</v>
      </c>
      <c r="K980" s="1" t="str">
        <f>VLOOKUP(J980,'[1]Base SCA 02 2026'!V:X,3,0)</f>
        <v>CRISOSTOMO CASTRO</v>
      </c>
      <c r="L980" s="1" t="str">
        <f>VLOOKUP(J980,'[1]Base SCA 02 2026'!V:Y,4,0)</f>
        <v>JOÃO FILHO</v>
      </c>
      <c r="M980" s="1" t="str">
        <f>VLOOKUP(J980,'[1]Base SCA 02 2026'!V:Z,5,0)</f>
        <v>ALCENO JUNIOR/JOÃO MARCOS</v>
      </c>
      <c r="N980" s="1" t="str">
        <f t="shared" si="15"/>
        <v>ALCENO JUNIOR/JOÃO MARCOS</v>
      </c>
    </row>
    <row r="981" spans="1:14" x14ac:dyDescent="0.3">
      <c r="A981" s="1">
        <v>705267</v>
      </c>
      <c r="B981" s="1" t="s">
        <v>1201</v>
      </c>
      <c r="C981" s="5" t="s">
        <v>15</v>
      </c>
      <c r="D981" s="2">
        <v>45762</v>
      </c>
      <c r="E981" s="1" t="s">
        <v>31</v>
      </c>
      <c r="F981" s="1">
        <v>24102</v>
      </c>
      <c r="G981" s="1" t="s">
        <v>669</v>
      </c>
      <c r="H981" s="1" t="s">
        <v>661</v>
      </c>
      <c r="J981" s="1" t="s">
        <v>670</v>
      </c>
      <c r="K981" s="1" t="str">
        <f>VLOOKUP(J981,'[1]Base SCA 02 2026'!V:X,3,0)</f>
        <v>CRISOSTOMO CASTRO</v>
      </c>
      <c r="L981" s="1" t="str">
        <f>VLOOKUP(J981,'[1]Base SCA 02 2026'!V:Y,4,0)</f>
        <v>YAN SILVA</v>
      </c>
      <c r="M981" s="1" t="str">
        <f>VLOOKUP(J981,'[1]Base SCA 02 2026'!V:Z,5,0)</f>
        <v>JUNIO TEIXEIRA /GEOVANI RORIZ</v>
      </c>
      <c r="N981" s="1" t="str">
        <f t="shared" si="15"/>
        <v>JUNIO TEIXEIRA /GEOVANI RORIZ</v>
      </c>
    </row>
    <row r="982" spans="1:14" x14ac:dyDescent="0.3">
      <c r="A982" s="1">
        <v>704508</v>
      </c>
      <c r="B982" s="1" t="s">
        <v>961</v>
      </c>
      <c r="C982" s="5" t="s">
        <v>15</v>
      </c>
      <c r="D982" s="2">
        <v>45419</v>
      </c>
      <c r="E982" s="1" t="s">
        <v>129</v>
      </c>
      <c r="F982" s="1">
        <v>31103</v>
      </c>
      <c r="G982" s="1" t="s">
        <v>718</v>
      </c>
      <c r="H982" s="1" t="s">
        <v>661</v>
      </c>
      <c r="J982" s="1" t="s">
        <v>719</v>
      </c>
      <c r="K982" s="1" t="str">
        <f>VLOOKUP(J982,'[1]Base SCA 02 2026'!V:X,3,0)</f>
        <v xml:space="preserve">GISELE NASCENTE </v>
      </c>
      <c r="L982" s="1" t="str">
        <f>VLOOKUP(J982,'[1]Base SCA 02 2026'!V:Y,4,0)</f>
        <v xml:space="preserve">GISELE NASCENTE </v>
      </c>
      <c r="M982" s="1" t="str">
        <f>VLOOKUP(J982,'[1]Base SCA 02 2026'!V:Z,5,0)</f>
        <v>MARCOS OLIVEIRA</v>
      </c>
      <c r="N982" s="1" t="str">
        <f t="shared" si="15"/>
        <v>MARCOS OLIVEIRA</v>
      </c>
    </row>
    <row r="983" spans="1:14" x14ac:dyDescent="0.3">
      <c r="A983" s="1">
        <v>703790</v>
      </c>
      <c r="B983" s="1" t="s">
        <v>962</v>
      </c>
      <c r="C983" s="5" t="s">
        <v>15</v>
      </c>
      <c r="D983" s="2">
        <v>45019</v>
      </c>
      <c r="E983" s="1" t="s">
        <v>371</v>
      </c>
      <c r="F983" s="1">
        <v>39601</v>
      </c>
      <c r="G983" s="1" t="s">
        <v>660</v>
      </c>
      <c r="H983" s="1" t="s">
        <v>661</v>
      </c>
      <c r="J983" s="1" t="s">
        <v>662</v>
      </c>
      <c r="K983" s="1" t="str">
        <f>VLOOKUP(J983,'[1]Base SCA 02 2026'!V:X,3,0)</f>
        <v>CRISOSTOMO CASTRO</v>
      </c>
      <c r="L983" s="1" t="str">
        <f>VLOOKUP(J983,'[1]Base SCA 02 2026'!V:Y,4,0)</f>
        <v>MATHEUS ALMEIDA</v>
      </c>
      <c r="N983" s="1" t="str">
        <f t="shared" si="15"/>
        <v>MATHEUS ALMEIDA</v>
      </c>
    </row>
    <row r="984" spans="1:14" x14ac:dyDescent="0.3">
      <c r="A984" s="1">
        <v>703554</v>
      </c>
      <c r="B984" s="1" t="s">
        <v>963</v>
      </c>
      <c r="C984" s="5" t="s">
        <v>15</v>
      </c>
      <c r="D984" s="2">
        <v>44935</v>
      </c>
      <c r="E984" s="1" t="s">
        <v>146</v>
      </c>
      <c r="F984" s="1">
        <v>24201</v>
      </c>
      <c r="G984" s="1" t="s">
        <v>664</v>
      </c>
      <c r="H984" s="1" t="s">
        <v>661</v>
      </c>
      <c r="J984" s="1" t="s">
        <v>665</v>
      </c>
      <c r="K984" s="1" t="str">
        <f>VLOOKUP(J984,'[1]Base SCA 02 2026'!V:X,3,0)</f>
        <v>CRISOSTOMO CASTRO</v>
      </c>
      <c r="L984" s="1" t="str">
        <f>VLOOKUP(J984,'[1]Base SCA 02 2026'!V:Y,4,0)</f>
        <v>MATHEUS ALMEIDA</v>
      </c>
      <c r="M984" s="1" t="str">
        <f>VLOOKUP(J984,'[1]Base SCA 02 2026'!V:Z,5,0)</f>
        <v>JOSIEL NEVES</v>
      </c>
      <c r="N984" s="1" t="str">
        <f t="shared" si="15"/>
        <v>JOSIEL NEVES</v>
      </c>
    </row>
    <row r="985" spans="1:14" x14ac:dyDescent="0.3">
      <c r="A985" s="1">
        <v>705538</v>
      </c>
      <c r="B985" s="1" t="s">
        <v>1340</v>
      </c>
      <c r="C985" s="5" t="s">
        <v>92</v>
      </c>
      <c r="D985" s="2">
        <v>45874</v>
      </c>
      <c r="E985" s="1" t="s">
        <v>31</v>
      </c>
      <c r="F985" s="1">
        <v>39601</v>
      </c>
      <c r="G985" s="1" t="s">
        <v>660</v>
      </c>
      <c r="H985" s="1" t="s">
        <v>661</v>
      </c>
      <c r="I985" s="2">
        <v>46058</v>
      </c>
      <c r="J985" s="1" t="s">
        <v>684</v>
      </c>
      <c r="K985" s="1" t="str">
        <f>VLOOKUP(J985,'[1]Base SCA 02 2026'!V:X,3,0)</f>
        <v>CRISOSTOMO CASTRO</v>
      </c>
      <c r="L985" s="1" t="str">
        <f>VLOOKUP(J985,'[1]Base SCA 02 2026'!V:Y,4,0)</f>
        <v>MATHEUS ALMEIDA</v>
      </c>
      <c r="M985" s="1" t="str">
        <f>VLOOKUP(J985,'[1]Base SCA 02 2026'!V:Z,5,0)</f>
        <v>ADALTON/JANILSON RORIZ/MARIVALDO</v>
      </c>
      <c r="N985" s="1" t="str">
        <f t="shared" si="15"/>
        <v>ADALTON/JANILSON RORIZ/MARIVALDO</v>
      </c>
    </row>
    <row r="986" spans="1:14" x14ac:dyDescent="0.3">
      <c r="A986" s="1">
        <v>705297</v>
      </c>
      <c r="B986" s="1" t="s">
        <v>1202</v>
      </c>
      <c r="C986" s="5" t="s">
        <v>15</v>
      </c>
      <c r="D986" s="2">
        <v>45762</v>
      </c>
      <c r="E986" s="1" t="s">
        <v>31</v>
      </c>
      <c r="F986" s="1">
        <v>39601</v>
      </c>
      <c r="G986" s="1" t="s">
        <v>660</v>
      </c>
      <c r="H986" s="1" t="s">
        <v>661</v>
      </c>
      <c r="J986" s="1" t="s">
        <v>684</v>
      </c>
      <c r="K986" s="1" t="str">
        <f>VLOOKUP(J986,'[1]Base SCA 02 2026'!V:X,3,0)</f>
        <v>CRISOSTOMO CASTRO</v>
      </c>
      <c r="L986" s="1" t="str">
        <f>VLOOKUP(J986,'[1]Base SCA 02 2026'!V:Y,4,0)</f>
        <v>MATHEUS ALMEIDA</v>
      </c>
      <c r="M986" s="1" t="str">
        <f>VLOOKUP(J986,'[1]Base SCA 02 2026'!V:Z,5,0)</f>
        <v>ADALTON/JANILSON RORIZ/MARIVALDO</v>
      </c>
      <c r="N986" s="1" t="str">
        <f t="shared" si="15"/>
        <v>ADALTON/JANILSON RORIZ/MARIVALDO</v>
      </c>
    </row>
    <row r="987" spans="1:14" x14ac:dyDescent="0.3">
      <c r="A987" s="1">
        <v>705295</v>
      </c>
      <c r="B987" s="1" t="s">
        <v>1203</v>
      </c>
      <c r="C987" s="5" t="s">
        <v>15</v>
      </c>
      <c r="D987" s="2">
        <v>45762</v>
      </c>
      <c r="E987" s="1" t="s">
        <v>31</v>
      </c>
      <c r="F987" s="1">
        <v>39601</v>
      </c>
      <c r="G987" s="1" t="s">
        <v>660</v>
      </c>
      <c r="H987" s="1" t="s">
        <v>661</v>
      </c>
      <c r="J987" s="1" t="s">
        <v>684</v>
      </c>
      <c r="K987" s="1" t="str">
        <f>VLOOKUP(J987,'[1]Base SCA 02 2026'!V:X,3,0)</f>
        <v>CRISOSTOMO CASTRO</v>
      </c>
      <c r="L987" s="1" t="str">
        <f>VLOOKUP(J987,'[1]Base SCA 02 2026'!V:Y,4,0)</f>
        <v>MATHEUS ALMEIDA</v>
      </c>
      <c r="M987" s="1" t="str">
        <f>VLOOKUP(J987,'[1]Base SCA 02 2026'!V:Z,5,0)</f>
        <v>ADALTON/JANILSON RORIZ/MARIVALDO</v>
      </c>
      <c r="N987" s="1" t="str">
        <f t="shared" si="15"/>
        <v>ADALTON/JANILSON RORIZ/MARIVALDO</v>
      </c>
    </row>
    <row r="988" spans="1:14" x14ac:dyDescent="0.3">
      <c r="A988" s="1">
        <v>703655</v>
      </c>
      <c r="B988" s="1" t="s">
        <v>964</v>
      </c>
      <c r="C988" s="5" t="s">
        <v>15</v>
      </c>
      <c r="D988" s="2">
        <v>44998</v>
      </c>
      <c r="E988" s="1" t="s">
        <v>31</v>
      </c>
      <c r="F988" s="1">
        <v>24102</v>
      </c>
      <c r="G988" s="1" t="s">
        <v>669</v>
      </c>
      <c r="H988" s="1" t="s">
        <v>661</v>
      </c>
      <c r="J988" s="1" t="s">
        <v>680</v>
      </c>
      <c r="K988" s="1" t="str">
        <f>VLOOKUP(J988,'[1]Base SCA 02 2026'!V:X,3,0)</f>
        <v>CRISOSTOMO CASTRO</v>
      </c>
      <c r="L988" s="1" t="str">
        <f>VLOOKUP(J988,'[1]Base SCA 02 2026'!V:Y,4,0)</f>
        <v>YAN SILVA</v>
      </c>
      <c r="M988" s="1" t="str">
        <f>VLOOKUP(J988,'[1]Base SCA 02 2026'!V:Z,5,0)</f>
        <v>JUNIO TEIXEIRA /GEOVANI RORIZ</v>
      </c>
      <c r="N988" s="1" t="str">
        <f t="shared" si="15"/>
        <v>JUNIO TEIXEIRA /GEOVANI RORIZ</v>
      </c>
    </row>
    <row r="989" spans="1:14" x14ac:dyDescent="0.3">
      <c r="A989" s="1">
        <v>701675</v>
      </c>
      <c r="B989" s="1" t="s">
        <v>965</v>
      </c>
      <c r="C989" s="5" t="s">
        <v>15</v>
      </c>
      <c r="D989" s="2">
        <v>44019</v>
      </c>
      <c r="E989" s="1" t="s">
        <v>166</v>
      </c>
      <c r="F989" s="1">
        <v>24102</v>
      </c>
      <c r="G989" s="1" t="s">
        <v>669</v>
      </c>
      <c r="H989" s="1" t="s">
        <v>661</v>
      </c>
      <c r="J989" s="1" t="s">
        <v>697</v>
      </c>
      <c r="K989" s="1" t="str">
        <f>VLOOKUP(J989,'[1]Base SCA 02 2026'!V:X,3,0)</f>
        <v>CRISOSTOMO CASTRO</v>
      </c>
      <c r="L989" s="1" t="str">
        <f>VLOOKUP(J989,'[1]Base SCA 02 2026'!V:Y,4,0)</f>
        <v>JOÃO FILHO</v>
      </c>
      <c r="M989" s="1" t="str">
        <f>VLOOKUP(J989,'[1]Base SCA 02 2026'!V:Z,5,0)</f>
        <v>ALCENO JUNIOR/JOÃO MARCOS</v>
      </c>
      <c r="N989" s="1" t="str">
        <f t="shared" si="15"/>
        <v>ALCENO JUNIOR/JOÃO MARCOS</v>
      </c>
    </row>
    <row r="990" spans="1:14" x14ac:dyDescent="0.3">
      <c r="A990" s="1">
        <v>705886</v>
      </c>
      <c r="B990" s="1" t="s">
        <v>1588</v>
      </c>
      <c r="C990" s="5" t="s">
        <v>15</v>
      </c>
      <c r="D990" s="2">
        <v>46063</v>
      </c>
      <c r="E990" s="1" t="s">
        <v>1589</v>
      </c>
      <c r="F990" s="1">
        <v>31103</v>
      </c>
      <c r="G990" s="1" t="s">
        <v>718</v>
      </c>
      <c r="H990" s="1" t="s">
        <v>661</v>
      </c>
      <c r="J990" s="1" t="s">
        <v>719</v>
      </c>
      <c r="K990" s="1" t="str">
        <f>VLOOKUP(J990,'[1]Base SCA 02 2026'!V:X,3,0)</f>
        <v xml:space="preserve">GISELE NASCENTE </v>
      </c>
      <c r="L990" s="1" t="str">
        <f>VLOOKUP(J990,'[1]Base SCA 02 2026'!V:Y,4,0)</f>
        <v xml:space="preserve">GISELE NASCENTE </v>
      </c>
      <c r="M990" s="1" t="str">
        <f>VLOOKUP(J990,'[1]Base SCA 02 2026'!V:Z,5,0)</f>
        <v>MARCOS OLIVEIRA</v>
      </c>
      <c r="N990" s="1" t="str">
        <f t="shared" si="15"/>
        <v>MARCOS OLIVEIRA</v>
      </c>
    </row>
    <row r="991" spans="1:14" x14ac:dyDescent="0.3">
      <c r="A991" s="1">
        <v>704241</v>
      </c>
      <c r="B991" s="1" t="s">
        <v>966</v>
      </c>
      <c r="C991" s="5" t="s">
        <v>15</v>
      </c>
      <c r="D991" s="2">
        <v>45335</v>
      </c>
      <c r="E991" s="1" t="s">
        <v>141</v>
      </c>
      <c r="F991" s="1">
        <v>24102</v>
      </c>
      <c r="G991" s="1" t="s">
        <v>669</v>
      </c>
      <c r="H991" s="1" t="s">
        <v>661</v>
      </c>
      <c r="J991" s="1" t="s">
        <v>672</v>
      </c>
      <c r="K991" s="1" t="str">
        <f>VLOOKUP(J991,'[1]Base SCA 02 2026'!V:X,3,0)</f>
        <v>CRISOSTOMO CASTRO</v>
      </c>
      <c r="L991" s="1" t="str">
        <f>VLOOKUP(J991,'[1]Base SCA 02 2026'!V:Y,4,0)</f>
        <v>YAN SILVA</v>
      </c>
      <c r="M991" s="1" t="str">
        <f>VLOOKUP(J991,'[1]Base SCA 02 2026'!V:Z,5,0)</f>
        <v>JUNIO TEIXEIRA /GEOVANI RORIZ</v>
      </c>
      <c r="N991" s="1" t="str">
        <f t="shared" si="15"/>
        <v>JUNIO TEIXEIRA /GEOVANI RORIZ</v>
      </c>
    </row>
    <row r="992" spans="1:14" x14ac:dyDescent="0.3">
      <c r="A992" s="1">
        <v>101441</v>
      </c>
      <c r="B992" s="1" t="s">
        <v>967</v>
      </c>
      <c r="C992" s="5" t="s">
        <v>15</v>
      </c>
      <c r="D992" s="2">
        <v>42954</v>
      </c>
      <c r="E992" s="1" t="s">
        <v>328</v>
      </c>
      <c r="F992" s="1">
        <v>24101</v>
      </c>
      <c r="G992" s="1" t="s">
        <v>968</v>
      </c>
      <c r="H992" s="1" t="s">
        <v>661</v>
      </c>
      <c r="J992" s="1" t="s">
        <v>969</v>
      </c>
      <c r="K992" s="1" t="str">
        <f>VLOOKUP(J992,'[1]Base SCA 02 2026'!V:X,3,0)</f>
        <v>MATHEUS FERNANDES</v>
      </c>
      <c r="L992" s="1" t="str">
        <f>VLOOKUP(J992,'[1]Base SCA 02 2026'!V:Y,4,0)</f>
        <v>MATHEUS FERNANDES</v>
      </c>
      <c r="N992" s="1" t="str">
        <f t="shared" si="15"/>
        <v>MATHEUS FERNANDES</v>
      </c>
    </row>
    <row r="993" spans="1:14" x14ac:dyDescent="0.3">
      <c r="A993" s="1">
        <v>704975</v>
      </c>
      <c r="B993" s="1" t="s">
        <v>970</v>
      </c>
      <c r="C993" s="5" t="s">
        <v>15</v>
      </c>
      <c r="D993" s="2">
        <v>45629</v>
      </c>
      <c r="E993" s="1" t="s">
        <v>16</v>
      </c>
      <c r="F993" s="1">
        <v>24102</v>
      </c>
      <c r="G993" s="1" t="s">
        <v>669</v>
      </c>
      <c r="H993" s="1" t="s">
        <v>661</v>
      </c>
      <c r="J993" s="1" t="s">
        <v>682</v>
      </c>
      <c r="K993" s="1" t="str">
        <f>VLOOKUP(J993,'[1]Base SCA 02 2026'!V:X,3,0)</f>
        <v>CRISOSTOMO CASTRO</v>
      </c>
      <c r="L993" s="1" t="str">
        <f>VLOOKUP(J993,'[1]Base SCA 02 2026'!V:Y,4,0)</f>
        <v>JOÃO FILHO</v>
      </c>
      <c r="M993" s="1" t="str">
        <f>VLOOKUP(J993,'[1]Base SCA 02 2026'!V:Z,5,0)</f>
        <v>ALCENO JUNIOR/JOÃO MARCOS</v>
      </c>
      <c r="N993" s="1" t="str">
        <f t="shared" si="15"/>
        <v>ALCENO JUNIOR/JOÃO MARCOS</v>
      </c>
    </row>
    <row r="994" spans="1:14" x14ac:dyDescent="0.3">
      <c r="A994" s="1">
        <v>705265</v>
      </c>
      <c r="B994" s="1" t="s">
        <v>1204</v>
      </c>
      <c r="C994" s="5" t="s">
        <v>15</v>
      </c>
      <c r="D994" s="2">
        <v>45762</v>
      </c>
      <c r="E994" s="1" t="s">
        <v>31</v>
      </c>
      <c r="F994" s="1">
        <v>24102</v>
      </c>
      <c r="G994" s="1" t="s">
        <v>669</v>
      </c>
      <c r="H994" s="1" t="s">
        <v>661</v>
      </c>
      <c r="J994" s="1" t="s">
        <v>680</v>
      </c>
      <c r="K994" s="1" t="str">
        <f>VLOOKUP(J994,'[1]Base SCA 02 2026'!V:X,3,0)</f>
        <v>CRISOSTOMO CASTRO</v>
      </c>
      <c r="L994" s="1" t="str">
        <f>VLOOKUP(J994,'[1]Base SCA 02 2026'!V:Y,4,0)</f>
        <v>YAN SILVA</v>
      </c>
      <c r="M994" s="1" t="str">
        <f>VLOOKUP(J994,'[1]Base SCA 02 2026'!V:Z,5,0)</f>
        <v>JUNIO TEIXEIRA /GEOVANI RORIZ</v>
      </c>
      <c r="N994" s="1" t="str">
        <f t="shared" si="15"/>
        <v>JUNIO TEIXEIRA /GEOVANI RORIZ</v>
      </c>
    </row>
    <row r="995" spans="1:14" x14ac:dyDescent="0.3">
      <c r="A995" s="1">
        <v>703925</v>
      </c>
      <c r="B995" s="1" t="s">
        <v>971</v>
      </c>
      <c r="C995" s="5" t="s">
        <v>15</v>
      </c>
      <c r="D995" s="2">
        <v>45083</v>
      </c>
      <c r="E995" s="1" t="s">
        <v>67</v>
      </c>
      <c r="F995" s="1">
        <v>24102</v>
      </c>
      <c r="G995" s="1" t="s">
        <v>669</v>
      </c>
      <c r="H995" s="1" t="s">
        <v>661</v>
      </c>
      <c r="J995" s="1" t="s">
        <v>804</v>
      </c>
      <c r="K995" s="1" t="str">
        <f>VLOOKUP(J995,'[1]Base SCA 02 2026'!V:X,3,0)</f>
        <v>CRISOSTOMO CASTRO</v>
      </c>
      <c r="L995" s="1" t="str">
        <f>VLOOKUP(J995,'[1]Base SCA 02 2026'!V:Y,4,0)</f>
        <v>CRISOSTOMO CASTRO</v>
      </c>
      <c r="M995" s="1" t="str">
        <f>VLOOKUP(J995,'[1]Base SCA 02 2026'!V:Z,5,0)</f>
        <v>JAILSON RORIZ</v>
      </c>
      <c r="N995" s="1" t="str">
        <f t="shared" si="15"/>
        <v>JAILSON RORIZ</v>
      </c>
    </row>
    <row r="996" spans="1:14" x14ac:dyDescent="0.3">
      <c r="A996" s="1">
        <v>705587</v>
      </c>
      <c r="B996" s="1" t="s">
        <v>972</v>
      </c>
      <c r="C996" s="5" t="s">
        <v>15</v>
      </c>
      <c r="D996" s="2">
        <v>45881</v>
      </c>
      <c r="E996" s="1" t="s">
        <v>31</v>
      </c>
      <c r="F996" s="1">
        <v>39601</v>
      </c>
      <c r="G996" s="1" t="s">
        <v>660</v>
      </c>
      <c r="H996" s="1" t="s">
        <v>661</v>
      </c>
      <c r="J996" s="1" t="s">
        <v>684</v>
      </c>
      <c r="K996" s="1" t="str">
        <f>VLOOKUP(J996,'[1]Base SCA 02 2026'!V:X,3,0)</f>
        <v>CRISOSTOMO CASTRO</v>
      </c>
      <c r="L996" s="1" t="str">
        <f>VLOOKUP(J996,'[1]Base SCA 02 2026'!V:Y,4,0)</f>
        <v>MATHEUS ALMEIDA</v>
      </c>
      <c r="M996" s="1" t="str">
        <f>VLOOKUP(J996,'[1]Base SCA 02 2026'!V:Z,5,0)</f>
        <v>ADALTON/JANILSON RORIZ/MARIVALDO</v>
      </c>
      <c r="N996" s="1" t="str">
        <f t="shared" si="15"/>
        <v>ADALTON/JANILSON RORIZ/MARIVALDO</v>
      </c>
    </row>
    <row r="997" spans="1:14" x14ac:dyDescent="0.3">
      <c r="A997" s="1">
        <v>703659</v>
      </c>
      <c r="B997" s="1" t="s">
        <v>973</v>
      </c>
      <c r="C997" s="5" t="s">
        <v>15</v>
      </c>
      <c r="D997" s="2">
        <v>44998</v>
      </c>
      <c r="E997" s="1" t="s">
        <v>138</v>
      </c>
      <c r="F997" s="1">
        <v>24102</v>
      </c>
      <c r="G997" s="1" t="s">
        <v>669</v>
      </c>
      <c r="H997" s="1" t="s">
        <v>661</v>
      </c>
      <c r="J997" s="1" t="s">
        <v>682</v>
      </c>
      <c r="K997" s="1" t="str">
        <f>VLOOKUP(J997,'[1]Base SCA 02 2026'!V:X,3,0)</f>
        <v>CRISOSTOMO CASTRO</v>
      </c>
      <c r="L997" s="1" t="str">
        <f>VLOOKUP(J997,'[1]Base SCA 02 2026'!V:Y,4,0)</f>
        <v>JOÃO FILHO</v>
      </c>
      <c r="M997" s="1" t="str">
        <f>VLOOKUP(J997,'[1]Base SCA 02 2026'!V:Z,5,0)</f>
        <v>ALCENO JUNIOR/JOÃO MARCOS</v>
      </c>
      <c r="N997" s="1" t="str">
        <f t="shared" si="15"/>
        <v>ALCENO JUNIOR/JOÃO MARCOS</v>
      </c>
    </row>
    <row r="998" spans="1:14" x14ac:dyDescent="0.3">
      <c r="A998" s="1">
        <v>705344</v>
      </c>
      <c r="B998" s="1" t="s">
        <v>1263</v>
      </c>
      <c r="C998" s="5" t="s">
        <v>233</v>
      </c>
      <c r="D998" s="2">
        <v>45784</v>
      </c>
      <c r="E998" s="1" t="s">
        <v>336</v>
      </c>
      <c r="F998" s="1">
        <v>24102</v>
      </c>
      <c r="G998" s="1" t="s">
        <v>669</v>
      </c>
      <c r="H998" s="1" t="s">
        <v>661</v>
      </c>
      <c r="J998" s="1" t="s">
        <v>680</v>
      </c>
      <c r="K998" s="1" t="str">
        <f>VLOOKUP(J998,'[1]Base SCA 02 2026'!V:X,3,0)</f>
        <v>CRISOSTOMO CASTRO</v>
      </c>
      <c r="L998" s="1" t="str">
        <f>VLOOKUP(J998,'[1]Base SCA 02 2026'!V:Y,4,0)</f>
        <v>YAN SILVA</v>
      </c>
      <c r="M998" s="1" t="str">
        <f>VLOOKUP(J998,'[1]Base SCA 02 2026'!V:Z,5,0)</f>
        <v>JUNIO TEIXEIRA /GEOVANI RORIZ</v>
      </c>
      <c r="N998" s="1" t="str">
        <f t="shared" si="15"/>
        <v>JUNIO TEIXEIRA /GEOVANI RORIZ</v>
      </c>
    </row>
    <row r="999" spans="1:14" x14ac:dyDescent="0.3">
      <c r="A999" s="1">
        <v>704783</v>
      </c>
      <c r="B999" s="1" t="s">
        <v>974</v>
      </c>
      <c r="C999" s="5" t="s">
        <v>15</v>
      </c>
      <c r="D999" s="2">
        <v>45551</v>
      </c>
      <c r="E999" s="1" t="s">
        <v>31</v>
      </c>
      <c r="F999" s="1">
        <v>39601</v>
      </c>
      <c r="G999" s="1" t="s">
        <v>660</v>
      </c>
      <c r="H999" s="1" t="s">
        <v>661</v>
      </c>
      <c r="J999" s="1" t="s">
        <v>684</v>
      </c>
      <c r="K999" s="1" t="str">
        <f>VLOOKUP(J999,'[1]Base SCA 02 2026'!V:X,3,0)</f>
        <v>CRISOSTOMO CASTRO</v>
      </c>
      <c r="L999" s="1" t="str">
        <f>VLOOKUP(J999,'[1]Base SCA 02 2026'!V:Y,4,0)</f>
        <v>MATHEUS ALMEIDA</v>
      </c>
      <c r="M999" s="1" t="str">
        <f>VLOOKUP(J999,'[1]Base SCA 02 2026'!V:Z,5,0)</f>
        <v>ADALTON/JANILSON RORIZ/MARIVALDO</v>
      </c>
      <c r="N999" s="1" t="str">
        <f t="shared" si="15"/>
        <v>ADALTON/JANILSON RORIZ/MARIVALDO</v>
      </c>
    </row>
    <row r="1000" spans="1:14" x14ac:dyDescent="0.3">
      <c r="A1000" s="1">
        <v>101191</v>
      </c>
      <c r="B1000" s="1" t="s">
        <v>975</v>
      </c>
      <c r="C1000" s="5" t="s">
        <v>15</v>
      </c>
      <c r="D1000" s="2">
        <v>42751</v>
      </c>
      <c r="E1000" s="1" t="s">
        <v>368</v>
      </c>
      <c r="F1000" s="1">
        <v>32102</v>
      </c>
      <c r="G1000" s="1" t="s">
        <v>674</v>
      </c>
      <c r="H1000" s="1" t="s">
        <v>661</v>
      </c>
      <c r="J1000" s="1" t="s">
        <v>675</v>
      </c>
      <c r="K1000" s="1" t="str">
        <f>VLOOKUP(J1000,'[1]Base SCA 02 2026'!V:X,3,0)</f>
        <v>RAFAEL XAVIER</v>
      </c>
      <c r="L1000" s="1" t="str">
        <f>VLOOKUP(J1000,'[1]Base SCA 02 2026'!V:Y,4,0)</f>
        <v>FERNANDO GUILHERME</v>
      </c>
      <c r="M1000" s="1" t="str">
        <f>VLOOKUP(J1000,'[1]Base SCA 02 2026'!V:Z,5,0)</f>
        <v>MARCELO DOURADO</v>
      </c>
      <c r="N1000" s="1" t="str">
        <f t="shared" si="15"/>
        <v>MARCELO DOURADO</v>
      </c>
    </row>
    <row r="1001" spans="1:14" x14ac:dyDescent="0.3">
      <c r="A1001" s="1">
        <v>705864</v>
      </c>
      <c r="B1001" s="1" t="s">
        <v>1590</v>
      </c>
      <c r="C1001" s="5" t="s">
        <v>15</v>
      </c>
      <c r="D1001" s="2">
        <v>46063</v>
      </c>
      <c r="E1001" s="1" t="s">
        <v>31</v>
      </c>
      <c r="F1001" s="1">
        <v>24102</v>
      </c>
      <c r="G1001" s="1" t="s">
        <v>669</v>
      </c>
      <c r="H1001" s="1" t="s">
        <v>661</v>
      </c>
      <c r="J1001" s="1" t="s">
        <v>670</v>
      </c>
      <c r="K1001" s="1" t="str">
        <f>VLOOKUP(J1001,'[1]Base SCA 02 2026'!V:X,3,0)</f>
        <v>CRISOSTOMO CASTRO</v>
      </c>
      <c r="L1001" s="1" t="str">
        <f>VLOOKUP(J1001,'[1]Base SCA 02 2026'!V:Y,4,0)</f>
        <v>YAN SILVA</v>
      </c>
      <c r="M1001" s="1" t="str">
        <f>VLOOKUP(J1001,'[1]Base SCA 02 2026'!V:Z,5,0)</f>
        <v>JUNIO TEIXEIRA /GEOVANI RORIZ</v>
      </c>
      <c r="N1001" s="1" t="str">
        <f t="shared" si="15"/>
        <v>JUNIO TEIXEIRA /GEOVANI RORIZ</v>
      </c>
    </row>
    <row r="1002" spans="1:14" x14ac:dyDescent="0.3">
      <c r="A1002" s="1">
        <v>703011</v>
      </c>
      <c r="B1002" s="1" t="s">
        <v>976</v>
      </c>
      <c r="C1002" s="5" t="s">
        <v>15</v>
      </c>
      <c r="D1002" s="2">
        <v>44691</v>
      </c>
      <c r="E1002" s="1" t="s">
        <v>31</v>
      </c>
      <c r="F1002" s="1">
        <v>38102</v>
      </c>
      <c r="G1002" s="1" t="s">
        <v>725</v>
      </c>
      <c r="H1002" s="1" t="s">
        <v>661</v>
      </c>
      <c r="J1002" s="1" t="s">
        <v>726</v>
      </c>
      <c r="K1002" s="1" t="str">
        <f>VLOOKUP(J1002,'[1]Base SCA 02 2026'!V:X,3,0)</f>
        <v xml:space="preserve">LEIDJANE MARTINS </v>
      </c>
      <c r="L1002" s="1" t="str">
        <f>VLOOKUP(J1002,'[1]Base SCA 02 2026'!V:Y,4,0)</f>
        <v xml:space="preserve">LEIDJANE MARTINS </v>
      </c>
      <c r="M1002" s="1" t="str">
        <f>VLOOKUP(J1002,'[1]Base SCA 02 2026'!V:Z,5,0)</f>
        <v>DENIS ACASSIO</v>
      </c>
      <c r="N1002" s="1" t="str">
        <f t="shared" si="15"/>
        <v>DENIS ACASSIO</v>
      </c>
    </row>
    <row r="1003" spans="1:14" x14ac:dyDescent="0.3">
      <c r="A1003" s="1">
        <v>704511</v>
      </c>
      <c r="B1003" s="1" t="s">
        <v>978</v>
      </c>
      <c r="C1003" s="5" t="s">
        <v>15</v>
      </c>
      <c r="D1003" s="2">
        <v>45420</v>
      </c>
      <c r="E1003" s="1" t="s">
        <v>138</v>
      </c>
      <c r="F1003" s="1">
        <v>24102</v>
      </c>
      <c r="G1003" s="1" t="s">
        <v>669</v>
      </c>
      <c r="H1003" s="1" t="s">
        <v>661</v>
      </c>
      <c r="J1003" s="1" t="s">
        <v>682</v>
      </c>
      <c r="K1003" s="1" t="str">
        <f>VLOOKUP(J1003,'[1]Base SCA 02 2026'!V:X,3,0)</f>
        <v>CRISOSTOMO CASTRO</v>
      </c>
      <c r="L1003" s="1" t="str">
        <f>VLOOKUP(J1003,'[1]Base SCA 02 2026'!V:Y,4,0)</f>
        <v>JOÃO FILHO</v>
      </c>
      <c r="M1003" s="1" t="str">
        <f>VLOOKUP(J1003,'[1]Base SCA 02 2026'!V:Z,5,0)</f>
        <v>ALCENO JUNIOR/JOÃO MARCOS</v>
      </c>
      <c r="N1003" s="1" t="str">
        <f t="shared" si="15"/>
        <v>ALCENO JUNIOR/JOÃO MARCOS</v>
      </c>
    </row>
    <row r="1004" spans="1:14" x14ac:dyDescent="0.3">
      <c r="A1004" s="1">
        <v>705531</v>
      </c>
      <c r="B1004" s="1" t="s">
        <v>1308</v>
      </c>
      <c r="C1004" s="5" t="s">
        <v>15</v>
      </c>
      <c r="D1004" s="2">
        <v>45847</v>
      </c>
      <c r="E1004" s="1" t="s">
        <v>60</v>
      </c>
      <c r="F1004" s="1">
        <v>24102</v>
      </c>
      <c r="G1004" s="1" t="s">
        <v>669</v>
      </c>
      <c r="H1004" s="1" t="s">
        <v>661</v>
      </c>
      <c r="J1004" s="1" t="s">
        <v>804</v>
      </c>
      <c r="K1004" s="1" t="str">
        <f>VLOOKUP(J1004,'[1]Base SCA 02 2026'!V:X,3,0)</f>
        <v>CRISOSTOMO CASTRO</v>
      </c>
      <c r="L1004" s="1" t="str">
        <f>VLOOKUP(J1004,'[1]Base SCA 02 2026'!V:Y,4,0)</f>
        <v>CRISOSTOMO CASTRO</v>
      </c>
      <c r="M1004" s="1" t="str">
        <f>VLOOKUP(J1004,'[1]Base SCA 02 2026'!V:Z,5,0)</f>
        <v>JAILSON RORIZ</v>
      </c>
      <c r="N1004" s="1" t="str">
        <f t="shared" si="15"/>
        <v>JAILSON RORIZ</v>
      </c>
    </row>
    <row r="1005" spans="1:14" x14ac:dyDescent="0.3">
      <c r="A1005" s="1">
        <v>700481</v>
      </c>
      <c r="B1005" s="1" t="s">
        <v>979</v>
      </c>
      <c r="C1005" s="5" t="s">
        <v>15</v>
      </c>
      <c r="D1005" s="2">
        <v>43346</v>
      </c>
      <c r="E1005" s="1" t="s">
        <v>138</v>
      </c>
      <c r="F1005" s="1">
        <v>24102</v>
      </c>
      <c r="G1005" s="1" t="s">
        <v>669</v>
      </c>
      <c r="H1005" s="1" t="s">
        <v>661</v>
      </c>
      <c r="J1005" s="1" t="s">
        <v>672</v>
      </c>
      <c r="K1005" s="1" t="str">
        <f>VLOOKUP(J1005,'[1]Base SCA 02 2026'!V:X,3,0)</f>
        <v>CRISOSTOMO CASTRO</v>
      </c>
      <c r="L1005" s="1" t="str">
        <f>VLOOKUP(J1005,'[1]Base SCA 02 2026'!V:Y,4,0)</f>
        <v>YAN SILVA</v>
      </c>
      <c r="M1005" s="1" t="str">
        <f>VLOOKUP(J1005,'[1]Base SCA 02 2026'!V:Z,5,0)</f>
        <v>JUNIO TEIXEIRA /GEOVANI RORIZ</v>
      </c>
      <c r="N1005" s="1" t="str">
        <f t="shared" si="15"/>
        <v>JUNIO TEIXEIRA /GEOVANI RORIZ</v>
      </c>
    </row>
    <row r="1006" spans="1:14" x14ac:dyDescent="0.3">
      <c r="A1006" s="1">
        <v>704960</v>
      </c>
      <c r="B1006" s="1" t="s">
        <v>980</v>
      </c>
      <c r="C1006" s="5" t="s">
        <v>15</v>
      </c>
      <c r="D1006" s="2">
        <v>45607</v>
      </c>
      <c r="E1006" s="1" t="s">
        <v>22</v>
      </c>
      <c r="F1006" s="1">
        <v>39602</v>
      </c>
      <c r="G1006" s="1" t="s">
        <v>699</v>
      </c>
      <c r="H1006" s="1" t="s">
        <v>661</v>
      </c>
      <c r="J1006" s="1" t="s">
        <v>700</v>
      </c>
      <c r="K1006" s="1" t="str">
        <f>VLOOKUP(J1006,'[1]Base SCA 02 2026'!V:X,3,0)</f>
        <v>CRISOSTOMO CASTRO</v>
      </c>
      <c r="L1006" s="1" t="str">
        <f>VLOOKUP(J1006,'[1]Base SCA 02 2026'!V:Y,4,0)</f>
        <v>MATHEUS ALMEIDA</v>
      </c>
      <c r="M1006" s="1" t="str">
        <f>VLOOKUP(J1006,'[1]Base SCA 02 2026'!V:Z,5,0)</f>
        <v>IURY GUEDES</v>
      </c>
      <c r="N1006" s="1" t="str">
        <f t="shared" si="15"/>
        <v>IURY GUEDES</v>
      </c>
    </row>
    <row r="1007" spans="1:14" x14ac:dyDescent="0.3">
      <c r="A1007" s="1">
        <v>704063</v>
      </c>
      <c r="B1007" s="1" t="s">
        <v>981</v>
      </c>
      <c r="C1007" s="5" t="s">
        <v>15</v>
      </c>
      <c r="D1007" s="2">
        <v>45154</v>
      </c>
      <c r="E1007" s="1" t="s">
        <v>31</v>
      </c>
      <c r="F1007" s="1">
        <v>24102</v>
      </c>
      <c r="G1007" s="1" t="s">
        <v>669</v>
      </c>
      <c r="H1007" s="1" t="s">
        <v>661</v>
      </c>
      <c r="J1007" s="1" t="s">
        <v>680</v>
      </c>
      <c r="K1007" s="1" t="str">
        <f>VLOOKUP(J1007,'[1]Base SCA 02 2026'!V:X,3,0)</f>
        <v>CRISOSTOMO CASTRO</v>
      </c>
      <c r="L1007" s="1" t="str">
        <f>VLOOKUP(J1007,'[1]Base SCA 02 2026'!V:Y,4,0)</f>
        <v>YAN SILVA</v>
      </c>
      <c r="M1007" s="1" t="str">
        <f>VLOOKUP(J1007,'[1]Base SCA 02 2026'!V:Z,5,0)</f>
        <v>JUNIO TEIXEIRA /GEOVANI RORIZ</v>
      </c>
      <c r="N1007" s="1" t="str">
        <f t="shared" si="15"/>
        <v>JUNIO TEIXEIRA /GEOVANI RORIZ</v>
      </c>
    </row>
    <row r="1008" spans="1:14" x14ac:dyDescent="0.3">
      <c r="A1008" s="1">
        <v>702546</v>
      </c>
      <c r="B1008" s="1" t="s">
        <v>454</v>
      </c>
      <c r="C1008" s="5" t="s">
        <v>15</v>
      </c>
      <c r="D1008" s="2">
        <v>44452</v>
      </c>
      <c r="E1008" s="1" t="s">
        <v>1205</v>
      </c>
      <c r="F1008" s="1">
        <v>31103</v>
      </c>
      <c r="G1008" s="1" t="s">
        <v>718</v>
      </c>
      <c r="H1008" s="1" t="s">
        <v>661</v>
      </c>
      <c r="J1008" s="1" t="s">
        <v>719</v>
      </c>
      <c r="K1008" s="1" t="str">
        <f>VLOOKUP(J1008,'[1]Base SCA 02 2026'!V:X,3,0)</f>
        <v xml:space="preserve">GISELE NASCENTE </v>
      </c>
      <c r="L1008" s="1" t="str">
        <f>VLOOKUP(J1008,'[1]Base SCA 02 2026'!V:Y,4,0)</f>
        <v xml:space="preserve">GISELE NASCENTE </v>
      </c>
      <c r="M1008" s="1" t="str">
        <f>VLOOKUP(J1008,'[1]Base SCA 02 2026'!V:Z,5,0)</f>
        <v>MARCOS OLIVEIRA</v>
      </c>
      <c r="N1008" s="1" t="str">
        <f t="shared" si="15"/>
        <v>MARCOS OLIVEIRA</v>
      </c>
    </row>
    <row r="1009" spans="1:14" x14ac:dyDescent="0.3">
      <c r="A1009" s="1">
        <v>705466</v>
      </c>
      <c r="B1009" s="1" t="s">
        <v>1285</v>
      </c>
      <c r="C1009" s="5" t="s">
        <v>15</v>
      </c>
      <c r="D1009" s="2">
        <v>45812</v>
      </c>
      <c r="E1009" s="1" t="s">
        <v>22</v>
      </c>
      <c r="F1009" s="1">
        <v>39602</v>
      </c>
      <c r="G1009" s="1" t="s">
        <v>699</v>
      </c>
      <c r="H1009" s="1" t="s">
        <v>661</v>
      </c>
      <c r="J1009" s="1" t="s">
        <v>700</v>
      </c>
      <c r="K1009" s="1" t="str">
        <f>VLOOKUP(J1009,'[1]Base SCA 02 2026'!V:X,3,0)</f>
        <v>CRISOSTOMO CASTRO</v>
      </c>
      <c r="L1009" s="1" t="str">
        <f>VLOOKUP(J1009,'[1]Base SCA 02 2026'!V:Y,4,0)</f>
        <v>MATHEUS ALMEIDA</v>
      </c>
      <c r="M1009" s="1" t="str">
        <f>VLOOKUP(J1009,'[1]Base SCA 02 2026'!V:Z,5,0)</f>
        <v>IURY GUEDES</v>
      </c>
      <c r="N1009" s="1" t="str">
        <f t="shared" si="15"/>
        <v>IURY GUEDES</v>
      </c>
    </row>
    <row r="1010" spans="1:14" x14ac:dyDescent="0.3">
      <c r="A1010" s="1">
        <v>704465</v>
      </c>
      <c r="B1010" s="1" t="s">
        <v>983</v>
      </c>
      <c r="C1010" s="5" t="s">
        <v>15</v>
      </c>
      <c r="D1010" s="2">
        <v>45426</v>
      </c>
      <c r="E1010" s="1" t="s">
        <v>31</v>
      </c>
      <c r="F1010" s="1">
        <v>24201</v>
      </c>
      <c r="G1010" s="1" t="s">
        <v>664</v>
      </c>
      <c r="H1010" s="1" t="s">
        <v>661</v>
      </c>
      <c r="J1010" s="1" t="s">
        <v>665</v>
      </c>
      <c r="K1010" s="1" t="str">
        <f>VLOOKUP(J1010,'[1]Base SCA 02 2026'!V:X,3,0)</f>
        <v>CRISOSTOMO CASTRO</v>
      </c>
      <c r="L1010" s="1" t="str">
        <f>VLOOKUP(J1010,'[1]Base SCA 02 2026'!V:Y,4,0)</f>
        <v>MATHEUS ALMEIDA</v>
      </c>
      <c r="M1010" s="1" t="str">
        <f>VLOOKUP(J1010,'[1]Base SCA 02 2026'!V:Z,5,0)</f>
        <v>JOSIEL NEVES</v>
      </c>
      <c r="N1010" s="1" t="str">
        <f t="shared" si="15"/>
        <v>JOSIEL NEVES</v>
      </c>
    </row>
    <row r="1011" spans="1:14" x14ac:dyDescent="0.3">
      <c r="A1011" s="1">
        <v>704422</v>
      </c>
      <c r="B1011" s="1" t="s">
        <v>984</v>
      </c>
      <c r="C1011" s="5" t="s">
        <v>15</v>
      </c>
      <c r="D1011" s="2">
        <v>45391</v>
      </c>
      <c r="E1011" s="1" t="s">
        <v>418</v>
      </c>
      <c r="F1011" s="1">
        <v>39601</v>
      </c>
      <c r="G1011" s="1" t="s">
        <v>660</v>
      </c>
      <c r="H1011" s="1" t="s">
        <v>661</v>
      </c>
      <c r="J1011" s="1" t="s">
        <v>662</v>
      </c>
      <c r="K1011" s="1" t="str">
        <f>VLOOKUP(J1011,'[1]Base SCA 02 2026'!V:X,3,0)</f>
        <v>CRISOSTOMO CASTRO</v>
      </c>
      <c r="L1011" s="1" t="str">
        <f>VLOOKUP(J1011,'[1]Base SCA 02 2026'!V:Y,4,0)</f>
        <v>MATHEUS ALMEIDA</v>
      </c>
      <c r="N1011" s="1" t="str">
        <f t="shared" si="15"/>
        <v>MATHEUS ALMEIDA</v>
      </c>
    </row>
    <row r="1012" spans="1:14" x14ac:dyDescent="0.3">
      <c r="A1012" s="1">
        <v>705556</v>
      </c>
      <c r="B1012" s="1" t="s">
        <v>1341</v>
      </c>
      <c r="C1012" s="5" t="s">
        <v>92</v>
      </c>
      <c r="D1012" s="2">
        <v>45874</v>
      </c>
      <c r="E1012" s="1" t="s">
        <v>31</v>
      </c>
      <c r="F1012" s="1">
        <v>39601</v>
      </c>
      <c r="G1012" s="1" t="s">
        <v>660</v>
      </c>
      <c r="H1012" s="1" t="s">
        <v>661</v>
      </c>
      <c r="I1012" s="2">
        <v>46058</v>
      </c>
      <c r="J1012" s="1" t="s">
        <v>684</v>
      </c>
      <c r="K1012" s="1" t="str">
        <f>VLOOKUP(J1012,'[1]Base SCA 02 2026'!V:X,3,0)</f>
        <v>CRISOSTOMO CASTRO</v>
      </c>
      <c r="L1012" s="1" t="str">
        <f>VLOOKUP(J1012,'[1]Base SCA 02 2026'!V:Y,4,0)</f>
        <v>MATHEUS ALMEIDA</v>
      </c>
      <c r="M1012" s="1" t="str">
        <f>VLOOKUP(J1012,'[1]Base SCA 02 2026'!V:Z,5,0)</f>
        <v>ADALTON/JANILSON RORIZ/MARIVALDO</v>
      </c>
      <c r="N1012" s="1" t="str">
        <f t="shared" si="15"/>
        <v>ADALTON/JANILSON RORIZ/MARIVALDO</v>
      </c>
    </row>
    <row r="1013" spans="1:14" x14ac:dyDescent="0.3">
      <c r="A1013" s="1">
        <v>101339</v>
      </c>
      <c r="B1013" s="1" t="s">
        <v>985</v>
      </c>
      <c r="C1013" s="5" t="s">
        <v>15</v>
      </c>
      <c r="D1013" s="2">
        <v>42891</v>
      </c>
      <c r="E1013" s="1" t="s">
        <v>166</v>
      </c>
      <c r="F1013" s="1">
        <v>24102</v>
      </c>
      <c r="G1013" s="1" t="s">
        <v>669</v>
      </c>
      <c r="H1013" s="1" t="s">
        <v>661</v>
      </c>
      <c r="J1013" s="1" t="s">
        <v>682</v>
      </c>
      <c r="K1013" s="1" t="str">
        <f>VLOOKUP(J1013,'[1]Base SCA 02 2026'!V:X,3,0)</f>
        <v>CRISOSTOMO CASTRO</v>
      </c>
      <c r="L1013" s="1" t="str">
        <f>VLOOKUP(J1013,'[1]Base SCA 02 2026'!V:Y,4,0)</f>
        <v>JOÃO FILHO</v>
      </c>
      <c r="M1013" s="1" t="str">
        <f>VLOOKUP(J1013,'[1]Base SCA 02 2026'!V:Z,5,0)</f>
        <v>ALCENO JUNIOR/JOÃO MARCOS</v>
      </c>
      <c r="N1013" s="1" t="str">
        <f t="shared" si="15"/>
        <v>ALCENO JUNIOR/JOÃO MARCOS</v>
      </c>
    </row>
    <row r="1014" spans="1:14" x14ac:dyDescent="0.3">
      <c r="A1014" s="1">
        <v>704869</v>
      </c>
      <c r="B1014" s="1" t="s">
        <v>986</v>
      </c>
      <c r="C1014" s="5" t="s">
        <v>15</v>
      </c>
      <c r="D1014" s="2">
        <v>45580</v>
      </c>
      <c r="E1014" s="1" t="s">
        <v>31</v>
      </c>
      <c r="F1014" s="1">
        <v>24201</v>
      </c>
      <c r="G1014" s="1" t="s">
        <v>664</v>
      </c>
      <c r="H1014" s="1" t="s">
        <v>661</v>
      </c>
      <c r="J1014" s="1" t="s">
        <v>665</v>
      </c>
      <c r="K1014" s="1" t="str">
        <f>VLOOKUP(J1014,'[1]Base SCA 02 2026'!V:X,3,0)</f>
        <v>CRISOSTOMO CASTRO</v>
      </c>
      <c r="L1014" s="1" t="str">
        <f>VLOOKUP(J1014,'[1]Base SCA 02 2026'!V:Y,4,0)</f>
        <v>MATHEUS ALMEIDA</v>
      </c>
      <c r="M1014" s="1" t="str">
        <f>VLOOKUP(J1014,'[1]Base SCA 02 2026'!V:Z,5,0)</f>
        <v>JOSIEL NEVES</v>
      </c>
      <c r="N1014" s="1" t="str">
        <f t="shared" si="15"/>
        <v>JOSIEL NEVES</v>
      </c>
    </row>
    <row r="1015" spans="1:14" x14ac:dyDescent="0.3">
      <c r="A1015" s="1">
        <v>704493</v>
      </c>
      <c r="B1015" s="1" t="s">
        <v>987</v>
      </c>
      <c r="C1015" s="5" t="s">
        <v>15</v>
      </c>
      <c r="D1015" s="2">
        <v>45419</v>
      </c>
      <c r="E1015" s="1" t="s">
        <v>427</v>
      </c>
      <c r="F1015" s="1">
        <v>39602</v>
      </c>
      <c r="G1015" s="1" t="s">
        <v>699</v>
      </c>
      <c r="H1015" s="1" t="s">
        <v>661</v>
      </c>
      <c r="J1015" s="1" t="s">
        <v>700</v>
      </c>
      <c r="K1015" s="1" t="str">
        <f>VLOOKUP(J1015,'[1]Base SCA 02 2026'!V:X,3,0)</f>
        <v>CRISOSTOMO CASTRO</v>
      </c>
      <c r="L1015" s="1" t="str">
        <f>VLOOKUP(J1015,'[1]Base SCA 02 2026'!V:Y,4,0)</f>
        <v>MATHEUS ALMEIDA</v>
      </c>
      <c r="M1015" s="1" t="str">
        <f>VLOOKUP(J1015,'[1]Base SCA 02 2026'!V:Z,5,0)</f>
        <v>IURY GUEDES</v>
      </c>
      <c r="N1015" s="1" t="str">
        <f t="shared" si="15"/>
        <v>IURY GUEDES</v>
      </c>
    </row>
    <row r="1016" spans="1:14" x14ac:dyDescent="0.3">
      <c r="A1016" s="1">
        <v>705340</v>
      </c>
      <c r="B1016" s="1" t="s">
        <v>1264</v>
      </c>
      <c r="C1016" s="5" t="s">
        <v>15</v>
      </c>
      <c r="D1016" s="2">
        <v>45784</v>
      </c>
      <c r="E1016" s="1" t="s">
        <v>31</v>
      </c>
      <c r="F1016" s="1">
        <v>24102</v>
      </c>
      <c r="G1016" s="1" t="s">
        <v>669</v>
      </c>
      <c r="H1016" s="1" t="s">
        <v>661</v>
      </c>
      <c r="J1016" s="1" t="s">
        <v>672</v>
      </c>
      <c r="K1016" s="1" t="str">
        <f>VLOOKUP(J1016,'[1]Base SCA 02 2026'!V:X,3,0)</f>
        <v>CRISOSTOMO CASTRO</v>
      </c>
      <c r="L1016" s="1" t="str">
        <f>VLOOKUP(J1016,'[1]Base SCA 02 2026'!V:Y,4,0)</f>
        <v>YAN SILVA</v>
      </c>
      <c r="M1016" s="1" t="str">
        <f>VLOOKUP(J1016,'[1]Base SCA 02 2026'!V:Z,5,0)</f>
        <v>JUNIO TEIXEIRA /GEOVANI RORIZ</v>
      </c>
      <c r="N1016" s="1" t="str">
        <f t="shared" si="15"/>
        <v>JUNIO TEIXEIRA /GEOVANI RORIZ</v>
      </c>
    </row>
    <row r="1017" spans="1:14" x14ac:dyDescent="0.3">
      <c r="A1017" s="1">
        <v>704494</v>
      </c>
      <c r="B1017" s="1" t="s">
        <v>988</v>
      </c>
      <c r="C1017" s="5" t="s">
        <v>15</v>
      </c>
      <c r="D1017" s="2">
        <v>45419</v>
      </c>
      <c r="E1017" s="1" t="s">
        <v>336</v>
      </c>
      <c r="F1017" s="1">
        <v>24102</v>
      </c>
      <c r="G1017" s="1" t="s">
        <v>669</v>
      </c>
      <c r="H1017" s="1" t="s">
        <v>661</v>
      </c>
      <c r="J1017" s="1" t="s">
        <v>680</v>
      </c>
      <c r="K1017" s="1" t="str">
        <f>VLOOKUP(J1017,'[1]Base SCA 02 2026'!V:X,3,0)</f>
        <v>CRISOSTOMO CASTRO</v>
      </c>
      <c r="L1017" s="1" t="str">
        <f>VLOOKUP(J1017,'[1]Base SCA 02 2026'!V:Y,4,0)</f>
        <v>YAN SILVA</v>
      </c>
      <c r="M1017" s="1" t="str">
        <f>VLOOKUP(J1017,'[1]Base SCA 02 2026'!V:Z,5,0)</f>
        <v>JUNIO TEIXEIRA /GEOVANI RORIZ</v>
      </c>
      <c r="N1017" s="1" t="str">
        <f t="shared" si="15"/>
        <v>JUNIO TEIXEIRA /GEOVANI RORIZ</v>
      </c>
    </row>
    <row r="1018" spans="1:14" x14ac:dyDescent="0.3">
      <c r="A1018" s="1">
        <v>795291</v>
      </c>
      <c r="B1018" s="1" t="s">
        <v>1206</v>
      </c>
      <c r="C1018" s="5" t="s">
        <v>15</v>
      </c>
      <c r="D1018" s="2">
        <v>45762</v>
      </c>
      <c r="E1018" s="1" t="s">
        <v>31</v>
      </c>
      <c r="F1018" s="1">
        <v>39601</v>
      </c>
      <c r="G1018" s="1" t="s">
        <v>660</v>
      </c>
      <c r="H1018" s="1" t="s">
        <v>661</v>
      </c>
      <c r="J1018" s="1" t="s">
        <v>684</v>
      </c>
      <c r="K1018" s="1" t="str">
        <f>VLOOKUP(J1018,'[1]Base SCA 02 2026'!V:X,3,0)</f>
        <v>CRISOSTOMO CASTRO</v>
      </c>
      <c r="L1018" s="1" t="str">
        <f>VLOOKUP(J1018,'[1]Base SCA 02 2026'!V:Y,4,0)</f>
        <v>MATHEUS ALMEIDA</v>
      </c>
      <c r="M1018" s="1" t="str">
        <f>VLOOKUP(J1018,'[1]Base SCA 02 2026'!V:Z,5,0)</f>
        <v>ADALTON/JANILSON RORIZ/MARIVALDO</v>
      </c>
      <c r="N1018" s="1" t="str">
        <f t="shared" si="15"/>
        <v>ADALTON/JANILSON RORIZ/MARIVALDO</v>
      </c>
    </row>
    <row r="1019" spans="1:14" x14ac:dyDescent="0.3">
      <c r="A1019" s="1">
        <v>703710</v>
      </c>
      <c r="B1019" s="1" t="s">
        <v>989</v>
      </c>
      <c r="C1019" s="5" t="s">
        <v>15</v>
      </c>
      <c r="D1019" s="2">
        <v>45019</v>
      </c>
      <c r="E1019" s="1" t="s">
        <v>990</v>
      </c>
      <c r="F1019" s="1">
        <v>24201</v>
      </c>
      <c r="G1019" s="1" t="s">
        <v>664</v>
      </c>
      <c r="H1019" s="1" t="s">
        <v>661</v>
      </c>
      <c r="J1019" s="1" t="s">
        <v>665</v>
      </c>
      <c r="K1019" s="1" t="str">
        <f>VLOOKUP(J1019,'[1]Base SCA 02 2026'!V:X,3,0)</f>
        <v>CRISOSTOMO CASTRO</v>
      </c>
      <c r="L1019" s="1" t="str">
        <f>VLOOKUP(J1019,'[1]Base SCA 02 2026'!V:Y,4,0)</f>
        <v>MATHEUS ALMEIDA</v>
      </c>
      <c r="M1019" s="1" t="str">
        <f>VLOOKUP(J1019,'[1]Base SCA 02 2026'!V:Z,5,0)</f>
        <v>JOSIEL NEVES</v>
      </c>
      <c r="N1019" s="1" t="str">
        <f t="shared" si="15"/>
        <v>JOSIEL NEVES</v>
      </c>
    </row>
    <row r="1020" spans="1:14" x14ac:dyDescent="0.3">
      <c r="A1020" s="1">
        <v>703304</v>
      </c>
      <c r="B1020" s="1" t="s">
        <v>992</v>
      </c>
      <c r="C1020" s="5" t="s">
        <v>15</v>
      </c>
      <c r="D1020" s="2">
        <v>44816</v>
      </c>
      <c r="E1020" s="1" t="s">
        <v>31</v>
      </c>
      <c r="F1020" s="1">
        <v>38102</v>
      </c>
      <c r="G1020" s="1" t="s">
        <v>725</v>
      </c>
      <c r="H1020" s="1" t="s">
        <v>661</v>
      </c>
      <c r="J1020" s="1" t="s">
        <v>726</v>
      </c>
      <c r="K1020" s="1" t="str">
        <f>VLOOKUP(J1020,'[1]Base SCA 02 2026'!V:X,3,0)</f>
        <v xml:space="preserve">LEIDJANE MARTINS </v>
      </c>
      <c r="L1020" s="1" t="str">
        <f>VLOOKUP(J1020,'[1]Base SCA 02 2026'!V:Y,4,0)</f>
        <v xml:space="preserve">LEIDJANE MARTINS </v>
      </c>
      <c r="M1020" s="1" t="str">
        <f>VLOOKUP(J1020,'[1]Base SCA 02 2026'!V:Z,5,0)</f>
        <v>DENIS ACASSIO</v>
      </c>
      <c r="N1020" s="1" t="str">
        <f t="shared" si="15"/>
        <v>DENIS ACASSIO</v>
      </c>
    </row>
    <row r="1021" spans="1:14" x14ac:dyDescent="0.3">
      <c r="A1021" s="1">
        <v>100835</v>
      </c>
      <c r="B1021" s="1" t="s">
        <v>993</v>
      </c>
      <c r="C1021" s="5" t="s">
        <v>15</v>
      </c>
      <c r="D1021" s="2">
        <v>41617</v>
      </c>
      <c r="E1021" s="1" t="s">
        <v>156</v>
      </c>
      <c r="F1021" s="1">
        <v>38102</v>
      </c>
      <c r="G1021" s="1" t="s">
        <v>725</v>
      </c>
      <c r="H1021" s="1" t="s">
        <v>661</v>
      </c>
      <c r="J1021" s="1" t="s">
        <v>726</v>
      </c>
      <c r="K1021" s="1" t="str">
        <f>VLOOKUP(J1021,'[1]Base SCA 02 2026'!V:X,3,0)</f>
        <v xml:space="preserve">LEIDJANE MARTINS </v>
      </c>
      <c r="L1021" s="1" t="str">
        <f>VLOOKUP(J1021,'[1]Base SCA 02 2026'!V:Y,4,0)</f>
        <v xml:space="preserve">LEIDJANE MARTINS </v>
      </c>
      <c r="M1021" s="1" t="str">
        <f>VLOOKUP(J1021,'[1]Base SCA 02 2026'!V:Z,5,0)</f>
        <v>DENIS ACASSIO</v>
      </c>
      <c r="N1021" s="1" t="str">
        <f t="shared" si="15"/>
        <v>DENIS ACASSIO</v>
      </c>
    </row>
    <row r="1022" spans="1:14" x14ac:dyDescent="0.3">
      <c r="A1022" s="1">
        <v>701730</v>
      </c>
      <c r="B1022" s="1" t="s">
        <v>994</v>
      </c>
      <c r="C1022" s="5" t="s">
        <v>15</v>
      </c>
      <c r="D1022" s="2">
        <v>44032</v>
      </c>
      <c r="E1022" s="1" t="s">
        <v>230</v>
      </c>
      <c r="F1022" s="1">
        <v>39601</v>
      </c>
      <c r="G1022" s="1" t="s">
        <v>660</v>
      </c>
      <c r="H1022" s="1" t="s">
        <v>661</v>
      </c>
      <c r="J1022" s="1" t="s">
        <v>684</v>
      </c>
      <c r="K1022" s="1" t="str">
        <f>VLOOKUP(J1022,'[1]Base SCA 02 2026'!V:X,3,0)</f>
        <v>CRISOSTOMO CASTRO</v>
      </c>
      <c r="L1022" s="1" t="str">
        <f>VLOOKUP(J1022,'[1]Base SCA 02 2026'!V:Y,4,0)</f>
        <v>MATHEUS ALMEIDA</v>
      </c>
      <c r="M1022" s="1" t="str">
        <f>VLOOKUP(J1022,'[1]Base SCA 02 2026'!V:Z,5,0)</f>
        <v>ADALTON/JANILSON RORIZ/MARIVALDO</v>
      </c>
      <c r="N1022" s="1" t="str">
        <f t="shared" si="15"/>
        <v>ADALTON/JANILSON RORIZ/MARIVALDO</v>
      </c>
    </row>
    <row r="1023" spans="1:14" x14ac:dyDescent="0.3">
      <c r="A1023" s="1">
        <v>100980</v>
      </c>
      <c r="B1023" s="1" t="s">
        <v>995</v>
      </c>
      <c r="C1023" s="5" t="s">
        <v>15</v>
      </c>
      <c r="D1023" s="2">
        <v>42548</v>
      </c>
      <c r="E1023" s="1" t="s">
        <v>251</v>
      </c>
      <c r="F1023" s="1">
        <v>39601</v>
      </c>
      <c r="G1023" s="1" t="s">
        <v>660</v>
      </c>
      <c r="H1023" s="1" t="s">
        <v>661</v>
      </c>
      <c r="J1023" s="1" t="s">
        <v>684</v>
      </c>
      <c r="K1023" s="1" t="str">
        <f>VLOOKUP(J1023,'[1]Base SCA 02 2026'!V:X,3,0)</f>
        <v>CRISOSTOMO CASTRO</v>
      </c>
      <c r="L1023" s="1" t="str">
        <f>VLOOKUP(J1023,'[1]Base SCA 02 2026'!V:Y,4,0)</f>
        <v>MATHEUS ALMEIDA</v>
      </c>
      <c r="M1023" s="1" t="str">
        <f>VLOOKUP(J1023,'[1]Base SCA 02 2026'!V:Z,5,0)</f>
        <v>ADALTON/JANILSON RORIZ/MARIVALDO</v>
      </c>
      <c r="N1023" s="1" t="str">
        <f t="shared" si="15"/>
        <v>ADALTON/JANILSON RORIZ/MARIVALDO</v>
      </c>
    </row>
    <row r="1024" spans="1:14" x14ac:dyDescent="0.3">
      <c r="A1024" s="1">
        <v>705405</v>
      </c>
      <c r="B1024" s="1" t="s">
        <v>1265</v>
      </c>
      <c r="C1024" s="5" t="s">
        <v>92</v>
      </c>
      <c r="D1024" s="2">
        <v>45791</v>
      </c>
      <c r="E1024" s="1" t="s">
        <v>31</v>
      </c>
      <c r="F1024" s="1">
        <v>39601</v>
      </c>
      <c r="G1024" s="1" t="s">
        <v>660</v>
      </c>
      <c r="H1024" s="1" t="s">
        <v>661</v>
      </c>
      <c r="I1024" s="2">
        <v>46058</v>
      </c>
      <c r="J1024" s="1" t="s">
        <v>662</v>
      </c>
      <c r="K1024" s="1" t="str">
        <f>VLOOKUP(J1024,'[1]Base SCA 02 2026'!V:X,3,0)</f>
        <v>CRISOSTOMO CASTRO</v>
      </c>
      <c r="L1024" s="1" t="str">
        <f>VLOOKUP(J1024,'[1]Base SCA 02 2026'!V:Y,4,0)</f>
        <v>MATHEUS ALMEIDA</v>
      </c>
      <c r="N1024" s="1" t="str">
        <f t="shared" si="15"/>
        <v>MATHEUS ALMEIDA</v>
      </c>
    </row>
    <row r="1025" spans="1:14" x14ac:dyDescent="0.3">
      <c r="A1025" s="1">
        <v>701990</v>
      </c>
      <c r="B1025" s="1" t="s">
        <v>470</v>
      </c>
      <c r="C1025" s="5" t="s">
        <v>15</v>
      </c>
      <c r="D1025" s="2">
        <v>44214</v>
      </c>
      <c r="E1025" s="1" t="s">
        <v>129</v>
      </c>
      <c r="F1025" s="1">
        <v>31103</v>
      </c>
      <c r="G1025" s="1" t="s">
        <v>718</v>
      </c>
      <c r="H1025" s="1" t="s">
        <v>661</v>
      </c>
      <c r="J1025" s="1" t="s">
        <v>719</v>
      </c>
      <c r="K1025" s="1" t="str">
        <f>VLOOKUP(J1025,'[1]Base SCA 02 2026'!V:X,3,0)</f>
        <v xml:space="preserve">GISELE NASCENTE </v>
      </c>
      <c r="L1025" s="1" t="str">
        <f>VLOOKUP(J1025,'[1]Base SCA 02 2026'!V:Y,4,0)</f>
        <v xml:space="preserve">GISELE NASCENTE </v>
      </c>
      <c r="M1025" s="1" t="str">
        <f>VLOOKUP(J1025,'[1]Base SCA 02 2026'!V:Z,5,0)</f>
        <v>MARCOS OLIVEIRA</v>
      </c>
      <c r="N1025" s="1" t="str">
        <f t="shared" si="15"/>
        <v>MARCOS OLIVEIRA</v>
      </c>
    </row>
    <row r="1026" spans="1:14" x14ac:dyDescent="0.3">
      <c r="A1026" s="1">
        <v>700907</v>
      </c>
      <c r="B1026" s="1" t="s">
        <v>996</v>
      </c>
      <c r="C1026" s="5" t="s">
        <v>15</v>
      </c>
      <c r="D1026" s="2">
        <v>43535</v>
      </c>
      <c r="E1026" s="1" t="s">
        <v>60</v>
      </c>
      <c r="F1026" s="1">
        <v>24102</v>
      </c>
      <c r="G1026" s="1" t="s">
        <v>669</v>
      </c>
      <c r="H1026" s="1" t="s">
        <v>661</v>
      </c>
      <c r="J1026" s="1" t="s">
        <v>682</v>
      </c>
      <c r="K1026" s="1" t="str">
        <f>VLOOKUP(J1026,'[1]Base SCA 02 2026'!V:X,3,0)</f>
        <v>CRISOSTOMO CASTRO</v>
      </c>
      <c r="L1026" s="1" t="str">
        <f>VLOOKUP(J1026,'[1]Base SCA 02 2026'!V:Y,4,0)</f>
        <v>JOÃO FILHO</v>
      </c>
      <c r="M1026" s="1" t="str">
        <f>VLOOKUP(J1026,'[1]Base SCA 02 2026'!V:Z,5,0)</f>
        <v>ALCENO JUNIOR/JOÃO MARCOS</v>
      </c>
      <c r="N1026" s="1" t="str">
        <f t="shared" si="15"/>
        <v>ALCENO JUNIOR/JOÃO MARCOS</v>
      </c>
    </row>
    <row r="1027" spans="1:14" x14ac:dyDescent="0.3">
      <c r="A1027" s="1">
        <v>704703</v>
      </c>
      <c r="B1027" s="1" t="s">
        <v>997</v>
      </c>
      <c r="C1027" s="5" t="s">
        <v>15</v>
      </c>
      <c r="D1027" s="2">
        <v>45510</v>
      </c>
      <c r="E1027" s="1" t="s">
        <v>686</v>
      </c>
      <c r="F1027" s="1">
        <v>39601</v>
      </c>
      <c r="G1027" s="1" t="s">
        <v>660</v>
      </c>
      <c r="H1027" s="1" t="s">
        <v>661</v>
      </c>
      <c r="J1027" s="1" t="s">
        <v>684</v>
      </c>
      <c r="K1027" s="1" t="str">
        <f>VLOOKUP(J1027,'[1]Base SCA 02 2026'!V:X,3,0)</f>
        <v>CRISOSTOMO CASTRO</v>
      </c>
      <c r="L1027" s="1" t="str">
        <f>VLOOKUP(J1027,'[1]Base SCA 02 2026'!V:Y,4,0)</f>
        <v>MATHEUS ALMEIDA</v>
      </c>
      <c r="M1027" s="1" t="str">
        <f>VLOOKUP(J1027,'[1]Base SCA 02 2026'!V:Z,5,0)</f>
        <v>ADALTON/JANILSON RORIZ/MARIVALDO</v>
      </c>
      <c r="N1027" s="1" t="str">
        <f t="shared" ref="N1027:N1090" si="16">IF(M1027&lt;&gt;"", M1027, IF(L1027&lt;&gt;"", L1027, K1027))</f>
        <v>ADALTON/JANILSON RORIZ/MARIVALDO</v>
      </c>
    </row>
    <row r="1028" spans="1:14" x14ac:dyDescent="0.3">
      <c r="A1028" s="1">
        <v>704440</v>
      </c>
      <c r="B1028" s="1" t="s">
        <v>471</v>
      </c>
      <c r="C1028" s="5" t="s">
        <v>233</v>
      </c>
      <c r="D1028" s="2">
        <v>45419</v>
      </c>
      <c r="E1028" s="1" t="s">
        <v>22</v>
      </c>
      <c r="F1028" s="1">
        <v>32102</v>
      </c>
      <c r="G1028" s="1" t="s">
        <v>674</v>
      </c>
      <c r="H1028" s="1" t="s">
        <v>661</v>
      </c>
      <c r="J1028" s="1" t="s">
        <v>675</v>
      </c>
      <c r="K1028" s="1" t="str">
        <f>VLOOKUP(J1028,'[1]Base SCA 02 2026'!V:X,3,0)</f>
        <v>RAFAEL XAVIER</v>
      </c>
      <c r="L1028" s="1" t="str">
        <f>VLOOKUP(J1028,'[1]Base SCA 02 2026'!V:Y,4,0)</f>
        <v>FERNANDO GUILHERME</v>
      </c>
      <c r="M1028" s="1" t="str">
        <f>VLOOKUP(J1028,'[1]Base SCA 02 2026'!V:Z,5,0)</f>
        <v>MARCELO DOURADO</v>
      </c>
      <c r="N1028" s="1" t="str">
        <f t="shared" si="16"/>
        <v>MARCELO DOURADO</v>
      </c>
    </row>
    <row r="1029" spans="1:14" x14ac:dyDescent="0.3">
      <c r="A1029" s="1">
        <v>705421</v>
      </c>
      <c r="B1029" s="1" t="s">
        <v>998</v>
      </c>
      <c r="C1029" s="5" t="s">
        <v>15</v>
      </c>
      <c r="D1029" s="2">
        <v>45791</v>
      </c>
      <c r="E1029" s="1" t="s">
        <v>31</v>
      </c>
      <c r="F1029" s="1">
        <v>39601</v>
      </c>
      <c r="G1029" s="1" t="s">
        <v>660</v>
      </c>
      <c r="H1029" s="1" t="s">
        <v>661</v>
      </c>
      <c r="J1029" s="1" t="s">
        <v>662</v>
      </c>
      <c r="K1029" s="1" t="str">
        <f>VLOOKUP(J1029,'[1]Base SCA 02 2026'!V:X,3,0)</f>
        <v>CRISOSTOMO CASTRO</v>
      </c>
      <c r="L1029" s="1" t="str">
        <f>VLOOKUP(J1029,'[1]Base SCA 02 2026'!V:Y,4,0)</f>
        <v>MATHEUS ALMEIDA</v>
      </c>
      <c r="N1029" s="1" t="str">
        <f t="shared" si="16"/>
        <v>MATHEUS ALMEIDA</v>
      </c>
    </row>
    <row r="1030" spans="1:14" x14ac:dyDescent="0.3">
      <c r="A1030" s="1">
        <v>705323</v>
      </c>
      <c r="B1030" s="1" t="s">
        <v>1266</v>
      </c>
      <c r="C1030" s="5" t="s">
        <v>15</v>
      </c>
      <c r="D1030" s="2">
        <v>45784</v>
      </c>
      <c r="E1030" s="1" t="s">
        <v>31</v>
      </c>
      <c r="F1030" s="1">
        <v>24102</v>
      </c>
      <c r="G1030" s="1" t="s">
        <v>669</v>
      </c>
      <c r="H1030" s="1" t="s">
        <v>661</v>
      </c>
      <c r="J1030" s="1" t="s">
        <v>670</v>
      </c>
      <c r="K1030" s="1" t="str">
        <f>VLOOKUP(J1030,'[1]Base SCA 02 2026'!V:X,3,0)</f>
        <v>CRISOSTOMO CASTRO</v>
      </c>
      <c r="L1030" s="1" t="str">
        <f>VLOOKUP(J1030,'[1]Base SCA 02 2026'!V:Y,4,0)</f>
        <v>YAN SILVA</v>
      </c>
      <c r="M1030" s="1" t="str">
        <f>VLOOKUP(J1030,'[1]Base SCA 02 2026'!V:Z,5,0)</f>
        <v>JUNIO TEIXEIRA /GEOVANI RORIZ</v>
      </c>
      <c r="N1030" s="1" t="str">
        <f t="shared" si="16"/>
        <v>JUNIO TEIXEIRA /GEOVANI RORIZ</v>
      </c>
    </row>
    <row r="1031" spans="1:14" x14ac:dyDescent="0.3">
      <c r="A1031" s="1">
        <v>701620</v>
      </c>
      <c r="B1031" s="1" t="s">
        <v>999</v>
      </c>
      <c r="C1031" s="5" t="s">
        <v>15</v>
      </c>
      <c r="D1031" s="2">
        <v>44004</v>
      </c>
      <c r="E1031" s="1" t="s">
        <v>101</v>
      </c>
      <c r="F1031" s="1">
        <v>39602</v>
      </c>
      <c r="G1031" s="1" t="s">
        <v>699</v>
      </c>
      <c r="H1031" s="1" t="s">
        <v>661</v>
      </c>
      <c r="J1031" s="1" t="s">
        <v>1000</v>
      </c>
      <c r="K1031" s="1" t="str">
        <f>VLOOKUP(J1031,'[1]Base SCA 02 2026'!V:X,3,0)</f>
        <v>CRISOSTOMO CASTRO</v>
      </c>
      <c r="N1031" s="1" t="str">
        <f t="shared" si="16"/>
        <v>CRISOSTOMO CASTRO</v>
      </c>
    </row>
    <row r="1032" spans="1:14" x14ac:dyDescent="0.3">
      <c r="A1032" s="1">
        <v>705284</v>
      </c>
      <c r="B1032" s="1" t="s">
        <v>1207</v>
      </c>
      <c r="C1032" s="5" t="s">
        <v>15</v>
      </c>
      <c r="D1032" s="2">
        <v>45762</v>
      </c>
      <c r="E1032" s="1" t="s">
        <v>31</v>
      </c>
      <c r="F1032" s="1">
        <v>39601</v>
      </c>
      <c r="G1032" s="1" t="s">
        <v>660</v>
      </c>
      <c r="H1032" s="1" t="s">
        <v>661</v>
      </c>
      <c r="J1032" s="1" t="s">
        <v>684</v>
      </c>
      <c r="K1032" s="1" t="str">
        <f>VLOOKUP(J1032,'[1]Base SCA 02 2026'!V:X,3,0)</f>
        <v>CRISOSTOMO CASTRO</v>
      </c>
      <c r="L1032" s="1" t="str">
        <f>VLOOKUP(J1032,'[1]Base SCA 02 2026'!V:Y,4,0)</f>
        <v>MATHEUS ALMEIDA</v>
      </c>
      <c r="M1032" s="1" t="str">
        <f>VLOOKUP(J1032,'[1]Base SCA 02 2026'!V:Z,5,0)</f>
        <v>ADALTON/JANILSON RORIZ/MARIVALDO</v>
      </c>
      <c r="N1032" s="1" t="str">
        <f t="shared" si="16"/>
        <v>ADALTON/JANILSON RORIZ/MARIVALDO</v>
      </c>
    </row>
    <row r="1033" spans="1:14" x14ac:dyDescent="0.3">
      <c r="A1033" s="1">
        <v>702586</v>
      </c>
      <c r="B1033" s="1" t="s">
        <v>1001</v>
      </c>
      <c r="C1033" s="5" t="s">
        <v>15</v>
      </c>
      <c r="D1033" s="2">
        <v>44474</v>
      </c>
      <c r="E1033" s="1" t="s">
        <v>507</v>
      </c>
      <c r="F1033" s="1">
        <v>24201</v>
      </c>
      <c r="G1033" s="1" t="s">
        <v>664</v>
      </c>
      <c r="H1033" s="1" t="s">
        <v>661</v>
      </c>
      <c r="J1033" s="1" t="s">
        <v>665</v>
      </c>
      <c r="K1033" s="1" t="str">
        <f>VLOOKUP(J1033,'[1]Base SCA 02 2026'!V:X,3,0)</f>
        <v>CRISOSTOMO CASTRO</v>
      </c>
      <c r="L1033" s="1" t="str">
        <f>VLOOKUP(J1033,'[1]Base SCA 02 2026'!V:Y,4,0)</f>
        <v>MATHEUS ALMEIDA</v>
      </c>
      <c r="M1033" s="1" t="str">
        <f>VLOOKUP(J1033,'[1]Base SCA 02 2026'!V:Z,5,0)</f>
        <v>JOSIEL NEVES</v>
      </c>
      <c r="N1033" s="1" t="str">
        <f t="shared" si="16"/>
        <v>JOSIEL NEVES</v>
      </c>
    </row>
    <row r="1034" spans="1:14" x14ac:dyDescent="0.3">
      <c r="A1034" s="1">
        <v>101534</v>
      </c>
      <c r="B1034" s="1" t="s">
        <v>1002</v>
      </c>
      <c r="C1034" s="5" t="s">
        <v>15</v>
      </c>
      <c r="D1034" s="2">
        <v>42982</v>
      </c>
      <c r="E1034" s="1" t="s">
        <v>686</v>
      </c>
      <c r="F1034" s="1">
        <v>39601</v>
      </c>
      <c r="G1034" s="1" t="s">
        <v>660</v>
      </c>
      <c r="H1034" s="1" t="s">
        <v>661</v>
      </c>
      <c r="J1034" s="1" t="s">
        <v>684</v>
      </c>
      <c r="K1034" s="1" t="str">
        <f>VLOOKUP(J1034,'[1]Base SCA 02 2026'!V:X,3,0)</f>
        <v>CRISOSTOMO CASTRO</v>
      </c>
      <c r="L1034" s="1" t="str">
        <f>VLOOKUP(J1034,'[1]Base SCA 02 2026'!V:Y,4,0)</f>
        <v>MATHEUS ALMEIDA</v>
      </c>
      <c r="M1034" s="1" t="str">
        <f>VLOOKUP(J1034,'[1]Base SCA 02 2026'!V:Z,5,0)</f>
        <v>ADALTON/JANILSON RORIZ/MARIVALDO</v>
      </c>
      <c r="N1034" s="1" t="str">
        <f t="shared" si="16"/>
        <v>ADALTON/JANILSON RORIZ/MARIVALDO</v>
      </c>
    </row>
    <row r="1035" spans="1:14" x14ac:dyDescent="0.3">
      <c r="A1035" s="1">
        <v>701378</v>
      </c>
      <c r="B1035" s="1" t="s">
        <v>1003</v>
      </c>
      <c r="C1035" s="5" t="s">
        <v>15</v>
      </c>
      <c r="D1035" s="2">
        <v>43759</v>
      </c>
      <c r="E1035" s="1" t="s">
        <v>16</v>
      </c>
      <c r="F1035" s="1">
        <v>24102</v>
      </c>
      <c r="G1035" s="1" t="s">
        <v>669</v>
      </c>
      <c r="H1035" s="1" t="s">
        <v>661</v>
      </c>
      <c r="J1035" s="1" t="s">
        <v>682</v>
      </c>
      <c r="K1035" s="1" t="str">
        <f>VLOOKUP(J1035,'[1]Base SCA 02 2026'!V:X,3,0)</f>
        <v>CRISOSTOMO CASTRO</v>
      </c>
      <c r="L1035" s="1" t="str">
        <f>VLOOKUP(J1035,'[1]Base SCA 02 2026'!V:Y,4,0)</f>
        <v>JOÃO FILHO</v>
      </c>
      <c r="M1035" s="1" t="str">
        <f>VLOOKUP(J1035,'[1]Base SCA 02 2026'!V:Z,5,0)</f>
        <v>ALCENO JUNIOR/JOÃO MARCOS</v>
      </c>
      <c r="N1035" s="1" t="str">
        <f t="shared" si="16"/>
        <v>ALCENO JUNIOR/JOÃO MARCOS</v>
      </c>
    </row>
    <row r="1036" spans="1:14" x14ac:dyDescent="0.3">
      <c r="A1036" s="1">
        <v>705271</v>
      </c>
      <c r="B1036" s="1" t="s">
        <v>1208</v>
      </c>
      <c r="C1036" s="5" t="s">
        <v>15</v>
      </c>
      <c r="D1036" s="2">
        <v>45762</v>
      </c>
      <c r="E1036" s="1" t="s">
        <v>31</v>
      </c>
      <c r="F1036" s="1">
        <v>24102</v>
      </c>
      <c r="G1036" s="1" t="s">
        <v>669</v>
      </c>
      <c r="H1036" s="1" t="s">
        <v>661</v>
      </c>
      <c r="J1036" s="1" t="s">
        <v>672</v>
      </c>
      <c r="K1036" s="1" t="str">
        <f>VLOOKUP(J1036,'[1]Base SCA 02 2026'!V:X,3,0)</f>
        <v>CRISOSTOMO CASTRO</v>
      </c>
      <c r="L1036" s="1" t="str">
        <f>VLOOKUP(J1036,'[1]Base SCA 02 2026'!V:Y,4,0)</f>
        <v>YAN SILVA</v>
      </c>
      <c r="M1036" s="1" t="str">
        <f>VLOOKUP(J1036,'[1]Base SCA 02 2026'!V:Z,5,0)</f>
        <v>JUNIO TEIXEIRA /GEOVANI RORIZ</v>
      </c>
      <c r="N1036" s="1" t="str">
        <f t="shared" si="16"/>
        <v>JUNIO TEIXEIRA /GEOVANI RORIZ</v>
      </c>
    </row>
    <row r="1037" spans="1:14" x14ac:dyDescent="0.3">
      <c r="A1037" s="1">
        <v>702430</v>
      </c>
      <c r="B1037" s="1" t="s">
        <v>1004</v>
      </c>
      <c r="C1037" s="5" t="s">
        <v>15</v>
      </c>
      <c r="D1037" s="2">
        <v>44390</v>
      </c>
      <c r="E1037" s="1" t="s">
        <v>31</v>
      </c>
      <c r="F1037" s="1">
        <v>24201</v>
      </c>
      <c r="G1037" s="1" t="s">
        <v>664</v>
      </c>
      <c r="H1037" s="1" t="s">
        <v>661</v>
      </c>
      <c r="J1037" s="1" t="s">
        <v>665</v>
      </c>
      <c r="K1037" s="1" t="str">
        <f>VLOOKUP(J1037,'[1]Base SCA 02 2026'!V:X,3,0)</f>
        <v>CRISOSTOMO CASTRO</v>
      </c>
      <c r="L1037" s="1" t="str">
        <f>VLOOKUP(J1037,'[1]Base SCA 02 2026'!V:Y,4,0)</f>
        <v>MATHEUS ALMEIDA</v>
      </c>
      <c r="M1037" s="1" t="str">
        <f>VLOOKUP(J1037,'[1]Base SCA 02 2026'!V:Z,5,0)</f>
        <v>JOSIEL NEVES</v>
      </c>
      <c r="N1037" s="1" t="str">
        <f t="shared" si="16"/>
        <v>JOSIEL NEVES</v>
      </c>
    </row>
    <row r="1038" spans="1:14" x14ac:dyDescent="0.3">
      <c r="A1038" s="1">
        <v>703702</v>
      </c>
      <c r="B1038" s="1" t="s">
        <v>1005</v>
      </c>
      <c r="C1038" s="5" t="s">
        <v>15</v>
      </c>
      <c r="D1038" s="2">
        <v>45019</v>
      </c>
      <c r="E1038" s="1" t="s">
        <v>328</v>
      </c>
      <c r="F1038" s="1">
        <v>32102</v>
      </c>
      <c r="G1038" s="1" t="s">
        <v>674</v>
      </c>
      <c r="H1038" s="1" t="s">
        <v>661</v>
      </c>
      <c r="J1038" s="1" t="s">
        <v>675</v>
      </c>
      <c r="K1038" s="1" t="str">
        <f>VLOOKUP(J1038,'[1]Base SCA 02 2026'!V:X,3,0)</f>
        <v>RAFAEL XAVIER</v>
      </c>
      <c r="L1038" s="1" t="str">
        <f>VLOOKUP(J1038,'[1]Base SCA 02 2026'!V:Y,4,0)</f>
        <v>FERNANDO GUILHERME</v>
      </c>
      <c r="M1038" s="1" t="str">
        <f>VLOOKUP(J1038,'[1]Base SCA 02 2026'!V:Z,5,0)</f>
        <v>MARCELO DOURADO</v>
      </c>
      <c r="N1038" s="1" t="str">
        <f t="shared" si="16"/>
        <v>MARCELO DOURADO</v>
      </c>
    </row>
    <row r="1039" spans="1:14" x14ac:dyDescent="0.3">
      <c r="A1039" s="1">
        <v>701416</v>
      </c>
      <c r="B1039" s="1" t="s">
        <v>1006</v>
      </c>
      <c r="C1039" s="5" t="s">
        <v>15</v>
      </c>
      <c r="D1039" s="2">
        <v>43773</v>
      </c>
      <c r="E1039" s="1" t="s">
        <v>507</v>
      </c>
      <c r="F1039" s="1">
        <v>24102</v>
      </c>
      <c r="G1039" s="1" t="s">
        <v>669</v>
      </c>
      <c r="H1039" s="1" t="s">
        <v>661</v>
      </c>
      <c r="J1039" s="1" t="s">
        <v>85</v>
      </c>
      <c r="K1039" s="1" t="str">
        <f>VLOOKUP(J1039,'[1]Base SCA 02 2026'!V:X,3,0)</f>
        <v>PAULO BONIFÁCIO</v>
      </c>
      <c r="L1039" s="1" t="str">
        <f>VLOOKUP(J1039,'[1]Base SCA 02 2026'!V:Y,4,0)</f>
        <v>PAULO BONIFÁCIO</v>
      </c>
      <c r="M1039" s="1" t="str">
        <f>VLOOKUP(J1039,'[1]Base SCA 02 2026'!V:Z,5,0)</f>
        <v xml:space="preserve">LEONARDO SANTOS </v>
      </c>
      <c r="N1039" s="1" t="str">
        <f t="shared" si="16"/>
        <v xml:space="preserve">LEONARDO SANTOS </v>
      </c>
    </row>
    <row r="1040" spans="1:14" x14ac:dyDescent="0.3">
      <c r="A1040" s="1">
        <v>705004</v>
      </c>
      <c r="B1040" s="1" t="s">
        <v>1007</v>
      </c>
      <c r="C1040" s="5" t="s">
        <v>92</v>
      </c>
      <c r="D1040" s="2">
        <v>45629</v>
      </c>
      <c r="E1040" s="1" t="s">
        <v>31</v>
      </c>
      <c r="F1040" s="1">
        <v>39601</v>
      </c>
      <c r="G1040" s="1" t="s">
        <v>660</v>
      </c>
      <c r="H1040" s="1" t="s">
        <v>661</v>
      </c>
      <c r="I1040" s="2">
        <v>46058</v>
      </c>
      <c r="J1040" s="1" t="s">
        <v>662</v>
      </c>
      <c r="K1040" s="1" t="str">
        <f>VLOOKUP(J1040,'[1]Base SCA 02 2026'!V:X,3,0)</f>
        <v>CRISOSTOMO CASTRO</v>
      </c>
      <c r="L1040" s="1" t="str">
        <f>VLOOKUP(J1040,'[1]Base SCA 02 2026'!V:Y,4,0)</f>
        <v>MATHEUS ALMEIDA</v>
      </c>
      <c r="N1040" s="1" t="str">
        <f t="shared" si="16"/>
        <v>MATHEUS ALMEIDA</v>
      </c>
    </row>
    <row r="1041" spans="1:14" x14ac:dyDescent="0.3">
      <c r="A1041" s="1">
        <v>703837</v>
      </c>
      <c r="B1041" s="1" t="s">
        <v>1008</v>
      </c>
      <c r="C1041" s="5" t="s">
        <v>15</v>
      </c>
      <c r="D1041" s="2">
        <v>45054</v>
      </c>
      <c r="E1041" s="1" t="s">
        <v>1009</v>
      </c>
      <c r="F1041" s="1">
        <v>38102</v>
      </c>
      <c r="G1041" s="1" t="s">
        <v>725</v>
      </c>
      <c r="H1041" s="1" t="s">
        <v>661</v>
      </c>
      <c r="J1041" s="1" t="s">
        <v>726</v>
      </c>
      <c r="K1041" s="1" t="str">
        <f>VLOOKUP(J1041,'[1]Base SCA 02 2026'!V:X,3,0)</f>
        <v xml:space="preserve">LEIDJANE MARTINS </v>
      </c>
      <c r="L1041" s="1" t="str">
        <f>VLOOKUP(J1041,'[1]Base SCA 02 2026'!V:Y,4,0)</f>
        <v xml:space="preserve">LEIDJANE MARTINS </v>
      </c>
      <c r="M1041" s="1" t="str">
        <f>VLOOKUP(J1041,'[1]Base SCA 02 2026'!V:Z,5,0)</f>
        <v>DENIS ACASSIO</v>
      </c>
      <c r="N1041" s="1" t="str">
        <f t="shared" si="16"/>
        <v>DENIS ACASSIO</v>
      </c>
    </row>
    <row r="1042" spans="1:14" x14ac:dyDescent="0.3">
      <c r="A1042" s="1">
        <v>702521</v>
      </c>
      <c r="B1042" s="1" t="s">
        <v>1010</v>
      </c>
      <c r="C1042" s="5" t="s">
        <v>15</v>
      </c>
      <c r="D1042" s="2">
        <v>44411</v>
      </c>
      <c r="E1042" s="1" t="s">
        <v>1011</v>
      </c>
      <c r="F1042" s="1">
        <v>39602</v>
      </c>
      <c r="G1042" s="1" t="s">
        <v>699</v>
      </c>
      <c r="H1042" s="1" t="s">
        <v>661</v>
      </c>
      <c r="J1042" s="1" t="s">
        <v>700</v>
      </c>
      <c r="K1042" s="1" t="str">
        <f>VLOOKUP(J1042,'[1]Base SCA 02 2026'!V:X,3,0)</f>
        <v>CRISOSTOMO CASTRO</v>
      </c>
      <c r="L1042" s="1" t="str">
        <f>VLOOKUP(J1042,'[1]Base SCA 02 2026'!V:Y,4,0)</f>
        <v>MATHEUS ALMEIDA</v>
      </c>
      <c r="M1042" s="1" t="str">
        <f>VLOOKUP(J1042,'[1]Base SCA 02 2026'!V:Z,5,0)</f>
        <v>IURY GUEDES</v>
      </c>
      <c r="N1042" s="1" t="str">
        <f t="shared" si="16"/>
        <v>IURY GUEDES</v>
      </c>
    </row>
    <row r="1043" spans="1:14" x14ac:dyDescent="0.3">
      <c r="A1043" s="1">
        <v>705555</v>
      </c>
      <c r="B1043" s="1" t="s">
        <v>1343</v>
      </c>
      <c r="C1043" s="5" t="s">
        <v>15</v>
      </c>
      <c r="D1043" s="2">
        <v>45874</v>
      </c>
      <c r="E1043" s="1" t="s">
        <v>31</v>
      </c>
      <c r="F1043" s="1">
        <v>24102</v>
      </c>
      <c r="G1043" s="1" t="s">
        <v>669</v>
      </c>
      <c r="H1043" s="1" t="s">
        <v>661</v>
      </c>
      <c r="J1043" s="1" t="s">
        <v>672</v>
      </c>
      <c r="K1043" s="1" t="str">
        <f>VLOOKUP(J1043,'[1]Base SCA 02 2026'!V:X,3,0)</f>
        <v>CRISOSTOMO CASTRO</v>
      </c>
      <c r="L1043" s="1" t="str">
        <f>VLOOKUP(J1043,'[1]Base SCA 02 2026'!V:Y,4,0)</f>
        <v>YAN SILVA</v>
      </c>
      <c r="M1043" s="1" t="str">
        <f>VLOOKUP(J1043,'[1]Base SCA 02 2026'!V:Z,5,0)</f>
        <v>JUNIO TEIXEIRA /GEOVANI RORIZ</v>
      </c>
      <c r="N1043" s="1" t="str">
        <f t="shared" si="16"/>
        <v>JUNIO TEIXEIRA /GEOVANI RORIZ</v>
      </c>
    </row>
    <row r="1044" spans="1:14" x14ac:dyDescent="0.3">
      <c r="A1044" s="1">
        <v>701777</v>
      </c>
      <c r="B1044" s="1" t="s">
        <v>1013</v>
      </c>
      <c r="C1044" s="5" t="s">
        <v>15</v>
      </c>
      <c r="D1044" s="2">
        <v>44060</v>
      </c>
      <c r="E1044" s="1" t="s">
        <v>16</v>
      </c>
      <c r="F1044" s="1">
        <v>24102</v>
      </c>
      <c r="G1044" s="1" t="s">
        <v>669</v>
      </c>
      <c r="H1044" s="1" t="s">
        <v>661</v>
      </c>
      <c r="J1044" s="1" t="s">
        <v>682</v>
      </c>
      <c r="K1044" s="1" t="str">
        <f>VLOOKUP(J1044,'[1]Base SCA 02 2026'!V:X,3,0)</f>
        <v>CRISOSTOMO CASTRO</v>
      </c>
      <c r="L1044" s="1" t="str">
        <f>VLOOKUP(J1044,'[1]Base SCA 02 2026'!V:Y,4,0)</f>
        <v>JOÃO FILHO</v>
      </c>
      <c r="M1044" s="1" t="str">
        <f>VLOOKUP(J1044,'[1]Base SCA 02 2026'!V:Z,5,0)</f>
        <v>ALCENO JUNIOR/JOÃO MARCOS</v>
      </c>
      <c r="N1044" s="1" t="str">
        <f t="shared" si="16"/>
        <v>ALCENO JUNIOR/JOÃO MARCOS</v>
      </c>
    </row>
    <row r="1045" spans="1:14" x14ac:dyDescent="0.3">
      <c r="A1045" s="1">
        <v>704978</v>
      </c>
      <c r="B1045" s="1" t="s">
        <v>1014</v>
      </c>
      <c r="C1045" s="5" t="s">
        <v>15</v>
      </c>
      <c r="D1045" s="2">
        <v>45629</v>
      </c>
      <c r="E1045" s="1" t="s">
        <v>418</v>
      </c>
      <c r="F1045" s="1">
        <v>39601</v>
      </c>
      <c r="G1045" s="1" t="s">
        <v>660</v>
      </c>
      <c r="H1045" s="1" t="s">
        <v>661</v>
      </c>
      <c r="J1045" s="1" t="s">
        <v>684</v>
      </c>
      <c r="K1045" s="1" t="str">
        <f>VLOOKUP(J1045,'[1]Base SCA 02 2026'!V:X,3,0)</f>
        <v>CRISOSTOMO CASTRO</v>
      </c>
      <c r="L1045" s="1" t="str">
        <f>VLOOKUP(J1045,'[1]Base SCA 02 2026'!V:Y,4,0)</f>
        <v>MATHEUS ALMEIDA</v>
      </c>
      <c r="M1045" s="1" t="str">
        <f>VLOOKUP(J1045,'[1]Base SCA 02 2026'!V:Z,5,0)</f>
        <v>ADALTON/JANILSON RORIZ/MARIVALDO</v>
      </c>
      <c r="N1045" s="1" t="str">
        <f t="shared" si="16"/>
        <v>ADALTON/JANILSON RORIZ/MARIVALDO</v>
      </c>
    </row>
    <row r="1046" spans="1:14" x14ac:dyDescent="0.3">
      <c r="A1046" s="1">
        <v>700841</v>
      </c>
      <c r="B1046" s="1" t="s">
        <v>1015</v>
      </c>
      <c r="C1046" s="5" t="s">
        <v>15</v>
      </c>
      <c r="D1046" s="2">
        <v>43500</v>
      </c>
      <c r="E1046" s="1" t="s">
        <v>138</v>
      </c>
      <c r="F1046" s="1">
        <v>24102</v>
      </c>
      <c r="G1046" s="1" t="s">
        <v>669</v>
      </c>
      <c r="H1046" s="1" t="s">
        <v>661</v>
      </c>
      <c r="J1046" s="1" t="s">
        <v>670</v>
      </c>
      <c r="K1046" s="1" t="str">
        <f>VLOOKUP(J1046,'[1]Base SCA 02 2026'!V:X,3,0)</f>
        <v>CRISOSTOMO CASTRO</v>
      </c>
      <c r="L1046" s="1" t="str">
        <f>VLOOKUP(J1046,'[1]Base SCA 02 2026'!V:Y,4,0)</f>
        <v>YAN SILVA</v>
      </c>
      <c r="M1046" s="1" t="str">
        <f>VLOOKUP(J1046,'[1]Base SCA 02 2026'!V:Z,5,0)</f>
        <v>JUNIO TEIXEIRA /GEOVANI RORIZ</v>
      </c>
      <c r="N1046" s="1" t="str">
        <f t="shared" si="16"/>
        <v>JUNIO TEIXEIRA /GEOVANI RORIZ</v>
      </c>
    </row>
    <row r="1047" spans="1:14" x14ac:dyDescent="0.3">
      <c r="A1047" s="1">
        <v>705861</v>
      </c>
      <c r="B1047" s="1" t="s">
        <v>1591</v>
      </c>
      <c r="C1047" s="5" t="s">
        <v>15</v>
      </c>
      <c r="D1047" s="2">
        <v>46063</v>
      </c>
      <c r="E1047" s="1" t="s">
        <v>31</v>
      </c>
      <c r="F1047" s="1">
        <v>24102</v>
      </c>
      <c r="G1047" s="1" t="s">
        <v>669</v>
      </c>
      <c r="H1047" s="1" t="s">
        <v>661</v>
      </c>
      <c r="J1047" s="1" t="s">
        <v>670</v>
      </c>
      <c r="K1047" s="1" t="str">
        <f>VLOOKUP(J1047,'[1]Base SCA 02 2026'!V:X,3,0)</f>
        <v>CRISOSTOMO CASTRO</v>
      </c>
      <c r="L1047" s="1" t="str">
        <f>VLOOKUP(J1047,'[1]Base SCA 02 2026'!V:Y,4,0)</f>
        <v>YAN SILVA</v>
      </c>
      <c r="M1047" s="1" t="str">
        <f>VLOOKUP(J1047,'[1]Base SCA 02 2026'!V:Z,5,0)</f>
        <v>JUNIO TEIXEIRA /GEOVANI RORIZ</v>
      </c>
      <c r="N1047" s="1" t="str">
        <f t="shared" si="16"/>
        <v>JUNIO TEIXEIRA /GEOVANI RORIZ</v>
      </c>
    </row>
    <row r="1048" spans="1:14" x14ac:dyDescent="0.3">
      <c r="A1048" s="1">
        <v>704113</v>
      </c>
      <c r="B1048" s="1" t="s">
        <v>1016</v>
      </c>
      <c r="C1048" s="5" t="s">
        <v>15</v>
      </c>
      <c r="D1048" s="2">
        <v>45215</v>
      </c>
      <c r="E1048" s="1" t="s">
        <v>381</v>
      </c>
      <c r="F1048" s="1">
        <v>39602</v>
      </c>
      <c r="G1048" s="1" t="s">
        <v>699</v>
      </c>
      <c r="H1048" s="1" t="s">
        <v>661</v>
      </c>
      <c r="J1048" s="1" t="s">
        <v>700</v>
      </c>
      <c r="K1048" s="1" t="str">
        <f>VLOOKUP(J1048,'[1]Base SCA 02 2026'!V:X,3,0)</f>
        <v>CRISOSTOMO CASTRO</v>
      </c>
      <c r="L1048" s="1" t="str">
        <f>VLOOKUP(J1048,'[1]Base SCA 02 2026'!V:Y,4,0)</f>
        <v>MATHEUS ALMEIDA</v>
      </c>
      <c r="M1048" s="1" t="str">
        <f>VLOOKUP(J1048,'[1]Base SCA 02 2026'!V:Z,5,0)</f>
        <v>IURY GUEDES</v>
      </c>
      <c r="N1048" s="1" t="str">
        <f t="shared" si="16"/>
        <v>IURY GUEDES</v>
      </c>
    </row>
    <row r="1049" spans="1:14" x14ac:dyDescent="0.3">
      <c r="A1049" s="1">
        <v>704225</v>
      </c>
      <c r="B1049" s="1" t="s">
        <v>1017</v>
      </c>
      <c r="C1049" s="5" t="s">
        <v>15</v>
      </c>
      <c r="D1049" s="2">
        <v>45328</v>
      </c>
      <c r="E1049" s="1" t="s">
        <v>16</v>
      </c>
      <c r="F1049" s="1">
        <v>24102</v>
      </c>
      <c r="G1049" s="1" t="s">
        <v>669</v>
      </c>
      <c r="H1049" s="1" t="s">
        <v>661</v>
      </c>
      <c r="J1049" s="1" t="s">
        <v>682</v>
      </c>
      <c r="K1049" s="1" t="str">
        <f>VLOOKUP(J1049,'[1]Base SCA 02 2026'!V:X,3,0)</f>
        <v>CRISOSTOMO CASTRO</v>
      </c>
      <c r="L1049" s="1" t="str">
        <f>VLOOKUP(J1049,'[1]Base SCA 02 2026'!V:Y,4,0)</f>
        <v>JOÃO FILHO</v>
      </c>
      <c r="M1049" s="1" t="str">
        <f>VLOOKUP(J1049,'[1]Base SCA 02 2026'!V:Z,5,0)</f>
        <v>ALCENO JUNIOR/JOÃO MARCOS</v>
      </c>
      <c r="N1049" s="1" t="str">
        <f t="shared" si="16"/>
        <v>ALCENO JUNIOR/JOÃO MARCOS</v>
      </c>
    </row>
    <row r="1050" spans="1:14" x14ac:dyDescent="0.3">
      <c r="A1050" s="1">
        <v>705850</v>
      </c>
      <c r="B1050" s="1" t="s">
        <v>1592</v>
      </c>
      <c r="C1050" s="5" t="s">
        <v>15</v>
      </c>
      <c r="D1050" s="2">
        <v>46063</v>
      </c>
      <c r="E1050" s="1" t="s">
        <v>31</v>
      </c>
      <c r="F1050" s="1">
        <v>24102</v>
      </c>
      <c r="G1050" s="1" t="s">
        <v>669</v>
      </c>
      <c r="H1050" s="1" t="s">
        <v>661</v>
      </c>
      <c r="J1050" s="1" t="s">
        <v>670</v>
      </c>
      <c r="K1050" s="1" t="str">
        <f>VLOOKUP(J1050,'[1]Base SCA 02 2026'!V:X,3,0)</f>
        <v>CRISOSTOMO CASTRO</v>
      </c>
      <c r="L1050" s="1" t="str">
        <f>VLOOKUP(J1050,'[1]Base SCA 02 2026'!V:Y,4,0)</f>
        <v>YAN SILVA</v>
      </c>
      <c r="M1050" s="1" t="str">
        <f>VLOOKUP(J1050,'[1]Base SCA 02 2026'!V:Z,5,0)</f>
        <v>JUNIO TEIXEIRA /GEOVANI RORIZ</v>
      </c>
      <c r="N1050" s="1" t="str">
        <f t="shared" si="16"/>
        <v>JUNIO TEIXEIRA /GEOVANI RORIZ</v>
      </c>
    </row>
    <row r="1051" spans="1:14" x14ac:dyDescent="0.3">
      <c r="A1051" s="1">
        <v>700941</v>
      </c>
      <c r="B1051" s="1" t="s">
        <v>1018</v>
      </c>
      <c r="C1051" s="5" t="s">
        <v>15</v>
      </c>
      <c r="D1051" s="2">
        <v>42445</v>
      </c>
      <c r="E1051" s="1" t="s">
        <v>1365</v>
      </c>
      <c r="F1051" s="1">
        <v>24101</v>
      </c>
      <c r="G1051" s="1" t="s">
        <v>968</v>
      </c>
      <c r="H1051" s="1" t="s">
        <v>661</v>
      </c>
      <c r="J1051" s="1" t="s">
        <v>273</v>
      </c>
      <c r="K1051" s="1" t="str">
        <f>VLOOKUP(J1051,'[1]Base SCA 02 2026'!V:X,3,0)</f>
        <v>MATHEUS FERNANDES</v>
      </c>
      <c r="L1051" s="1" t="str">
        <f>VLOOKUP(J1051,'[1]Base SCA 02 2026'!V:Y,4,0)</f>
        <v>MATHEUS FERNANDES</v>
      </c>
      <c r="N1051" s="1" t="str">
        <f t="shared" si="16"/>
        <v>MATHEUS FERNANDES</v>
      </c>
    </row>
    <row r="1052" spans="1:14" x14ac:dyDescent="0.3">
      <c r="A1052" s="1">
        <v>703153</v>
      </c>
      <c r="B1052" s="1" t="s">
        <v>1019</v>
      </c>
      <c r="C1052" s="5" t="s">
        <v>15</v>
      </c>
      <c r="D1052" s="2">
        <v>44733</v>
      </c>
      <c r="E1052" s="1" t="s">
        <v>686</v>
      </c>
      <c r="F1052" s="1">
        <v>39601</v>
      </c>
      <c r="G1052" s="1" t="s">
        <v>660</v>
      </c>
      <c r="H1052" s="1" t="s">
        <v>661</v>
      </c>
      <c r="J1052" s="1" t="s">
        <v>684</v>
      </c>
      <c r="K1052" s="1" t="str">
        <f>VLOOKUP(J1052,'[1]Base SCA 02 2026'!V:X,3,0)</f>
        <v>CRISOSTOMO CASTRO</v>
      </c>
      <c r="L1052" s="1" t="str">
        <f>VLOOKUP(J1052,'[1]Base SCA 02 2026'!V:Y,4,0)</f>
        <v>MATHEUS ALMEIDA</v>
      </c>
      <c r="M1052" s="1" t="str">
        <f>VLOOKUP(J1052,'[1]Base SCA 02 2026'!V:Z,5,0)</f>
        <v>ADALTON/JANILSON RORIZ/MARIVALDO</v>
      </c>
      <c r="N1052" s="1" t="str">
        <f t="shared" si="16"/>
        <v>ADALTON/JANILSON RORIZ/MARIVALDO</v>
      </c>
    </row>
    <row r="1053" spans="1:14" x14ac:dyDescent="0.3">
      <c r="A1053" s="1">
        <v>704907</v>
      </c>
      <c r="B1053" s="1" t="s">
        <v>1020</v>
      </c>
      <c r="C1053" s="5" t="s">
        <v>15</v>
      </c>
      <c r="D1053" s="2">
        <v>45601</v>
      </c>
      <c r="E1053" s="1" t="s">
        <v>31</v>
      </c>
      <c r="F1053" s="1">
        <v>39601</v>
      </c>
      <c r="G1053" s="1" t="s">
        <v>660</v>
      </c>
      <c r="H1053" s="1" t="s">
        <v>661</v>
      </c>
      <c r="J1053" s="1" t="s">
        <v>684</v>
      </c>
      <c r="K1053" s="1" t="str">
        <f>VLOOKUP(J1053,'[1]Base SCA 02 2026'!V:X,3,0)</f>
        <v>CRISOSTOMO CASTRO</v>
      </c>
      <c r="L1053" s="1" t="str">
        <f>VLOOKUP(J1053,'[1]Base SCA 02 2026'!V:Y,4,0)</f>
        <v>MATHEUS ALMEIDA</v>
      </c>
      <c r="M1053" s="1" t="str">
        <f>VLOOKUP(J1053,'[1]Base SCA 02 2026'!V:Z,5,0)</f>
        <v>ADALTON/JANILSON RORIZ/MARIVALDO</v>
      </c>
      <c r="N1053" s="1" t="str">
        <f t="shared" si="16"/>
        <v>ADALTON/JANILSON RORIZ/MARIVALDO</v>
      </c>
    </row>
    <row r="1054" spans="1:14" x14ac:dyDescent="0.3">
      <c r="A1054" s="1">
        <v>705852</v>
      </c>
      <c r="B1054" s="1" t="s">
        <v>1593</v>
      </c>
      <c r="C1054" s="5" t="s">
        <v>15</v>
      </c>
      <c r="D1054" s="2">
        <v>46063</v>
      </c>
      <c r="E1054" s="1" t="s">
        <v>31</v>
      </c>
      <c r="F1054" s="1">
        <v>24102</v>
      </c>
      <c r="G1054" s="1" t="s">
        <v>669</v>
      </c>
      <c r="H1054" s="1" t="s">
        <v>661</v>
      </c>
      <c r="J1054" s="1" t="s">
        <v>670</v>
      </c>
      <c r="K1054" s="1" t="str">
        <f>VLOOKUP(J1054,'[1]Base SCA 02 2026'!V:X,3,0)</f>
        <v>CRISOSTOMO CASTRO</v>
      </c>
      <c r="L1054" s="1" t="str">
        <f>VLOOKUP(J1054,'[1]Base SCA 02 2026'!V:Y,4,0)</f>
        <v>YAN SILVA</v>
      </c>
      <c r="M1054" s="1" t="str">
        <f>VLOOKUP(J1054,'[1]Base SCA 02 2026'!V:Z,5,0)</f>
        <v>JUNIO TEIXEIRA /GEOVANI RORIZ</v>
      </c>
      <c r="N1054" s="1" t="str">
        <f t="shared" si="16"/>
        <v>JUNIO TEIXEIRA /GEOVANI RORIZ</v>
      </c>
    </row>
    <row r="1055" spans="1:14" x14ac:dyDescent="0.3">
      <c r="A1055" s="1">
        <v>703633</v>
      </c>
      <c r="B1055" s="1" t="s">
        <v>1021</v>
      </c>
      <c r="C1055" s="5" t="s">
        <v>15</v>
      </c>
      <c r="D1055" s="2">
        <v>44993</v>
      </c>
      <c r="E1055" s="1" t="s">
        <v>238</v>
      </c>
      <c r="F1055" s="1">
        <v>37102</v>
      </c>
      <c r="G1055" s="1" t="s">
        <v>694</v>
      </c>
      <c r="H1055" s="1" t="s">
        <v>661</v>
      </c>
      <c r="J1055" s="1" t="s">
        <v>239</v>
      </c>
      <c r="K1055" s="1" t="str">
        <f>VLOOKUP(J1055,'[1]Base SCA 02 2026'!V:X,3,0)</f>
        <v>CARSON NEVES</v>
      </c>
      <c r="L1055" s="1" t="str">
        <f>VLOOKUP(J1055,'[1]Base SCA 02 2026'!V:Y,4,0)</f>
        <v>CARSON NEVES</v>
      </c>
      <c r="N1055" s="1" t="str">
        <f t="shared" si="16"/>
        <v>CARSON NEVES</v>
      </c>
    </row>
    <row r="1056" spans="1:14" x14ac:dyDescent="0.3">
      <c r="A1056" s="1">
        <v>705866</v>
      </c>
      <c r="B1056" s="1" t="s">
        <v>1594</v>
      </c>
      <c r="C1056" s="5" t="s">
        <v>15</v>
      </c>
      <c r="D1056" s="2">
        <v>46063</v>
      </c>
      <c r="E1056" s="1" t="s">
        <v>16</v>
      </c>
      <c r="F1056" s="1">
        <v>24102</v>
      </c>
      <c r="G1056" s="1" t="s">
        <v>669</v>
      </c>
      <c r="H1056" s="1" t="s">
        <v>661</v>
      </c>
      <c r="J1056" s="1" t="s">
        <v>670</v>
      </c>
      <c r="K1056" s="1" t="str">
        <f>VLOOKUP(J1056,'[1]Base SCA 02 2026'!V:X,3,0)</f>
        <v>CRISOSTOMO CASTRO</v>
      </c>
      <c r="L1056" s="1" t="str">
        <f>VLOOKUP(J1056,'[1]Base SCA 02 2026'!V:Y,4,0)</f>
        <v>YAN SILVA</v>
      </c>
      <c r="M1056" s="1" t="str">
        <f>VLOOKUP(J1056,'[1]Base SCA 02 2026'!V:Z,5,0)</f>
        <v>JUNIO TEIXEIRA /GEOVANI RORIZ</v>
      </c>
      <c r="N1056" s="1" t="str">
        <f t="shared" si="16"/>
        <v>JUNIO TEIXEIRA /GEOVANI RORIZ</v>
      </c>
    </row>
    <row r="1057" spans="1:14" x14ac:dyDescent="0.3">
      <c r="A1057" s="1">
        <v>704062</v>
      </c>
      <c r="B1057" s="1" t="s">
        <v>1022</v>
      </c>
      <c r="C1057" s="5" t="s">
        <v>15</v>
      </c>
      <c r="D1057" s="2">
        <v>45154</v>
      </c>
      <c r="E1057" s="1" t="s">
        <v>31</v>
      </c>
      <c r="F1057" s="1">
        <v>24102</v>
      </c>
      <c r="G1057" s="1" t="s">
        <v>669</v>
      </c>
      <c r="H1057" s="1" t="s">
        <v>661</v>
      </c>
      <c r="J1057" s="1" t="s">
        <v>680</v>
      </c>
      <c r="K1057" s="1" t="str">
        <f>VLOOKUP(J1057,'[1]Base SCA 02 2026'!V:X,3,0)</f>
        <v>CRISOSTOMO CASTRO</v>
      </c>
      <c r="L1057" s="1" t="str">
        <f>VLOOKUP(J1057,'[1]Base SCA 02 2026'!V:Y,4,0)</f>
        <v>YAN SILVA</v>
      </c>
      <c r="M1057" s="1" t="str">
        <f>VLOOKUP(J1057,'[1]Base SCA 02 2026'!V:Z,5,0)</f>
        <v>JUNIO TEIXEIRA /GEOVANI RORIZ</v>
      </c>
      <c r="N1057" s="1" t="str">
        <f t="shared" si="16"/>
        <v>JUNIO TEIXEIRA /GEOVANI RORIZ</v>
      </c>
    </row>
    <row r="1058" spans="1:14" x14ac:dyDescent="0.3">
      <c r="A1058" s="1">
        <v>703315</v>
      </c>
      <c r="B1058" s="1" t="s">
        <v>1023</v>
      </c>
      <c r="C1058" s="5" t="s">
        <v>15</v>
      </c>
      <c r="D1058" s="2">
        <v>44824</v>
      </c>
      <c r="E1058" s="1" t="s">
        <v>507</v>
      </c>
      <c r="F1058" s="1">
        <v>24201</v>
      </c>
      <c r="G1058" s="1" t="s">
        <v>664</v>
      </c>
      <c r="H1058" s="1" t="s">
        <v>661</v>
      </c>
      <c r="J1058" s="1" t="s">
        <v>665</v>
      </c>
      <c r="K1058" s="1" t="str">
        <f>VLOOKUP(J1058,'[1]Base SCA 02 2026'!V:X,3,0)</f>
        <v>CRISOSTOMO CASTRO</v>
      </c>
      <c r="L1058" s="1" t="str">
        <f>VLOOKUP(J1058,'[1]Base SCA 02 2026'!V:Y,4,0)</f>
        <v>MATHEUS ALMEIDA</v>
      </c>
      <c r="M1058" s="1" t="str">
        <f>VLOOKUP(J1058,'[1]Base SCA 02 2026'!V:Z,5,0)</f>
        <v>JOSIEL NEVES</v>
      </c>
      <c r="N1058" s="1" t="str">
        <f t="shared" si="16"/>
        <v>JOSIEL NEVES</v>
      </c>
    </row>
    <row r="1059" spans="1:14" x14ac:dyDescent="0.3">
      <c r="A1059" s="1">
        <v>704385</v>
      </c>
      <c r="B1059" s="1" t="s">
        <v>496</v>
      </c>
      <c r="C1059" s="5" t="s">
        <v>15</v>
      </c>
      <c r="D1059" s="2">
        <v>45391</v>
      </c>
      <c r="E1059" s="1" t="s">
        <v>905</v>
      </c>
      <c r="F1059" s="1">
        <v>32102</v>
      </c>
      <c r="G1059" s="1" t="s">
        <v>674</v>
      </c>
      <c r="H1059" s="1" t="s">
        <v>661</v>
      </c>
      <c r="J1059" s="1" t="s">
        <v>675</v>
      </c>
      <c r="K1059" s="1" t="str">
        <f>VLOOKUP(J1059,'[1]Base SCA 02 2026'!V:X,3,0)</f>
        <v>RAFAEL XAVIER</v>
      </c>
      <c r="L1059" s="1" t="str">
        <f>VLOOKUP(J1059,'[1]Base SCA 02 2026'!V:Y,4,0)</f>
        <v>FERNANDO GUILHERME</v>
      </c>
      <c r="M1059" s="1" t="str">
        <f>VLOOKUP(J1059,'[1]Base SCA 02 2026'!V:Z,5,0)</f>
        <v>MARCELO DOURADO</v>
      </c>
      <c r="N1059" s="1" t="str">
        <f t="shared" si="16"/>
        <v>MARCELO DOURADO</v>
      </c>
    </row>
    <row r="1060" spans="1:14" x14ac:dyDescent="0.3">
      <c r="A1060" s="1">
        <v>700126</v>
      </c>
      <c r="B1060" s="1" t="s">
        <v>1026</v>
      </c>
      <c r="C1060" s="5" t="s">
        <v>15</v>
      </c>
      <c r="D1060" s="2">
        <v>43192</v>
      </c>
      <c r="E1060" s="1" t="s">
        <v>31</v>
      </c>
      <c r="F1060" s="1">
        <v>24102</v>
      </c>
      <c r="G1060" s="1" t="s">
        <v>669</v>
      </c>
      <c r="H1060" s="1" t="s">
        <v>661</v>
      </c>
      <c r="J1060" s="1" t="s">
        <v>672</v>
      </c>
      <c r="K1060" s="1" t="str">
        <f>VLOOKUP(J1060,'[1]Base SCA 02 2026'!V:X,3,0)</f>
        <v>CRISOSTOMO CASTRO</v>
      </c>
      <c r="L1060" s="1" t="str">
        <f>VLOOKUP(J1060,'[1]Base SCA 02 2026'!V:Y,4,0)</f>
        <v>YAN SILVA</v>
      </c>
      <c r="M1060" s="1" t="str">
        <f>VLOOKUP(J1060,'[1]Base SCA 02 2026'!V:Z,5,0)</f>
        <v>JUNIO TEIXEIRA /GEOVANI RORIZ</v>
      </c>
      <c r="N1060" s="1" t="str">
        <f t="shared" si="16"/>
        <v>JUNIO TEIXEIRA /GEOVANI RORIZ</v>
      </c>
    </row>
    <row r="1061" spans="1:14" x14ac:dyDescent="0.3">
      <c r="A1061" s="1">
        <v>701837</v>
      </c>
      <c r="B1061" s="1" t="s">
        <v>1027</v>
      </c>
      <c r="C1061" s="5" t="s">
        <v>15</v>
      </c>
      <c r="D1061" s="2">
        <v>44125</v>
      </c>
      <c r="E1061" s="1" t="s">
        <v>31</v>
      </c>
      <c r="F1061" s="1">
        <v>24102</v>
      </c>
      <c r="G1061" s="1" t="s">
        <v>669</v>
      </c>
      <c r="H1061" s="1" t="s">
        <v>661</v>
      </c>
      <c r="J1061" s="1" t="s">
        <v>680</v>
      </c>
      <c r="K1061" s="1" t="str">
        <f>VLOOKUP(J1061,'[1]Base SCA 02 2026'!V:X,3,0)</f>
        <v>CRISOSTOMO CASTRO</v>
      </c>
      <c r="L1061" s="1" t="str">
        <f>VLOOKUP(J1061,'[1]Base SCA 02 2026'!V:Y,4,0)</f>
        <v>YAN SILVA</v>
      </c>
      <c r="M1061" s="1" t="str">
        <f>VLOOKUP(J1061,'[1]Base SCA 02 2026'!V:Z,5,0)</f>
        <v>JUNIO TEIXEIRA /GEOVANI RORIZ</v>
      </c>
      <c r="N1061" s="1" t="str">
        <f t="shared" si="16"/>
        <v>JUNIO TEIXEIRA /GEOVANI RORIZ</v>
      </c>
    </row>
    <row r="1062" spans="1:14" x14ac:dyDescent="0.3">
      <c r="A1062" s="1">
        <v>701315</v>
      </c>
      <c r="B1062" s="1" t="s">
        <v>1028</v>
      </c>
      <c r="C1062" s="5" t="s">
        <v>15</v>
      </c>
      <c r="D1062" s="2">
        <v>43732</v>
      </c>
      <c r="E1062" s="1" t="s">
        <v>146</v>
      </c>
      <c r="F1062" s="1">
        <v>24102</v>
      </c>
      <c r="G1062" s="1" t="s">
        <v>669</v>
      </c>
      <c r="H1062" s="1" t="s">
        <v>661</v>
      </c>
      <c r="J1062" s="1" t="s">
        <v>682</v>
      </c>
      <c r="K1062" s="1" t="str">
        <f>VLOOKUP(J1062,'[1]Base SCA 02 2026'!V:X,3,0)</f>
        <v>CRISOSTOMO CASTRO</v>
      </c>
      <c r="L1062" s="1" t="str">
        <f>VLOOKUP(J1062,'[1]Base SCA 02 2026'!V:Y,4,0)</f>
        <v>JOÃO FILHO</v>
      </c>
      <c r="M1062" s="1" t="str">
        <f>VLOOKUP(J1062,'[1]Base SCA 02 2026'!V:Z,5,0)</f>
        <v>ALCENO JUNIOR/JOÃO MARCOS</v>
      </c>
      <c r="N1062" s="1" t="str">
        <f t="shared" si="16"/>
        <v>ALCENO JUNIOR/JOÃO MARCOS</v>
      </c>
    </row>
    <row r="1063" spans="1:14" x14ac:dyDescent="0.3">
      <c r="A1063" s="1">
        <v>703221</v>
      </c>
      <c r="B1063" s="1" t="s">
        <v>1029</v>
      </c>
      <c r="C1063" s="5" t="s">
        <v>15</v>
      </c>
      <c r="D1063" s="2">
        <v>44756</v>
      </c>
      <c r="E1063" s="1" t="s">
        <v>686</v>
      </c>
      <c r="F1063" s="1">
        <v>39601</v>
      </c>
      <c r="G1063" s="1" t="s">
        <v>660</v>
      </c>
      <c r="H1063" s="1" t="s">
        <v>661</v>
      </c>
      <c r="J1063" s="1" t="s">
        <v>662</v>
      </c>
      <c r="K1063" s="1" t="str">
        <f>VLOOKUP(J1063,'[1]Base SCA 02 2026'!V:X,3,0)</f>
        <v>CRISOSTOMO CASTRO</v>
      </c>
      <c r="L1063" s="1" t="str">
        <f>VLOOKUP(J1063,'[1]Base SCA 02 2026'!V:Y,4,0)</f>
        <v>MATHEUS ALMEIDA</v>
      </c>
      <c r="N1063" s="1" t="str">
        <f t="shared" si="16"/>
        <v>MATHEUS ALMEIDA</v>
      </c>
    </row>
    <row r="1064" spans="1:14" x14ac:dyDescent="0.3">
      <c r="A1064" s="1">
        <v>705070</v>
      </c>
      <c r="B1064" s="1" t="s">
        <v>1030</v>
      </c>
      <c r="C1064" s="5" t="s">
        <v>15</v>
      </c>
      <c r="D1064" s="2">
        <v>45670</v>
      </c>
      <c r="E1064" s="1" t="s">
        <v>31</v>
      </c>
      <c r="F1064" s="1">
        <v>24102</v>
      </c>
      <c r="G1064" s="1" t="s">
        <v>669</v>
      </c>
      <c r="H1064" s="1" t="s">
        <v>661</v>
      </c>
      <c r="J1064" s="1" t="s">
        <v>672</v>
      </c>
      <c r="K1064" s="1" t="str">
        <f>VLOOKUP(J1064,'[1]Base SCA 02 2026'!V:X,3,0)</f>
        <v>CRISOSTOMO CASTRO</v>
      </c>
      <c r="L1064" s="1" t="str">
        <f>VLOOKUP(J1064,'[1]Base SCA 02 2026'!V:Y,4,0)</f>
        <v>YAN SILVA</v>
      </c>
      <c r="M1064" s="1" t="str">
        <f>VLOOKUP(J1064,'[1]Base SCA 02 2026'!V:Z,5,0)</f>
        <v>JUNIO TEIXEIRA /GEOVANI RORIZ</v>
      </c>
      <c r="N1064" s="1" t="str">
        <f t="shared" si="16"/>
        <v>JUNIO TEIXEIRA /GEOVANI RORIZ</v>
      </c>
    </row>
    <row r="1065" spans="1:14" x14ac:dyDescent="0.3">
      <c r="A1065" s="1">
        <v>704927</v>
      </c>
      <c r="B1065" s="1" t="s">
        <v>1366</v>
      </c>
      <c r="C1065" s="5" t="s">
        <v>15</v>
      </c>
      <c r="D1065" s="2">
        <v>45601</v>
      </c>
      <c r="E1065" s="1" t="s">
        <v>138</v>
      </c>
      <c r="F1065" s="1">
        <v>24102</v>
      </c>
      <c r="G1065" s="1" t="s">
        <v>669</v>
      </c>
      <c r="H1065" s="1" t="s">
        <v>661</v>
      </c>
      <c r="J1065" s="1" t="s">
        <v>682</v>
      </c>
      <c r="K1065" s="1" t="str">
        <f>VLOOKUP(J1065,'[1]Base SCA 02 2026'!V:X,3,0)</f>
        <v>CRISOSTOMO CASTRO</v>
      </c>
      <c r="L1065" s="1" t="str">
        <f>VLOOKUP(J1065,'[1]Base SCA 02 2026'!V:Y,4,0)</f>
        <v>JOÃO FILHO</v>
      </c>
      <c r="M1065" s="1" t="str">
        <f>VLOOKUP(J1065,'[1]Base SCA 02 2026'!V:Z,5,0)</f>
        <v>ALCENO JUNIOR/JOÃO MARCOS</v>
      </c>
      <c r="N1065" s="1" t="str">
        <f t="shared" si="16"/>
        <v>ALCENO JUNIOR/JOÃO MARCOS</v>
      </c>
    </row>
    <row r="1066" spans="1:14" x14ac:dyDescent="0.3">
      <c r="A1066" s="1">
        <v>703939</v>
      </c>
      <c r="B1066" s="1" t="s">
        <v>1031</v>
      </c>
      <c r="C1066" s="5" t="s">
        <v>15</v>
      </c>
      <c r="D1066" s="2">
        <v>45089</v>
      </c>
      <c r="E1066" s="1" t="s">
        <v>31</v>
      </c>
      <c r="F1066" s="1">
        <v>24102</v>
      </c>
      <c r="G1066" s="1" t="s">
        <v>669</v>
      </c>
      <c r="H1066" s="1" t="s">
        <v>661</v>
      </c>
      <c r="J1066" s="1" t="s">
        <v>680</v>
      </c>
      <c r="K1066" s="1" t="str">
        <f>VLOOKUP(J1066,'[1]Base SCA 02 2026'!V:X,3,0)</f>
        <v>CRISOSTOMO CASTRO</v>
      </c>
      <c r="L1066" s="1" t="str">
        <f>VLOOKUP(J1066,'[1]Base SCA 02 2026'!V:Y,4,0)</f>
        <v>YAN SILVA</v>
      </c>
      <c r="M1066" s="1" t="str">
        <f>VLOOKUP(J1066,'[1]Base SCA 02 2026'!V:Z,5,0)</f>
        <v>JUNIO TEIXEIRA /GEOVANI RORIZ</v>
      </c>
      <c r="N1066" s="1" t="str">
        <f t="shared" si="16"/>
        <v>JUNIO TEIXEIRA /GEOVANI RORIZ</v>
      </c>
    </row>
    <row r="1067" spans="1:14" x14ac:dyDescent="0.3">
      <c r="A1067" s="1">
        <v>700661</v>
      </c>
      <c r="B1067" s="1" t="s">
        <v>1032</v>
      </c>
      <c r="C1067" s="5" t="s">
        <v>15</v>
      </c>
      <c r="D1067" s="2">
        <v>42989</v>
      </c>
      <c r="E1067" s="1" t="s">
        <v>1363</v>
      </c>
      <c r="F1067" s="1">
        <v>39203</v>
      </c>
      <c r="G1067" s="1" t="s">
        <v>709</v>
      </c>
      <c r="H1067" s="1" t="s">
        <v>661</v>
      </c>
      <c r="J1067" s="1" t="s">
        <v>710</v>
      </c>
      <c r="K1067" s="1" t="str">
        <f>VLOOKUP(J1067,'[1]Base SCA 02 2026'!V:X,3,0)</f>
        <v>ANDREZA LARDO</v>
      </c>
      <c r="L1067" s="1" t="str">
        <f>VLOOKUP(J1067,'[1]Base SCA 02 2026'!V:Y,4,0)</f>
        <v>ANDREZA LARDO</v>
      </c>
      <c r="M1067" s="1" t="str">
        <f>VLOOKUP(J1067,'[1]Base SCA 02 2026'!V:Z,5,0)</f>
        <v>ADENILTON RODRIGUES</v>
      </c>
      <c r="N1067" s="1" t="str">
        <f t="shared" si="16"/>
        <v>ADENILTON RODRIGUES</v>
      </c>
    </row>
    <row r="1068" spans="1:14" x14ac:dyDescent="0.3">
      <c r="A1068" s="1">
        <v>705281</v>
      </c>
      <c r="B1068" s="1" t="s">
        <v>1033</v>
      </c>
      <c r="C1068" s="5" t="s">
        <v>15</v>
      </c>
      <c r="D1068" s="2">
        <v>45762</v>
      </c>
      <c r="E1068" s="1" t="s">
        <v>31</v>
      </c>
      <c r="F1068" s="1">
        <v>39601</v>
      </c>
      <c r="G1068" s="1" t="s">
        <v>660</v>
      </c>
      <c r="H1068" s="1" t="s">
        <v>661</v>
      </c>
      <c r="J1068" s="1" t="s">
        <v>684</v>
      </c>
      <c r="K1068" s="1" t="str">
        <f>VLOOKUP(J1068,'[1]Base SCA 02 2026'!V:X,3,0)</f>
        <v>CRISOSTOMO CASTRO</v>
      </c>
      <c r="L1068" s="1" t="str">
        <f>VLOOKUP(J1068,'[1]Base SCA 02 2026'!V:Y,4,0)</f>
        <v>MATHEUS ALMEIDA</v>
      </c>
      <c r="M1068" s="1" t="str">
        <f>VLOOKUP(J1068,'[1]Base SCA 02 2026'!V:Z,5,0)</f>
        <v>ADALTON/JANILSON RORIZ/MARIVALDO</v>
      </c>
      <c r="N1068" s="1" t="str">
        <f t="shared" si="16"/>
        <v>ADALTON/JANILSON RORIZ/MARIVALDO</v>
      </c>
    </row>
    <row r="1069" spans="1:14" x14ac:dyDescent="0.3">
      <c r="A1069" s="1">
        <v>700351</v>
      </c>
      <c r="B1069" s="1" t="s">
        <v>1034</v>
      </c>
      <c r="C1069" s="5" t="s">
        <v>15</v>
      </c>
      <c r="D1069" s="2">
        <v>43297</v>
      </c>
      <c r="E1069" s="1" t="s">
        <v>146</v>
      </c>
      <c r="F1069" s="1">
        <v>39601</v>
      </c>
      <c r="G1069" s="1" t="s">
        <v>660</v>
      </c>
      <c r="H1069" s="1" t="s">
        <v>661</v>
      </c>
      <c r="J1069" s="1" t="s">
        <v>662</v>
      </c>
      <c r="K1069" s="1" t="str">
        <f>VLOOKUP(J1069,'[1]Base SCA 02 2026'!V:X,3,0)</f>
        <v>CRISOSTOMO CASTRO</v>
      </c>
      <c r="L1069" s="1" t="str">
        <f>VLOOKUP(J1069,'[1]Base SCA 02 2026'!V:Y,4,0)</f>
        <v>MATHEUS ALMEIDA</v>
      </c>
      <c r="N1069" s="1" t="str">
        <f t="shared" si="16"/>
        <v>MATHEUS ALMEIDA</v>
      </c>
    </row>
    <row r="1070" spans="1:14" x14ac:dyDescent="0.3">
      <c r="A1070" s="1">
        <v>704977</v>
      </c>
      <c r="B1070" s="1" t="s">
        <v>1035</v>
      </c>
      <c r="C1070" s="5" t="s">
        <v>15</v>
      </c>
      <c r="D1070" s="2">
        <v>45629</v>
      </c>
      <c r="E1070" s="1" t="s">
        <v>427</v>
      </c>
      <c r="F1070" s="1">
        <v>39602</v>
      </c>
      <c r="G1070" s="1" t="s">
        <v>699</v>
      </c>
      <c r="H1070" s="1" t="s">
        <v>661</v>
      </c>
      <c r="J1070" s="1" t="s">
        <v>700</v>
      </c>
      <c r="K1070" s="1" t="str">
        <f>VLOOKUP(J1070,'[1]Base SCA 02 2026'!V:X,3,0)</f>
        <v>CRISOSTOMO CASTRO</v>
      </c>
      <c r="L1070" s="1" t="str">
        <f>VLOOKUP(J1070,'[1]Base SCA 02 2026'!V:Y,4,0)</f>
        <v>MATHEUS ALMEIDA</v>
      </c>
      <c r="M1070" s="1" t="str">
        <f>VLOOKUP(J1070,'[1]Base SCA 02 2026'!V:Z,5,0)</f>
        <v>IURY GUEDES</v>
      </c>
      <c r="N1070" s="1" t="str">
        <f t="shared" si="16"/>
        <v>IURY GUEDES</v>
      </c>
    </row>
    <row r="1071" spans="1:14" x14ac:dyDescent="0.3">
      <c r="A1071" s="1">
        <v>701596</v>
      </c>
      <c r="B1071" s="1" t="s">
        <v>1036</v>
      </c>
      <c r="C1071" s="5" t="s">
        <v>15</v>
      </c>
      <c r="D1071" s="2">
        <v>43985</v>
      </c>
      <c r="E1071" s="1" t="s">
        <v>1037</v>
      </c>
      <c r="F1071" s="1">
        <v>32102</v>
      </c>
      <c r="G1071" s="1" t="s">
        <v>674</v>
      </c>
      <c r="H1071" s="1" t="s">
        <v>661</v>
      </c>
      <c r="J1071" s="1" t="s">
        <v>197</v>
      </c>
      <c r="K1071" s="1" t="str">
        <f>VLOOKUP(J1071,'[1]Base SCA 02 2026'!V:X,3,0)</f>
        <v xml:space="preserve">CARLOS OLIVEIRA </v>
      </c>
      <c r="L1071" s="1" t="str">
        <f>VLOOKUP(J1071,'[1]Base SCA 02 2026'!V:Y,4,0)</f>
        <v xml:space="preserve">CARLOS OLIVEIRA </v>
      </c>
      <c r="N1071" s="1" t="str">
        <f t="shared" si="16"/>
        <v xml:space="preserve">CARLOS OLIVEIRA </v>
      </c>
    </row>
    <row r="1072" spans="1:14" x14ac:dyDescent="0.3">
      <c r="A1072" s="1">
        <v>705693</v>
      </c>
      <c r="B1072" s="1" t="s">
        <v>1467</v>
      </c>
      <c r="C1072" s="5" t="s">
        <v>15</v>
      </c>
      <c r="D1072" s="2">
        <v>45971</v>
      </c>
      <c r="E1072" s="1" t="s">
        <v>1346</v>
      </c>
      <c r="F1072" s="1">
        <v>39203</v>
      </c>
      <c r="G1072" s="1" t="s">
        <v>709</v>
      </c>
      <c r="H1072" s="1" t="s">
        <v>661</v>
      </c>
      <c r="J1072" s="1" t="s">
        <v>710</v>
      </c>
      <c r="K1072" s="1" t="str">
        <f>VLOOKUP(J1072,'[1]Base SCA 02 2026'!V:X,3,0)</f>
        <v>ANDREZA LARDO</v>
      </c>
      <c r="L1072" s="1" t="str">
        <f>VLOOKUP(J1072,'[1]Base SCA 02 2026'!V:Y,4,0)</f>
        <v>ANDREZA LARDO</v>
      </c>
      <c r="M1072" s="1" t="str">
        <f>VLOOKUP(J1072,'[1]Base SCA 02 2026'!V:Z,5,0)</f>
        <v>ADENILTON RODRIGUES</v>
      </c>
      <c r="N1072" s="1" t="str">
        <f t="shared" si="16"/>
        <v>ADENILTON RODRIGUES</v>
      </c>
    </row>
    <row r="1073" spans="1:14" x14ac:dyDescent="0.3">
      <c r="A1073" s="1">
        <v>705671</v>
      </c>
      <c r="B1073" s="1" t="s">
        <v>1435</v>
      </c>
      <c r="C1073" s="5" t="s">
        <v>92</v>
      </c>
      <c r="D1073" s="2">
        <v>45944</v>
      </c>
      <c r="E1073" s="1" t="s">
        <v>31</v>
      </c>
      <c r="F1073" s="1">
        <v>39601</v>
      </c>
      <c r="G1073" s="1" t="s">
        <v>660</v>
      </c>
      <c r="H1073" s="1" t="s">
        <v>661</v>
      </c>
      <c r="I1073" s="2">
        <v>46058</v>
      </c>
      <c r="J1073" s="1" t="s">
        <v>684</v>
      </c>
      <c r="K1073" s="1" t="str">
        <f>VLOOKUP(J1073,'[1]Base SCA 02 2026'!V:X,3,0)</f>
        <v>CRISOSTOMO CASTRO</v>
      </c>
      <c r="L1073" s="1" t="str">
        <f>VLOOKUP(J1073,'[1]Base SCA 02 2026'!V:Y,4,0)</f>
        <v>MATHEUS ALMEIDA</v>
      </c>
      <c r="M1073" s="1" t="str">
        <f>VLOOKUP(J1073,'[1]Base SCA 02 2026'!V:Z,5,0)</f>
        <v>ADALTON/JANILSON RORIZ/MARIVALDO</v>
      </c>
      <c r="N1073" s="1" t="str">
        <f t="shared" si="16"/>
        <v>ADALTON/JANILSON RORIZ/MARIVALDO</v>
      </c>
    </row>
    <row r="1074" spans="1:14" x14ac:dyDescent="0.3">
      <c r="A1074" s="1">
        <v>700186</v>
      </c>
      <c r="B1074" s="1" t="s">
        <v>1038</v>
      </c>
      <c r="C1074" s="5" t="s">
        <v>15</v>
      </c>
      <c r="D1074" s="2">
        <v>43234</v>
      </c>
      <c r="E1074" s="1" t="s">
        <v>166</v>
      </c>
      <c r="F1074" s="1">
        <v>24102</v>
      </c>
      <c r="G1074" s="1" t="s">
        <v>669</v>
      </c>
      <c r="H1074" s="1" t="s">
        <v>661</v>
      </c>
      <c r="J1074" s="1" t="s">
        <v>670</v>
      </c>
      <c r="K1074" s="1" t="str">
        <f>VLOOKUP(J1074,'[1]Base SCA 02 2026'!V:X,3,0)</f>
        <v>CRISOSTOMO CASTRO</v>
      </c>
      <c r="L1074" s="1" t="str">
        <f>VLOOKUP(J1074,'[1]Base SCA 02 2026'!V:Y,4,0)</f>
        <v>YAN SILVA</v>
      </c>
      <c r="M1074" s="1" t="str">
        <f>VLOOKUP(J1074,'[1]Base SCA 02 2026'!V:Z,5,0)</f>
        <v>JUNIO TEIXEIRA /GEOVANI RORIZ</v>
      </c>
      <c r="N1074" s="1" t="str">
        <f t="shared" si="16"/>
        <v>JUNIO TEIXEIRA /GEOVANI RORIZ</v>
      </c>
    </row>
    <row r="1075" spans="1:14" x14ac:dyDescent="0.3">
      <c r="A1075" s="1">
        <v>705672</v>
      </c>
      <c r="B1075" s="1" t="s">
        <v>504</v>
      </c>
      <c r="C1075" s="5" t="s">
        <v>15</v>
      </c>
      <c r="D1075" s="2">
        <v>45944</v>
      </c>
      <c r="E1075" s="1" t="s">
        <v>31</v>
      </c>
      <c r="F1075" s="1">
        <v>39601</v>
      </c>
      <c r="G1075" s="1" t="s">
        <v>660</v>
      </c>
      <c r="H1075" s="1" t="s">
        <v>661</v>
      </c>
      <c r="J1075" s="1" t="s">
        <v>662</v>
      </c>
      <c r="K1075" s="1" t="str">
        <f>VLOOKUP(J1075,'[1]Base SCA 02 2026'!V:X,3,0)</f>
        <v>CRISOSTOMO CASTRO</v>
      </c>
      <c r="L1075" s="1" t="str">
        <f>VLOOKUP(J1075,'[1]Base SCA 02 2026'!V:Y,4,0)</f>
        <v>MATHEUS ALMEIDA</v>
      </c>
      <c r="N1075" s="1" t="str">
        <f t="shared" si="16"/>
        <v>MATHEUS ALMEIDA</v>
      </c>
    </row>
    <row r="1076" spans="1:14" x14ac:dyDescent="0.3">
      <c r="A1076" s="1">
        <v>705301</v>
      </c>
      <c r="B1076" s="1" t="s">
        <v>1209</v>
      </c>
      <c r="C1076" s="5" t="s">
        <v>92</v>
      </c>
      <c r="D1076" s="2">
        <v>45762</v>
      </c>
      <c r="E1076" s="1" t="s">
        <v>31</v>
      </c>
      <c r="F1076" s="1">
        <v>39601</v>
      </c>
      <c r="G1076" s="1" t="s">
        <v>660</v>
      </c>
      <c r="H1076" s="1" t="s">
        <v>661</v>
      </c>
      <c r="I1076" s="2">
        <v>46058</v>
      </c>
      <c r="J1076" s="1" t="s">
        <v>684</v>
      </c>
      <c r="K1076" s="1" t="str">
        <f>VLOOKUP(J1076,'[1]Base SCA 02 2026'!V:X,3,0)</f>
        <v>CRISOSTOMO CASTRO</v>
      </c>
      <c r="L1076" s="1" t="str">
        <f>VLOOKUP(J1076,'[1]Base SCA 02 2026'!V:Y,4,0)</f>
        <v>MATHEUS ALMEIDA</v>
      </c>
      <c r="M1076" s="1" t="str">
        <f>VLOOKUP(J1076,'[1]Base SCA 02 2026'!V:Z,5,0)</f>
        <v>ADALTON/JANILSON RORIZ/MARIVALDO</v>
      </c>
      <c r="N1076" s="1" t="str">
        <f t="shared" si="16"/>
        <v>ADALTON/JANILSON RORIZ/MARIVALDO</v>
      </c>
    </row>
    <row r="1077" spans="1:14" x14ac:dyDescent="0.3">
      <c r="A1077" s="1">
        <v>703683</v>
      </c>
      <c r="B1077" s="1" t="s">
        <v>1039</v>
      </c>
      <c r="C1077" s="5" t="s">
        <v>15</v>
      </c>
      <c r="D1077" s="2">
        <v>45019</v>
      </c>
      <c r="E1077" s="1" t="s">
        <v>146</v>
      </c>
      <c r="F1077" s="1">
        <v>39601</v>
      </c>
      <c r="G1077" s="1" t="s">
        <v>660</v>
      </c>
      <c r="H1077" s="1" t="s">
        <v>661</v>
      </c>
      <c r="J1077" s="1" t="s">
        <v>684</v>
      </c>
      <c r="K1077" s="1" t="str">
        <f>VLOOKUP(J1077,'[1]Base SCA 02 2026'!V:X,3,0)</f>
        <v>CRISOSTOMO CASTRO</v>
      </c>
      <c r="L1077" s="1" t="str">
        <f>VLOOKUP(J1077,'[1]Base SCA 02 2026'!V:Y,4,0)</f>
        <v>MATHEUS ALMEIDA</v>
      </c>
      <c r="M1077" s="1" t="str">
        <f>VLOOKUP(J1077,'[1]Base SCA 02 2026'!V:Z,5,0)</f>
        <v>ADALTON/JANILSON RORIZ/MARIVALDO</v>
      </c>
      <c r="N1077" s="1" t="str">
        <f t="shared" si="16"/>
        <v>ADALTON/JANILSON RORIZ/MARIVALDO</v>
      </c>
    </row>
    <row r="1078" spans="1:14" x14ac:dyDescent="0.3">
      <c r="A1078" s="1">
        <v>701197</v>
      </c>
      <c r="B1078" s="1" t="s">
        <v>1040</v>
      </c>
      <c r="C1078" s="5" t="s">
        <v>15</v>
      </c>
      <c r="D1078" s="2">
        <v>43682</v>
      </c>
      <c r="E1078" s="1" t="s">
        <v>507</v>
      </c>
      <c r="F1078" s="1">
        <v>24201</v>
      </c>
      <c r="G1078" s="1" t="s">
        <v>664</v>
      </c>
      <c r="H1078" s="1" t="s">
        <v>661</v>
      </c>
      <c r="J1078" s="1" t="s">
        <v>665</v>
      </c>
      <c r="K1078" s="1" t="str">
        <f>VLOOKUP(J1078,'[1]Base SCA 02 2026'!V:X,3,0)</f>
        <v>CRISOSTOMO CASTRO</v>
      </c>
      <c r="L1078" s="1" t="str">
        <f>VLOOKUP(J1078,'[1]Base SCA 02 2026'!V:Y,4,0)</f>
        <v>MATHEUS ALMEIDA</v>
      </c>
      <c r="M1078" s="1" t="str">
        <f>VLOOKUP(J1078,'[1]Base SCA 02 2026'!V:Z,5,0)</f>
        <v>JOSIEL NEVES</v>
      </c>
      <c r="N1078" s="1" t="str">
        <f t="shared" si="16"/>
        <v>JOSIEL NEVES</v>
      </c>
    </row>
    <row r="1079" spans="1:14" x14ac:dyDescent="0.3">
      <c r="A1079" s="1">
        <v>702616</v>
      </c>
      <c r="B1079" s="1" t="s">
        <v>1041</v>
      </c>
      <c r="C1079" s="5" t="s">
        <v>15</v>
      </c>
      <c r="D1079" s="2">
        <v>44487</v>
      </c>
      <c r="E1079" s="1" t="s">
        <v>60</v>
      </c>
      <c r="F1079" s="1">
        <v>24102</v>
      </c>
      <c r="G1079" s="1" t="s">
        <v>669</v>
      </c>
      <c r="H1079" s="1" t="s">
        <v>661</v>
      </c>
      <c r="J1079" s="1" t="s">
        <v>682</v>
      </c>
      <c r="K1079" s="1" t="str">
        <f>VLOOKUP(J1079,'[1]Base SCA 02 2026'!V:X,3,0)</f>
        <v>CRISOSTOMO CASTRO</v>
      </c>
      <c r="L1079" s="1" t="str">
        <f>VLOOKUP(J1079,'[1]Base SCA 02 2026'!V:Y,4,0)</f>
        <v>JOÃO FILHO</v>
      </c>
      <c r="M1079" s="1" t="str">
        <f>VLOOKUP(J1079,'[1]Base SCA 02 2026'!V:Z,5,0)</f>
        <v>ALCENO JUNIOR/JOÃO MARCOS</v>
      </c>
      <c r="N1079" s="1" t="str">
        <f t="shared" si="16"/>
        <v>ALCENO JUNIOR/JOÃO MARCOS</v>
      </c>
    </row>
    <row r="1080" spans="1:14" x14ac:dyDescent="0.3">
      <c r="A1080" s="1">
        <v>705075</v>
      </c>
      <c r="B1080" s="1" t="s">
        <v>1044</v>
      </c>
      <c r="C1080" s="5" t="s">
        <v>15</v>
      </c>
      <c r="D1080" s="2">
        <v>45671</v>
      </c>
      <c r="E1080" s="1" t="s">
        <v>31</v>
      </c>
      <c r="F1080" s="1">
        <v>24102</v>
      </c>
      <c r="G1080" s="1" t="s">
        <v>669</v>
      </c>
      <c r="H1080" s="1" t="s">
        <v>661</v>
      </c>
      <c r="J1080" s="1" t="s">
        <v>672</v>
      </c>
      <c r="K1080" s="1" t="str">
        <f>VLOOKUP(J1080,'[1]Base SCA 02 2026'!V:X,3,0)</f>
        <v>CRISOSTOMO CASTRO</v>
      </c>
      <c r="L1080" s="1" t="str">
        <f>VLOOKUP(J1080,'[1]Base SCA 02 2026'!V:Y,4,0)</f>
        <v>YAN SILVA</v>
      </c>
      <c r="M1080" s="1" t="str">
        <f>VLOOKUP(J1080,'[1]Base SCA 02 2026'!V:Z,5,0)</f>
        <v>JUNIO TEIXEIRA /GEOVANI RORIZ</v>
      </c>
      <c r="N1080" s="1" t="str">
        <f t="shared" si="16"/>
        <v>JUNIO TEIXEIRA /GEOVANI RORIZ</v>
      </c>
    </row>
    <row r="1081" spans="1:14" x14ac:dyDescent="0.3">
      <c r="A1081" s="1">
        <v>703936</v>
      </c>
      <c r="B1081" s="1" t="s">
        <v>1045</v>
      </c>
      <c r="C1081" s="5" t="s">
        <v>15</v>
      </c>
      <c r="D1081" s="2">
        <v>45089</v>
      </c>
      <c r="E1081" s="1" t="s">
        <v>138</v>
      </c>
      <c r="F1081" s="1">
        <v>24102</v>
      </c>
      <c r="G1081" s="1" t="s">
        <v>669</v>
      </c>
      <c r="H1081" s="1" t="s">
        <v>661</v>
      </c>
      <c r="J1081" s="1" t="s">
        <v>682</v>
      </c>
      <c r="K1081" s="1" t="str">
        <f>VLOOKUP(J1081,'[1]Base SCA 02 2026'!V:X,3,0)</f>
        <v>CRISOSTOMO CASTRO</v>
      </c>
      <c r="L1081" s="1" t="str">
        <f>VLOOKUP(J1081,'[1]Base SCA 02 2026'!V:Y,4,0)</f>
        <v>JOÃO FILHO</v>
      </c>
      <c r="M1081" s="1" t="str">
        <f>VLOOKUP(J1081,'[1]Base SCA 02 2026'!V:Z,5,0)</f>
        <v>ALCENO JUNIOR/JOÃO MARCOS</v>
      </c>
      <c r="N1081" s="1" t="str">
        <f t="shared" si="16"/>
        <v>ALCENO JUNIOR/JOÃO MARCOS</v>
      </c>
    </row>
    <row r="1082" spans="1:14" x14ac:dyDescent="0.3">
      <c r="A1082" s="1">
        <v>704395</v>
      </c>
      <c r="B1082" s="1" t="s">
        <v>1046</v>
      </c>
      <c r="C1082" s="5" t="s">
        <v>15</v>
      </c>
      <c r="D1082" s="2">
        <v>45391</v>
      </c>
      <c r="E1082" s="1" t="s">
        <v>27</v>
      </c>
      <c r="F1082" s="1">
        <v>39601</v>
      </c>
      <c r="G1082" s="1" t="s">
        <v>660</v>
      </c>
      <c r="H1082" s="1" t="s">
        <v>661</v>
      </c>
      <c r="J1082" s="1" t="s">
        <v>662</v>
      </c>
      <c r="K1082" s="1" t="str">
        <f>VLOOKUP(J1082,'[1]Base SCA 02 2026'!V:X,3,0)</f>
        <v>CRISOSTOMO CASTRO</v>
      </c>
      <c r="L1082" s="1" t="str">
        <f>VLOOKUP(J1082,'[1]Base SCA 02 2026'!V:Y,4,0)</f>
        <v>MATHEUS ALMEIDA</v>
      </c>
      <c r="N1082" s="1" t="str">
        <f t="shared" si="16"/>
        <v>MATHEUS ALMEIDA</v>
      </c>
    </row>
    <row r="1083" spans="1:14" x14ac:dyDescent="0.3">
      <c r="A1083" s="1">
        <v>704692</v>
      </c>
      <c r="B1083" s="1" t="s">
        <v>1047</v>
      </c>
      <c r="C1083" s="5" t="s">
        <v>92</v>
      </c>
      <c r="D1083" s="2">
        <v>45510</v>
      </c>
      <c r="E1083" s="1" t="s">
        <v>31</v>
      </c>
      <c r="F1083" s="1">
        <v>39601</v>
      </c>
      <c r="G1083" s="1" t="s">
        <v>660</v>
      </c>
      <c r="H1083" s="1" t="s">
        <v>661</v>
      </c>
      <c r="I1083" s="2">
        <v>46058</v>
      </c>
      <c r="J1083" s="1" t="s">
        <v>684</v>
      </c>
      <c r="K1083" s="1" t="str">
        <f>VLOOKUP(J1083,'[1]Base SCA 02 2026'!V:X,3,0)</f>
        <v>CRISOSTOMO CASTRO</v>
      </c>
      <c r="L1083" s="1" t="str">
        <f>VLOOKUP(J1083,'[1]Base SCA 02 2026'!V:Y,4,0)</f>
        <v>MATHEUS ALMEIDA</v>
      </c>
      <c r="M1083" s="1" t="str">
        <f>VLOOKUP(J1083,'[1]Base SCA 02 2026'!V:Z,5,0)</f>
        <v>ADALTON/JANILSON RORIZ/MARIVALDO</v>
      </c>
      <c r="N1083" s="1" t="str">
        <f t="shared" si="16"/>
        <v>ADALTON/JANILSON RORIZ/MARIVALDO</v>
      </c>
    </row>
    <row r="1084" spans="1:14" x14ac:dyDescent="0.3">
      <c r="A1084" s="1">
        <v>703239</v>
      </c>
      <c r="B1084" s="1" t="s">
        <v>1048</v>
      </c>
      <c r="C1084" s="5" t="s">
        <v>15</v>
      </c>
      <c r="D1084" s="2">
        <v>44760</v>
      </c>
      <c r="E1084" s="1" t="s">
        <v>230</v>
      </c>
      <c r="F1084" s="1">
        <v>38102</v>
      </c>
      <c r="G1084" s="1" t="s">
        <v>725</v>
      </c>
      <c r="H1084" s="1" t="s">
        <v>661</v>
      </c>
      <c r="J1084" s="1" t="s">
        <v>726</v>
      </c>
      <c r="K1084" s="1" t="str">
        <f>VLOOKUP(J1084,'[1]Base SCA 02 2026'!V:X,3,0)</f>
        <v xml:space="preserve">LEIDJANE MARTINS </v>
      </c>
      <c r="L1084" s="1" t="str">
        <f>VLOOKUP(J1084,'[1]Base SCA 02 2026'!V:Y,4,0)</f>
        <v xml:space="preserve">LEIDJANE MARTINS </v>
      </c>
      <c r="M1084" s="1" t="str">
        <f>VLOOKUP(J1084,'[1]Base SCA 02 2026'!V:Z,5,0)</f>
        <v>DENIS ACASSIO</v>
      </c>
      <c r="N1084" s="1" t="str">
        <f t="shared" si="16"/>
        <v>DENIS ACASSIO</v>
      </c>
    </row>
    <row r="1085" spans="1:14" x14ac:dyDescent="0.3">
      <c r="A1085" s="1">
        <v>700755</v>
      </c>
      <c r="B1085" s="1" t="s">
        <v>1049</v>
      </c>
      <c r="C1085" s="5" t="s">
        <v>15</v>
      </c>
      <c r="D1085" s="2">
        <v>43410</v>
      </c>
      <c r="E1085" s="1" t="s">
        <v>97</v>
      </c>
      <c r="F1085" s="1">
        <v>32102</v>
      </c>
      <c r="G1085" s="1" t="s">
        <v>674</v>
      </c>
      <c r="H1085" s="1" t="s">
        <v>661</v>
      </c>
      <c r="J1085" s="1" t="s">
        <v>675</v>
      </c>
      <c r="K1085" s="1" t="str">
        <f>VLOOKUP(J1085,'[1]Base SCA 02 2026'!V:X,3,0)</f>
        <v>RAFAEL XAVIER</v>
      </c>
      <c r="L1085" s="1" t="str">
        <f>VLOOKUP(J1085,'[1]Base SCA 02 2026'!V:Y,4,0)</f>
        <v>FERNANDO GUILHERME</v>
      </c>
      <c r="M1085" s="1" t="str">
        <f>VLOOKUP(J1085,'[1]Base SCA 02 2026'!V:Z,5,0)</f>
        <v>MARCELO DOURADO</v>
      </c>
      <c r="N1085" s="1" t="str">
        <f t="shared" si="16"/>
        <v>MARCELO DOURADO</v>
      </c>
    </row>
    <row r="1086" spans="1:14" x14ac:dyDescent="0.3">
      <c r="A1086" s="1">
        <v>703921</v>
      </c>
      <c r="B1086" s="1" t="s">
        <v>1050</v>
      </c>
      <c r="C1086" s="5" t="s">
        <v>15</v>
      </c>
      <c r="D1086" s="2">
        <v>45083</v>
      </c>
      <c r="E1086" s="1" t="s">
        <v>16</v>
      </c>
      <c r="F1086" s="1">
        <v>24102</v>
      </c>
      <c r="G1086" s="1" t="s">
        <v>669</v>
      </c>
      <c r="H1086" s="1" t="s">
        <v>661</v>
      </c>
      <c r="J1086" s="1" t="s">
        <v>682</v>
      </c>
      <c r="K1086" s="1" t="str">
        <f>VLOOKUP(J1086,'[1]Base SCA 02 2026'!V:X,3,0)</f>
        <v>CRISOSTOMO CASTRO</v>
      </c>
      <c r="L1086" s="1" t="str">
        <f>VLOOKUP(J1086,'[1]Base SCA 02 2026'!V:Y,4,0)</f>
        <v>JOÃO FILHO</v>
      </c>
      <c r="M1086" s="1" t="str">
        <f>VLOOKUP(J1086,'[1]Base SCA 02 2026'!V:Z,5,0)</f>
        <v>ALCENO JUNIOR/JOÃO MARCOS</v>
      </c>
      <c r="N1086" s="1" t="str">
        <f t="shared" si="16"/>
        <v>ALCENO JUNIOR/JOÃO MARCOS</v>
      </c>
    </row>
    <row r="1087" spans="1:14" x14ac:dyDescent="0.3">
      <c r="A1087" s="1">
        <v>705164</v>
      </c>
      <c r="B1087" s="1" t="s">
        <v>1175</v>
      </c>
      <c r="C1087" s="5" t="s">
        <v>15</v>
      </c>
      <c r="D1087" s="2">
        <v>45726</v>
      </c>
      <c r="E1087" s="1" t="s">
        <v>31</v>
      </c>
      <c r="F1087" s="1">
        <v>24102</v>
      </c>
      <c r="G1087" s="1" t="s">
        <v>669</v>
      </c>
      <c r="H1087" s="1" t="s">
        <v>661</v>
      </c>
      <c r="J1087" s="1" t="s">
        <v>670</v>
      </c>
      <c r="K1087" s="1" t="str">
        <f>VLOOKUP(J1087,'[1]Base SCA 02 2026'!V:X,3,0)</f>
        <v>CRISOSTOMO CASTRO</v>
      </c>
      <c r="L1087" s="1" t="str">
        <f>VLOOKUP(J1087,'[1]Base SCA 02 2026'!V:Y,4,0)</f>
        <v>YAN SILVA</v>
      </c>
      <c r="M1087" s="1" t="str">
        <f>VLOOKUP(J1087,'[1]Base SCA 02 2026'!V:Z,5,0)</f>
        <v>JUNIO TEIXEIRA /GEOVANI RORIZ</v>
      </c>
      <c r="N1087" s="1" t="str">
        <f t="shared" si="16"/>
        <v>JUNIO TEIXEIRA /GEOVANI RORIZ</v>
      </c>
    </row>
    <row r="1088" spans="1:14" x14ac:dyDescent="0.3">
      <c r="A1088" s="1">
        <v>101719</v>
      </c>
      <c r="B1088" s="1" t="s">
        <v>1051</v>
      </c>
      <c r="C1088" s="5" t="s">
        <v>15</v>
      </c>
      <c r="D1088" s="2">
        <v>43060</v>
      </c>
      <c r="E1088" s="1" t="s">
        <v>109</v>
      </c>
      <c r="F1088" s="1">
        <v>32102</v>
      </c>
      <c r="G1088" s="1" t="s">
        <v>674</v>
      </c>
      <c r="H1088" s="1" t="s">
        <v>661</v>
      </c>
      <c r="J1088" s="1" t="s">
        <v>675</v>
      </c>
      <c r="K1088" s="1" t="str">
        <f>VLOOKUP(J1088,'[1]Base SCA 02 2026'!V:X,3,0)</f>
        <v>RAFAEL XAVIER</v>
      </c>
      <c r="L1088" s="1" t="str">
        <f>VLOOKUP(J1088,'[1]Base SCA 02 2026'!V:Y,4,0)</f>
        <v>FERNANDO GUILHERME</v>
      </c>
      <c r="M1088" s="1" t="str">
        <f>VLOOKUP(J1088,'[1]Base SCA 02 2026'!V:Z,5,0)</f>
        <v>MARCELO DOURADO</v>
      </c>
      <c r="N1088" s="1" t="str">
        <f t="shared" si="16"/>
        <v>MARCELO DOURADO</v>
      </c>
    </row>
    <row r="1089" spans="1:14" x14ac:dyDescent="0.3">
      <c r="A1089" s="1">
        <v>101265</v>
      </c>
      <c r="B1089" s="1" t="s">
        <v>1052</v>
      </c>
      <c r="C1089" s="5" t="s">
        <v>15</v>
      </c>
      <c r="D1089" s="2">
        <v>42800</v>
      </c>
      <c r="E1089" s="1" t="s">
        <v>27</v>
      </c>
      <c r="F1089" s="1">
        <v>39601</v>
      </c>
      <c r="G1089" s="1" t="s">
        <v>660</v>
      </c>
      <c r="H1089" s="1" t="s">
        <v>661</v>
      </c>
      <c r="J1089" s="1" t="s">
        <v>684</v>
      </c>
      <c r="K1089" s="1" t="str">
        <f>VLOOKUP(J1089,'[1]Base SCA 02 2026'!V:X,3,0)</f>
        <v>CRISOSTOMO CASTRO</v>
      </c>
      <c r="L1089" s="1" t="str">
        <f>VLOOKUP(J1089,'[1]Base SCA 02 2026'!V:Y,4,0)</f>
        <v>MATHEUS ALMEIDA</v>
      </c>
      <c r="M1089" s="1" t="str">
        <f>VLOOKUP(J1089,'[1]Base SCA 02 2026'!V:Z,5,0)</f>
        <v>ADALTON/JANILSON RORIZ/MARIVALDO</v>
      </c>
      <c r="N1089" s="1" t="str">
        <f t="shared" si="16"/>
        <v>ADALTON/JANILSON RORIZ/MARIVALDO</v>
      </c>
    </row>
    <row r="1090" spans="1:14" x14ac:dyDescent="0.3">
      <c r="A1090" s="1">
        <v>701413</v>
      </c>
      <c r="B1090" s="1" t="s">
        <v>1053</v>
      </c>
      <c r="C1090" s="5" t="s">
        <v>15</v>
      </c>
      <c r="D1090" s="2">
        <v>43773</v>
      </c>
      <c r="E1090" s="1" t="s">
        <v>507</v>
      </c>
      <c r="F1090" s="1">
        <v>24102</v>
      </c>
      <c r="G1090" s="1" t="s">
        <v>669</v>
      </c>
      <c r="H1090" s="1" t="s">
        <v>661</v>
      </c>
      <c r="J1090" s="1" t="s">
        <v>85</v>
      </c>
      <c r="K1090" s="1" t="str">
        <f>VLOOKUP(J1090,'[1]Base SCA 02 2026'!V:X,3,0)</f>
        <v>PAULO BONIFÁCIO</v>
      </c>
      <c r="L1090" s="1" t="str">
        <f>VLOOKUP(J1090,'[1]Base SCA 02 2026'!V:Y,4,0)</f>
        <v>PAULO BONIFÁCIO</v>
      </c>
      <c r="M1090" s="1" t="str">
        <f>VLOOKUP(J1090,'[1]Base SCA 02 2026'!V:Z,5,0)</f>
        <v xml:space="preserve">LEONARDO SANTOS </v>
      </c>
      <c r="N1090" s="1" t="str">
        <f t="shared" si="16"/>
        <v xml:space="preserve">LEONARDO SANTOS </v>
      </c>
    </row>
    <row r="1091" spans="1:14" x14ac:dyDescent="0.3">
      <c r="A1091" s="1">
        <v>705717</v>
      </c>
      <c r="B1091" s="1" t="s">
        <v>1468</v>
      </c>
      <c r="C1091" s="5" t="s">
        <v>15</v>
      </c>
      <c r="D1091" s="2">
        <v>45971</v>
      </c>
      <c r="E1091" s="1" t="s">
        <v>31</v>
      </c>
      <c r="F1091" s="1">
        <v>24102</v>
      </c>
      <c r="G1091" s="1" t="s">
        <v>669</v>
      </c>
      <c r="H1091" s="1" t="s">
        <v>661</v>
      </c>
      <c r="J1091" s="1" t="s">
        <v>680</v>
      </c>
      <c r="K1091" s="1" t="str">
        <f>VLOOKUP(J1091,'[1]Base SCA 02 2026'!V:X,3,0)</f>
        <v>CRISOSTOMO CASTRO</v>
      </c>
      <c r="L1091" s="1" t="str">
        <f>VLOOKUP(J1091,'[1]Base SCA 02 2026'!V:Y,4,0)</f>
        <v>YAN SILVA</v>
      </c>
      <c r="M1091" s="1" t="str">
        <f>VLOOKUP(J1091,'[1]Base SCA 02 2026'!V:Z,5,0)</f>
        <v>JUNIO TEIXEIRA /GEOVANI RORIZ</v>
      </c>
      <c r="N1091" s="1" t="str">
        <f t="shared" ref="N1091:N1154" si="17">IF(M1091&lt;&gt;"", M1091, IF(L1091&lt;&gt;"", L1091, K1091))</f>
        <v>JUNIO TEIXEIRA /GEOVANI RORIZ</v>
      </c>
    </row>
    <row r="1092" spans="1:14" x14ac:dyDescent="0.3">
      <c r="A1092" s="1">
        <v>705721</v>
      </c>
      <c r="B1092" s="1" t="s">
        <v>1469</v>
      </c>
      <c r="C1092" s="5" t="s">
        <v>15</v>
      </c>
      <c r="D1092" s="2">
        <v>45971</v>
      </c>
      <c r="E1092" s="1" t="s">
        <v>31</v>
      </c>
      <c r="F1092" s="1">
        <v>39601</v>
      </c>
      <c r="G1092" s="1" t="s">
        <v>660</v>
      </c>
      <c r="H1092" s="1" t="s">
        <v>661</v>
      </c>
      <c r="J1092" s="1" t="s">
        <v>684</v>
      </c>
      <c r="K1092" s="1" t="str">
        <f>VLOOKUP(J1092,'[1]Base SCA 02 2026'!V:X,3,0)</f>
        <v>CRISOSTOMO CASTRO</v>
      </c>
      <c r="L1092" s="1" t="str">
        <f>VLOOKUP(J1092,'[1]Base SCA 02 2026'!V:Y,4,0)</f>
        <v>MATHEUS ALMEIDA</v>
      </c>
      <c r="M1092" s="1" t="str">
        <f>VLOOKUP(J1092,'[1]Base SCA 02 2026'!V:Z,5,0)</f>
        <v>ADALTON/JANILSON RORIZ/MARIVALDO</v>
      </c>
      <c r="N1092" s="1" t="str">
        <f t="shared" si="17"/>
        <v>ADALTON/JANILSON RORIZ/MARIVALDO</v>
      </c>
    </row>
    <row r="1093" spans="1:14" x14ac:dyDescent="0.3">
      <c r="A1093" s="1">
        <v>705476</v>
      </c>
      <c r="B1093" s="1" t="s">
        <v>1286</v>
      </c>
      <c r="C1093" s="5" t="s">
        <v>15</v>
      </c>
      <c r="D1093" s="2">
        <v>45824</v>
      </c>
      <c r="E1093" s="1" t="s">
        <v>31</v>
      </c>
      <c r="F1093" s="1">
        <v>24102</v>
      </c>
      <c r="G1093" s="1" t="s">
        <v>669</v>
      </c>
      <c r="H1093" s="1" t="s">
        <v>661</v>
      </c>
      <c r="J1093" s="1" t="s">
        <v>670</v>
      </c>
      <c r="K1093" s="1" t="str">
        <f>VLOOKUP(J1093,'[1]Base SCA 02 2026'!V:X,3,0)</f>
        <v>CRISOSTOMO CASTRO</v>
      </c>
      <c r="L1093" s="1" t="str">
        <f>VLOOKUP(J1093,'[1]Base SCA 02 2026'!V:Y,4,0)</f>
        <v>YAN SILVA</v>
      </c>
      <c r="M1093" s="1" t="str">
        <f>VLOOKUP(J1093,'[1]Base SCA 02 2026'!V:Z,5,0)</f>
        <v>JUNIO TEIXEIRA /GEOVANI RORIZ</v>
      </c>
      <c r="N1093" s="1" t="str">
        <f t="shared" si="17"/>
        <v>JUNIO TEIXEIRA /GEOVANI RORIZ</v>
      </c>
    </row>
    <row r="1094" spans="1:14" x14ac:dyDescent="0.3">
      <c r="A1094" s="1">
        <v>704867</v>
      </c>
      <c r="B1094" s="1" t="s">
        <v>1054</v>
      </c>
      <c r="C1094" s="5" t="s">
        <v>15</v>
      </c>
      <c r="D1094" s="2">
        <v>45580</v>
      </c>
      <c r="E1094" s="1" t="s">
        <v>446</v>
      </c>
      <c r="F1094" s="1">
        <v>24201</v>
      </c>
      <c r="G1094" s="1" t="s">
        <v>664</v>
      </c>
      <c r="H1094" s="1" t="s">
        <v>661</v>
      </c>
      <c r="J1094" s="1" t="s">
        <v>665</v>
      </c>
      <c r="K1094" s="1" t="str">
        <f>VLOOKUP(J1094,'[1]Base SCA 02 2026'!V:X,3,0)</f>
        <v>CRISOSTOMO CASTRO</v>
      </c>
      <c r="L1094" s="1" t="str">
        <f>VLOOKUP(J1094,'[1]Base SCA 02 2026'!V:Y,4,0)</f>
        <v>MATHEUS ALMEIDA</v>
      </c>
      <c r="M1094" s="1" t="str">
        <f>VLOOKUP(J1094,'[1]Base SCA 02 2026'!V:Z,5,0)</f>
        <v>JOSIEL NEVES</v>
      </c>
      <c r="N1094" s="1" t="str">
        <f t="shared" si="17"/>
        <v>JOSIEL NEVES</v>
      </c>
    </row>
    <row r="1095" spans="1:14" x14ac:dyDescent="0.3">
      <c r="A1095" s="1">
        <v>703727</v>
      </c>
      <c r="B1095" s="1" t="s">
        <v>1055</v>
      </c>
      <c r="C1095" s="5" t="s">
        <v>15</v>
      </c>
      <c r="D1095" s="2">
        <v>45026</v>
      </c>
      <c r="E1095" s="1" t="s">
        <v>16</v>
      </c>
      <c r="F1095" s="1">
        <v>24102</v>
      </c>
      <c r="G1095" s="1" t="s">
        <v>669</v>
      </c>
      <c r="H1095" s="1" t="s">
        <v>661</v>
      </c>
      <c r="J1095" s="1" t="s">
        <v>682</v>
      </c>
      <c r="K1095" s="1" t="str">
        <f>VLOOKUP(J1095,'[1]Base SCA 02 2026'!V:X,3,0)</f>
        <v>CRISOSTOMO CASTRO</v>
      </c>
      <c r="L1095" s="1" t="str">
        <f>VLOOKUP(J1095,'[1]Base SCA 02 2026'!V:Y,4,0)</f>
        <v>JOÃO FILHO</v>
      </c>
      <c r="M1095" s="1" t="str">
        <f>VLOOKUP(J1095,'[1]Base SCA 02 2026'!V:Z,5,0)</f>
        <v>ALCENO JUNIOR/JOÃO MARCOS</v>
      </c>
      <c r="N1095" s="1" t="str">
        <f t="shared" si="17"/>
        <v>ALCENO JUNIOR/JOÃO MARCOS</v>
      </c>
    </row>
    <row r="1096" spans="1:14" x14ac:dyDescent="0.3">
      <c r="A1096" s="1">
        <v>702943</v>
      </c>
      <c r="B1096" s="1" t="s">
        <v>1056</v>
      </c>
      <c r="C1096" s="5" t="s">
        <v>15</v>
      </c>
      <c r="D1096" s="2">
        <v>44663</v>
      </c>
      <c r="E1096" s="1" t="s">
        <v>31</v>
      </c>
      <c r="F1096" s="1">
        <v>24102</v>
      </c>
      <c r="G1096" s="1" t="s">
        <v>669</v>
      </c>
      <c r="H1096" s="1" t="s">
        <v>661</v>
      </c>
      <c r="J1096" s="1" t="s">
        <v>680</v>
      </c>
      <c r="K1096" s="1" t="str">
        <f>VLOOKUP(J1096,'[1]Base SCA 02 2026'!V:X,3,0)</f>
        <v>CRISOSTOMO CASTRO</v>
      </c>
      <c r="L1096" s="1" t="str">
        <f>VLOOKUP(J1096,'[1]Base SCA 02 2026'!V:Y,4,0)</f>
        <v>YAN SILVA</v>
      </c>
      <c r="M1096" s="1" t="str">
        <f>VLOOKUP(J1096,'[1]Base SCA 02 2026'!V:Z,5,0)</f>
        <v>JUNIO TEIXEIRA /GEOVANI RORIZ</v>
      </c>
      <c r="N1096" s="1" t="str">
        <f t="shared" si="17"/>
        <v>JUNIO TEIXEIRA /GEOVANI RORIZ</v>
      </c>
    </row>
    <row r="1097" spans="1:14" x14ac:dyDescent="0.3">
      <c r="A1097" s="1">
        <v>705694</v>
      </c>
      <c r="B1097" s="1" t="s">
        <v>1470</v>
      </c>
      <c r="C1097" s="5" t="s">
        <v>15</v>
      </c>
      <c r="D1097" s="2">
        <v>45971</v>
      </c>
      <c r="E1097" s="1" t="s">
        <v>22</v>
      </c>
      <c r="F1097" s="1">
        <v>32102</v>
      </c>
      <c r="G1097" s="1" t="s">
        <v>674</v>
      </c>
      <c r="H1097" s="1" t="s">
        <v>661</v>
      </c>
      <c r="J1097" s="1" t="s">
        <v>675</v>
      </c>
      <c r="K1097" s="1" t="str">
        <f>VLOOKUP(J1097,'[1]Base SCA 02 2026'!V:X,3,0)</f>
        <v>RAFAEL XAVIER</v>
      </c>
      <c r="L1097" s="1" t="str">
        <f>VLOOKUP(J1097,'[1]Base SCA 02 2026'!V:Y,4,0)</f>
        <v>FERNANDO GUILHERME</v>
      </c>
      <c r="M1097" s="1" t="str">
        <f>VLOOKUP(J1097,'[1]Base SCA 02 2026'!V:Z,5,0)</f>
        <v>MARCELO DOURADO</v>
      </c>
      <c r="N1097" s="1" t="str">
        <f t="shared" si="17"/>
        <v>MARCELO DOURADO</v>
      </c>
    </row>
    <row r="1098" spans="1:14" x14ac:dyDescent="0.3">
      <c r="A1098" s="1">
        <v>703816</v>
      </c>
      <c r="B1098" s="1" t="s">
        <v>1057</v>
      </c>
      <c r="C1098" s="5" t="s">
        <v>15</v>
      </c>
      <c r="D1098" s="2">
        <v>44810</v>
      </c>
      <c r="E1098" s="1" t="s">
        <v>16</v>
      </c>
      <c r="F1098" s="1">
        <v>24102</v>
      </c>
      <c r="G1098" s="1" t="s">
        <v>669</v>
      </c>
      <c r="H1098" s="1" t="s">
        <v>661</v>
      </c>
      <c r="J1098" s="1" t="s">
        <v>682</v>
      </c>
      <c r="K1098" s="1" t="str">
        <f>VLOOKUP(J1098,'[1]Base SCA 02 2026'!V:X,3,0)</f>
        <v>CRISOSTOMO CASTRO</v>
      </c>
      <c r="L1098" s="1" t="str">
        <f>VLOOKUP(J1098,'[1]Base SCA 02 2026'!V:Y,4,0)</f>
        <v>JOÃO FILHO</v>
      </c>
      <c r="M1098" s="1" t="str">
        <f>VLOOKUP(J1098,'[1]Base SCA 02 2026'!V:Z,5,0)</f>
        <v>ALCENO JUNIOR/JOÃO MARCOS</v>
      </c>
      <c r="N1098" s="1" t="str">
        <f t="shared" si="17"/>
        <v>ALCENO JUNIOR/JOÃO MARCOS</v>
      </c>
    </row>
    <row r="1099" spans="1:14" x14ac:dyDescent="0.3">
      <c r="A1099" s="1">
        <v>704332</v>
      </c>
      <c r="B1099" s="1" t="s">
        <v>1058</v>
      </c>
      <c r="C1099" s="5" t="s">
        <v>15</v>
      </c>
      <c r="D1099" s="2">
        <v>45363</v>
      </c>
      <c r="E1099" s="1" t="s">
        <v>31</v>
      </c>
      <c r="F1099" s="1">
        <v>24201</v>
      </c>
      <c r="G1099" s="1" t="s">
        <v>664</v>
      </c>
      <c r="H1099" s="1" t="s">
        <v>661</v>
      </c>
      <c r="J1099" s="1" t="s">
        <v>665</v>
      </c>
      <c r="K1099" s="1" t="str">
        <f>VLOOKUP(J1099,'[1]Base SCA 02 2026'!V:X,3,0)</f>
        <v>CRISOSTOMO CASTRO</v>
      </c>
      <c r="L1099" s="1" t="str">
        <f>VLOOKUP(J1099,'[1]Base SCA 02 2026'!V:Y,4,0)</f>
        <v>MATHEUS ALMEIDA</v>
      </c>
      <c r="M1099" s="1" t="str">
        <f>VLOOKUP(J1099,'[1]Base SCA 02 2026'!V:Z,5,0)</f>
        <v>JOSIEL NEVES</v>
      </c>
      <c r="N1099" s="1" t="str">
        <f t="shared" si="17"/>
        <v>JOSIEL NEVES</v>
      </c>
    </row>
    <row r="1100" spans="1:14" x14ac:dyDescent="0.3">
      <c r="A1100" s="1">
        <v>704492</v>
      </c>
      <c r="B1100" s="1" t="s">
        <v>1059</v>
      </c>
      <c r="C1100" s="5" t="s">
        <v>15</v>
      </c>
      <c r="D1100" s="2">
        <v>45419</v>
      </c>
      <c r="E1100" s="1" t="s">
        <v>686</v>
      </c>
      <c r="F1100" s="1">
        <v>39601</v>
      </c>
      <c r="G1100" s="1" t="s">
        <v>660</v>
      </c>
      <c r="H1100" s="1" t="s">
        <v>661</v>
      </c>
      <c r="J1100" s="1" t="s">
        <v>684</v>
      </c>
      <c r="K1100" s="1" t="str">
        <f>VLOOKUP(J1100,'[1]Base SCA 02 2026'!V:X,3,0)</f>
        <v>CRISOSTOMO CASTRO</v>
      </c>
      <c r="L1100" s="1" t="str">
        <f>VLOOKUP(J1100,'[1]Base SCA 02 2026'!V:Y,4,0)</f>
        <v>MATHEUS ALMEIDA</v>
      </c>
      <c r="M1100" s="1" t="str">
        <f>VLOOKUP(J1100,'[1]Base SCA 02 2026'!V:Z,5,0)</f>
        <v>ADALTON/JANILSON RORIZ/MARIVALDO</v>
      </c>
      <c r="N1100" s="1" t="str">
        <f t="shared" si="17"/>
        <v>ADALTON/JANILSON RORIZ/MARIVALDO</v>
      </c>
    </row>
    <row r="1101" spans="1:14" x14ac:dyDescent="0.3">
      <c r="A1101" s="1">
        <v>703639</v>
      </c>
      <c r="B1101" s="1" t="s">
        <v>1060</v>
      </c>
      <c r="C1101" s="5" t="s">
        <v>15</v>
      </c>
      <c r="D1101" s="2">
        <v>44998</v>
      </c>
      <c r="E1101" s="1" t="s">
        <v>138</v>
      </c>
      <c r="F1101" s="1">
        <v>24102</v>
      </c>
      <c r="G1101" s="1" t="s">
        <v>669</v>
      </c>
      <c r="H1101" s="1" t="s">
        <v>661</v>
      </c>
      <c r="J1101" s="1" t="s">
        <v>682</v>
      </c>
      <c r="K1101" s="1" t="str">
        <f>VLOOKUP(J1101,'[1]Base SCA 02 2026'!V:X,3,0)</f>
        <v>CRISOSTOMO CASTRO</v>
      </c>
      <c r="L1101" s="1" t="str">
        <f>VLOOKUP(J1101,'[1]Base SCA 02 2026'!V:Y,4,0)</f>
        <v>JOÃO FILHO</v>
      </c>
      <c r="M1101" s="1" t="str">
        <f>VLOOKUP(J1101,'[1]Base SCA 02 2026'!V:Z,5,0)</f>
        <v>ALCENO JUNIOR/JOÃO MARCOS</v>
      </c>
      <c r="N1101" s="1" t="str">
        <f t="shared" si="17"/>
        <v>ALCENO JUNIOR/JOÃO MARCOS</v>
      </c>
    </row>
    <row r="1102" spans="1:14" x14ac:dyDescent="0.3">
      <c r="A1102" s="1">
        <v>703705</v>
      </c>
      <c r="B1102" s="1" t="s">
        <v>1061</v>
      </c>
      <c r="C1102" s="5" t="s">
        <v>15</v>
      </c>
      <c r="D1102" s="2">
        <v>45019</v>
      </c>
      <c r="E1102" s="1" t="s">
        <v>31</v>
      </c>
      <c r="F1102" s="1">
        <v>24102</v>
      </c>
      <c r="G1102" s="1" t="s">
        <v>669</v>
      </c>
      <c r="H1102" s="1" t="s">
        <v>661</v>
      </c>
      <c r="J1102" s="1" t="s">
        <v>680</v>
      </c>
      <c r="K1102" s="1" t="str">
        <f>VLOOKUP(J1102,'[1]Base SCA 02 2026'!V:X,3,0)</f>
        <v>CRISOSTOMO CASTRO</v>
      </c>
      <c r="L1102" s="1" t="str">
        <f>VLOOKUP(J1102,'[1]Base SCA 02 2026'!V:Y,4,0)</f>
        <v>YAN SILVA</v>
      </c>
      <c r="M1102" s="1" t="str">
        <f>VLOOKUP(J1102,'[1]Base SCA 02 2026'!V:Z,5,0)</f>
        <v>JUNIO TEIXEIRA /GEOVANI RORIZ</v>
      </c>
      <c r="N1102" s="1" t="str">
        <f t="shared" si="17"/>
        <v>JUNIO TEIXEIRA /GEOVANI RORIZ</v>
      </c>
    </row>
    <row r="1103" spans="1:14" x14ac:dyDescent="0.3">
      <c r="A1103" s="1">
        <v>701714</v>
      </c>
      <c r="B1103" s="1" t="s">
        <v>1062</v>
      </c>
      <c r="C1103" s="5" t="s">
        <v>233</v>
      </c>
      <c r="D1103" s="2">
        <v>44025</v>
      </c>
      <c r="E1103" s="1" t="s">
        <v>1589</v>
      </c>
      <c r="F1103" s="1">
        <v>31103</v>
      </c>
      <c r="G1103" s="1" t="s">
        <v>718</v>
      </c>
      <c r="H1103" s="1" t="s">
        <v>661</v>
      </c>
      <c r="J1103" s="1" t="s">
        <v>719</v>
      </c>
      <c r="K1103" s="1" t="str">
        <f>VLOOKUP(J1103,'[1]Base SCA 02 2026'!V:X,3,0)</f>
        <v xml:space="preserve">GISELE NASCENTE </v>
      </c>
      <c r="L1103" s="1" t="str">
        <f>VLOOKUP(J1103,'[1]Base SCA 02 2026'!V:Y,4,0)</f>
        <v xml:space="preserve">GISELE NASCENTE </v>
      </c>
      <c r="M1103" s="1" t="str">
        <f>VLOOKUP(J1103,'[1]Base SCA 02 2026'!V:Z,5,0)</f>
        <v>MARCOS OLIVEIRA</v>
      </c>
      <c r="N1103" s="1" t="str">
        <f t="shared" si="17"/>
        <v>MARCOS OLIVEIRA</v>
      </c>
    </row>
    <row r="1104" spans="1:14" x14ac:dyDescent="0.3">
      <c r="A1104" s="1">
        <v>701753</v>
      </c>
      <c r="B1104" s="1" t="s">
        <v>1063</v>
      </c>
      <c r="C1104" s="5" t="s">
        <v>15</v>
      </c>
      <c r="D1104" s="2">
        <v>44053</v>
      </c>
      <c r="E1104" s="1" t="s">
        <v>230</v>
      </c>
      <c r="F1104" s="1">
        <v>39601</v>
      </c>
      <c r="G1104" s="1" t="s">
        <v>660</v>
      </c>
      <c r="H1104" s="1" t="s">
        <v>661</v>
      </c>
      <c r="J1104" s="1" t="s">
        <v>662</v>
      </c>
      <c r="K1104" s="1" t="str">
        <f>VLOOKUP(J1104,'[1]Base SCA 02 2026'!V:X,3,0)</f>
        <v>CRISOSTOMO CASTRO</v>
      </c>
      <c r="L1104" s="1" t="str">
        <f>VLOOKUP(J1104,'[1]Base SCA 02 2026'!V:Y,4,0)</f>
        <v>MATHEUS ALMEIDA</v>
      </c>
      <c r="N1104" s="1" t="str">
        <f t="shared" si="17"/>
        <v>MATHEUS ALMEIDA</v>
      </c>
    </row>
    <row r="1105" spans="1:14" x14ac:dyDescent="0.3">
      <c r="A1105" s="1">
        <v>704133</v>
      </c>
      <c r="B1105" s="1" t="s">
        <v>1064</v>
      </c>
      <c r="C1105" s="5" t="s">
        <v>15</v>
      </c>
      <c r="D1105" s="2">
        <v>45244</v>
      </c>
      <c r="E1105" s="1" t="s">
        <v>31</v>
      </c>
      <c r="F1105" s="1">
        <v>24102</v>
      </c>
      <c r="G1105" s="1" t="s">
        <v>669</v>
      </c>
      <c r="H1105" s="1" t="s">
        <v>661</v>
      </c>
      <c r="J1105" s="1" t="s">
        <v>670</v>
      </c>
      <c r="K1105" s="1" t="str">
        <f>VLOOKUP(J1105,'[1]Base SCA 02 2026'!V:X,3,0)</f>
        <v>CRISOSTOMO CASTRO</v>
      </c>
      <c r="L1105" s="1" t="str">
        <f>VLOOKUP(J1105,'[1]Base SCA 02 2026'!V:Y,4,0)</f>
        <v>YAN SILVA</v>
      </c>
      <c r="M1105" s="1" t="str">
        <f>VLOOKUP(J1105,'[1]Base SCA 02 2026'!V:Z,5,0)</f>
        <v>JUNIO TEIXEIRA /GEOVANI RORIZ</v>
      </c>
      <c r="N1105" s="1" t="str">
        <f t="shared" si="17"/>
        <v>JUNIO TEIXEIRA /GEOVANI RORIZ</v>
      </c>
    </row>
    <row r="1106" spans="1:14" x14ac:dyDescent="0.3">
      <c r="A1106" s="1">
        <v>702071</v>
      </c>
      <c r="B1106" s="1" t="s">
        <v>1065</v>
      </c>
      <c r="C1106" s="5" t="s">
        <v>15</v>
      </c>
      <c r="D1106" s="2">
        <v>44264</v>
      </c>
      <c r="E1106" s="1" t="s">
        <v>60</v>
      </c>
      <c r="F1106" s="1">
        <v>24102</v>
      </c>
      <c r="G1106" s="1" t="s">
        <v>669</v>
      </c>
      <c r="H1106" s="1" t="s">
        <v>661</v>
      </c>
      <c r="J1106" s="1" t="s">
        <v>697</v>
      </c>
      <c r="K1106" s="1" t="str">
        <f>VLOOKUP(J1106,'[1]Base SCA 02 2026'!V:X,3,0)</f>
        <v>CRISOSTOMO CASTRO</v>
      </c>
      <c r="L1106" s="1" t="str">
        <f>VLOOKUP(J1106,'[1]Base SCA 02 2026'!V:Y,4,0)</f>
        <v>JOÃO FILHO</v>
      </c>
      <c r="M1106" s="1" t="str">
        <f>VLOOKUP(J1106,'[1]Base SCA 02 2026'!V:Z,5,0)</f>
        <v>ALCENO JUNIOR/JOÃO MARCOS</v>
      </c>
      <c r="N1106" s="1" t="str">
        <f t="shared" si="17"/>
        <v>ALCENO JUNIOR/JOÃO MARCOS</v>
      </c>
    </row>
    <row r="1107" spans="1:14" x14ac:dyDescent="0.3">
      <c r="A1107" s="1">
        <v>101433</v>
      </c>
      <c r="B1107" s="1" t="s">
        <v>1066</v>
      </c>
      <c r="C1107" s="5" t="s">
        <v>15</v>
      </c>
      <c r="D1107" s="2">
        <v>42948</v>
      </c>
      <c r="E1107" s="1" t="s">
        <v>16</v>
      </c>
      <c r="F1107" s="1">
        <v>24102</v>
      </c>
      <c r="G1107" s="1" t="s">
        <v>669</v>
      </c>
      <c r="H1107" s="1" t="s">
        <v>661</v>
      </c>
      <c r="J1107" s="1" t="s">
        <v>682</v>
      </c>
      <c r="K1107" s="1" t="str">
        <f>VLOOKUP(J1107,'[1]Base SCA 02 2026'!V:X,3,0)</f>
        <v>CRISOSTOMO CASTRO</v>
      </c>
      <c r="L1107" s="1" t="str">
        <f>VLOOKUP(J1107,'[1]Base SCA 02 2026'!V:Y,4,0)</f>
        <v>JOÃO FILHO</v>
      </c>
      <c r="M1107" s="1" t="str">
        <f>VLOOKUP(J1107,'[1]Base SCA 02 2026'!V:Z,5,0)</f>
        <v>ALCENO JUNIOR/JOÃO MARCOS</v>
      </c>
      <c r="N1107" s="1" t="str">
        <f t="shared" si="17"/>
        <v>ALCENO JUNIOR/JOÃO MARCOS</v>
      </c>
    </row>
    <row r="1108" spans="1:14" x14ac:dyDescent="0.3">
      <c r="A1108" s="1">
        <v>704994</v>
      </c>
      <c r="B1108" s="1" t="s">
        <v>1067</v>
      </c>
      <c r="C1108" s="5" t="s">
        <v>15</v>
      </c>
      <c r="D1108" s="2">
        <v>45629</v>
      </c>
      <c r="E1108" s="1" t="s">
        <v>31</v>
      </c>
      <c r="F1108" s="1">
        <v>24201</v>
      </c>
      <c r="G1108" s="1" t="s">
        <v>664</v>
      </c>
      <c r="H1108" s="1" t="s">
        <v>661</v>
      </c>
      <c r="J1108" s="1" t="s">
        <v>665</v>
      </c>
      <c r="K1108" s="1" t="str">
        <f>VLOOKUP(J1108,'[1]Base SCA 02 2026'!V:X,3,0)</f>
        <v>CRISOSTOMO CASTRO</v>
      </c>
      <c r="L1108" s="1" t="str">
        <f>VLOOKUP(J1108,'[1]Base SCA 02 2026'!V:Y,4,0)</f>
        <v>MATHEUS ALMEIDA</v>
      </c>
      <c r="M1108" s="1" t="str">
        <f>VLOOKUP(J1108,'[1]Base SCA 02 2026'!V:Z,5,0)</f>
        <v>JOSIEL NEVES</v>
      </c>
      <c r="N1108" s="1" t="str">
        <f t="shared" si="17"/>
        <v>JOSIEL NEVES</v>
      </c>
    </row>
    <row r="1109" spans="1:14" x14ac:dyDescent="0.3">
      <c r="A1109" s="1">
        <v>702146</v>
      </c>
      <c r="B1109" s="1" t="s">
        <v>1068</v>
      </c>
      <c r="C1109" s="5" t="s">
        <v>15</v>
      </c>
      <c r="D1109" s="2">
        <v>44299</v>
      </c>
      <c r="E1109" s="1" t="s">
        <v>31</v>
      </c>
      <c r="F1109" s="1">
        <v>24102</v>
      </c>
      <c r="G1109" s="1" t="s">
        <v>669</v>
      </c>
      <c r="H1109" s="1" t="s">
        <v>661</v>
      </c>
      <c r="J1109" s="1" t="s">
        <v>680</v>
      </c>
      <c r="K1109" s="1" t="str">
        <f>VLOOKUP(J1109,'[1]Base SCA 02 2026'!V:X,3,0)</f>
        <v>CRISOSTOMO CASTRO</v>
      </c>
      <c r="L1109" s="1" t="str">
        <f>VLOOKUP(J1109,'[1]Base SCA 02 2026'!V:Y,4,0)</f>
        <v>YAN SILVA</v>
      </c>
      <c r="M1109" s="1" t="str">
        <f>VLOOKUP(J1109,'[1]Base SCA 02 2026'!V:Z,5,0)</f>
        <v>JUNIO TEIXEIRA /GEOVANI RORIZ</v>
      </c>
      <c r="N1109" s="1" t="str">
        <f t="shared" si="17"/>
        <v>JUNIO TEIXEIRA /GEOVANI RORIZ</v>
      </c>
    </row>
    <row r="1110" spans="1:14" x14ac:dyDescent="0.3">
      <c r="A1110" s="1">
        <v>703716</v>
      </c>
      <c r="B1110" s="1" t="s">
        <v>1069</v>
      </c>
      <c r="C1110" s="5" t="s">
        <v>15</v>
      </c>
      <c r="D1110" s="2">
        <v>45019</v>
      </c>
      <c r="E1110" s="1" t="s">
        <v>146</v>
      </c>
      <c r="F1110" s="1">
        <v>39601</v>
      </c>
      <c r="G1110" s="1" t="s">
        <v>660</v>
      </c>
      <c r="H1110" s="1" t="s">
        <v>661</v>
      </c>
      <c r="J1110" s="1" t="s">
        <v>684</v>
      </c>
      <c r="K1110" s="1" t="str">
        <f>VLOOKUP(J1110,'[1]Base SCA 02 2026'!V:X,3,0)</f>
        <v>CRISOSTOMO CASTRO</v>
      </c>
      <c r="L1110" s="1" t="str">
        <f>VLOOKUP(J1110,'[1]Base SCA 02 2026'!V:Y,4,0)</f>
        <v>MATHEUS ALMEIDA</v>
      </c>
      <c r="M1110" s="1" t="str">
        <f>VLOOKUP(J1110,'[1]Base SCA 02 2026'!V:Z,5,0)</f>
        <v>ADALTON/JANILSON RORIZ/MARIVALDO</v>
      </c>
      <c r="N1110" s="1" t="str">
        <f t="shared" si="17"/>
        <v>ADALTON/JANILSON RORIZ/MARIVALDO</v>
      </c>
    </row>
    <row r="1111" spans="1:14" x14ac:dyDescent="0.3">
      <c r="A1111" s="1">
        <v>704221</v>
      </c>
      <c r="B1111" s="1" t="s">
        <v>1070</v>
      </c>
      <c r="C1111" s="5" t="s">
        <v>92</v>
      </c>
      <c r="D1111" s="2">
        <v>45328</v>
      </c>
      <c r="E1111" s="1" t="s">
        <v>507</v>
      </c>
      <c r="F1111" s="1">
        <v>24201</v>
      </c>
      <c r="G1111" s="1" t="s">
        <v>664</v>
      </c>
      <c r="H1111" s="1" t="s">
        <v>661</v>
      </c>
      <c r="I1111" s="2">
        <v>46058</v>
      </c>
      <c r="J1111" s="1" t="s">
        <v>665</v>
      </c>
      <c r="K1111" s="1" t="str">
        <f>VLOOKUP(J1111,'[1]Base SCA 02 2026'!V:X,3,0)</f>
        <v>CRISOSTOMO CASTRO</v>
      </c>
      <c r="L1111" s="1" t="str">
        <f>VLOOKUP(J1111,'[1]Base SCA 02 2026'!V:Y,4,0)</f>
        <v>MATHEUS ALMEIDA</v>
      </c>
      <c r="M1111" s="1" t="str">
        <f>VLOOKUP(J1111,'[1]Base SCA 02 2026'!V:Z,5,0)</f>
        <v>JOSIEL NEVES</v>
      </c>
      <c r="N1111" s="1" t="str">
        <f t="shared" si="17"/>
        <v>JOSIEL NEVES</v>
      </c>
    </row>
    <row r="1112" spans="1:14" x14ac:dyDescent="0.3">
      <c r="A1112" s="1">
        <v>701739</v>
      </c>
      <c r="B1112" s="1" t="s">
        <v>1071</v>
      </c>
      <c r="C1112" s="5" t="s">
        <v>15</v>
      </c>
      <c r="D1112" s="2">
        <v>44032</v>
      </c>
      <c r="E1112" s="1" t="s">
        <v>27</v>
      </c>
      <c r="F1112" s="1">
        <v>39601</v>
      </c>
      <c r="G1112" s="1" t="s">
        <v>660</v>
      </c>
      <c r="H1112" s="1" t="s">
        <v>661</v>
      </c>
      <c r="J1112" s="1" t="s">
        <v>684</v>
      </c>
      <c r="K1112" s="1" t="str">
        <f>VLOOKUP(J1112,'[1]Base SCA 02 2026'!V:X,3,0)</f>
        <v>CRISOSTOMO CASTRO</v>
      </c>
      <c r="L1112" s="1" t="str">
        <f>VLOOKUP(J1112,'[1]Base SCA 02 2026'!V:Y,4,0)</f>
        <v>MATHEUS ALMEIDA</v>
      </c>
      <c r="M1112" s="1" t="str">
        <f>VLOOKUP(J1112,'[1]Base SCA 02 2026'!V:Z,5,0)</f>
        <v>ADALTON/JANILSON RORIZ/MARIVALDO</v>
      </c>
      <c r="N1112" s="1" t="str">
        <f t="shared" si="17"/>
        <v>ADALTON/JANILSON RORIZ/MARIVALDO</v>
      </c>
    </row>
    <row r="1113" spans="1:14" x14ac:dyDescent="0.3">
      <c r="A1113" s="1">
        <v>705177</v>
      </c>
      <c r="B1113" s="1" t="s">
        <v>1176</v>
      </c>
      <c r="C1113" s="5" t="s">
        <v>15</v>
      </c>
      <c r="D1113" s="2">
        <v>45726</v>
      </c>
      <c r="E1113" s="1" t="s">
        <v>31</v>
      </c>
      <c r="F1113" s="1">
        <v>24102</v>
      </c>
      <c r="G1113" s="1" t="s">
        <v>669</v>
      </c>
      <c r="H1113" s="1" t="s">
        <v>661</v>
      </c>
      <c r="J1113" s="1" t="s">
        <v>670</v>
      </c>
      <c r="K1113" s="1" t="str">
        <f>VLOOKUP(J1113,'[1]Base SCA 02 2026'!V:X,3,0)</f>
        <v>CRISOSTOMO CASTRO</v>
      </c>
      <c r="L1113" s="1" t="str">
        <f>VLOOKUP(J1113,'[1]Base SCA 02 2026'!V:Y,4,0)</f>
        <v>YAN SILVA</v>
      </c>
      <c r="M1113" s="1" t="str">
        <f>VLOOKUP(J1113,'[1]Base SCA 02 2026'!V:Z,5,0)</f>
        <v>JUNIO TEIXEIRA /GEOVANI RORIZ</v>
      </c>
      <c r="N1113" s="1" t="str">
        <f t="shared" si="17"/>
        <v>JUNIO TEIXEIRA /GEOVANI RORIZ</v>
      </c>
    </row>
    <row r="1114" spans="1:14" x14ac:dyDescent="0.3">
      <c r="A1114" s="1">
        <v>703021</v>
      </c>
      <c r="B1114" s="1" t="s">
        <v>1073</v>
      </c>
      <c r="C1114" s="5" t="s">
        <v>15</v>
      </c>
      <c r="D1114" s="2">
        <v>44691</v>
      </c>
      <c r="E1114" s="1" t="s">
        <v>146</v>
      </c>
      <c r="F1114" s="1">
        <v>24102</v>
      </c>
      <c r="G1114" s="1" t="s">
        <v>669</v>
      </c>
      <c r="H1114" s="1" t="s">
        <v>661</v>
      </c>
      <c r="J1114" s="1" t="s">
        <v>672</v>
      </c>
      <c r="K1114" s="1" t="str">
        <f>VLOOKUP(J1114,'[1]Base SCA 02 2026'!V:X,3,0)</f>
        <v>CRISOSTOMO CASTRO</v>
      </c>
      <c r="L1114" s="1" t="str">
        <f>VLOOKUP(J1114,'[1]Base SCA 02 2026'!V:Y,4,0)</f>
        <v>YAN SILVA</v>
      </c>
      <c r="M1114" s="1" t="str">
        <f>VLOOKUP(J1114,'[1]Base SCA 02 2026'!V:Z,5,0)</f>
        <v>JUNIO TEIXEIRA /GEOVANI RORIZ</v>
      </c>
      <c r="N1114" s="1" t="str">
        <f t="shared" si="17"/>
        <v>JUNIO TEIXEIRA /GEOVANI RORIZ</v>
      </c>
    </row>
    <row r="1115" spans="1:14" x14ac:dyDescent="0.3">
      <c r="A1115" s="1">
        <v>705674</v>
      </c>
      <c r="B1115" s="1" t="s">
        <v>1436</v>
      </c>
      <c r="C1115" s="5" t="s">
        <v>15</v>
      </c>
      <c r="D1115" s="2">
        <v>45944</v>
      </c>
      <c r="E1115" s="1" t="s">
        <v>31</v>
      </c>
      <c r="F1115" s="1">
        <v>39601</v>
      </c>
      <c r="G1115" s="1" t="s">
        <v>660</v>
      </c>
      <c r="H1115" s="1" t="s">
        <v>661</v>
      </c>
      <c r="J1115" s="1" t="s">
        <v>662</v>
      </c>
      <c r="K1115" s="1" t="str">
        <f>VLOOKUP(J1115,'[1]Base SCA 02 2026'!V:X,3,0)</f>
        <v>CRISOSTOMO CASTRO</v>
      </c>
      <c r="L1115" s="1" t="str">
        <f>VLOOKUP(J1115,'[1]Base SCA 02 2026'!V:Y,4,0)</f>
        <v>MATHEUS ALMEIDA</v>
      </c>
      <c r="N1115" s="1" t="str">
        <f t="shared" si="17"/>
        <v>MATHEUS ALMEIDA</v>
      </c>
    </row>
    <row r="1116" spans="1:14" x14ac:dyDescent="0.3">
      <c r="A1116" s="1">
        <v>701006</v>
      </c>
      <c r="B1116" s="1" t="s">
        <v>1074</v>
      </c>
      <c r="C1116" s="5" t="s">
        <v>15</v>
      </c>
      <c r="D1116" s="2">
        <v>43591</v>
      </c>
      <c r="E1116" s="1" t="s">
        <v>146</v>
      </c>
      <c r="F1116" s="1">
        <v>39601</v>
      </c>
      <c r="G1116" s="1" t="s">
        <v>660</v>
      </c>
      <c r="H1116" s="1" t="s">
        <v>661</v>
      </c>
      <c r="J1116" s="1" t="s">
        <v>684</v>
      </c>
      <c r="K1116" s="1" t="str">
        <f>VLOOKUP(J1116,'[1]Base SCA 02 2026'!V:X,3,0)</f>
        <v>CRISOSTOMO CASTRO</v>
      </c>
      <c r="L1116" s="1" t="str">
        <f>VLOOKUP(J1116,'[1]Base SCA 02 2026'!V:Y,4,0)</f>
        <v>MATHEUS ALMEIDA</v>
      </c>
      <c r="M1116" s="1" t="str">
        <f>VLOOKUP(J1116,'[1]Base SCA 02 2026'!V:Z,5,0)</f>
        <v>ADALTON/JANILSON RORIZ/MARIVALDO</v>
      </c>
      <c r="N1116" s="1" t="str">
        <f t="shared" si="17"/>
        <v>ADALTON/JANILSON RORIZ/MARIVALDO</v>
      </c>
    </row>
    <row r="1117" spans="1:14" x14ac:dyDescent="0.3">
      <c r="A1117" s="1">
        <v>703558</v>
      </c>
      <c r="B1117" s="1" t="s">
        <v>1075</v>
      </c>
      <c r="C1117" s="5" t="s">
        <v>15</v>
      </c>
      <c r="D1117" s="2">
        <v>44935</v>
      </c>
      <c r="E1117" s="1" t="s">
        <v>138</v>
      </c>
      <c r="F1117" s="1">
        <v>24102</v>
      </c>
      <c r="G1117" s="1" t="s">
        <v>669</v>
      </c>
      <c r="H1117" s="1" t="s">
        <v>661</v>
      </c>
      <c r="J1117" s="1" t="s">
        <v>672</v>
      </c>
      <c r="K1117" s="1" t="str">
        <f>VLOOKUP(J1117,'[1]Base SCA 02 2026'!V:X,3,0)</f>
        <v>CRISOSTOMO CASTRO</v>
      </c>
      <c r="L1117" s="1" t="str">
        <f>VLOOKUP(J1117,'[1]Base SCA 02 2026'!V:Y,4,0)</f>
        <v>YAN SILVA</v>
      </c>
      <c r="M1117" s="1" t="str">
        <f>VLOOKUP(J1117,'[1]Base SCA 02 2026'!V:Z,5,0)</f>
        <v>JUNIO TEIXEIRA /GEOVANI RORIZ</v>
      </c>
      <c r="N1117" s="1" t="str">
        <f t="shared" si="17"/>
        <v>JUNIO TEIXEIRA /GEOVANI RORIZ</v>
      </c>
    </row>
    <row r="1118" spans="1:14" x14ac:dyDescent="0.3">
      <c r="A1118" s="1">
        <v>705103</v>
      </c>
      <c r="B1118" s="1" t="s">
        <v>1267</v>
      </c>
      <c r="C1118" s="5" t="s">
        <v>15</v>
      </c>
      <c r="D1118" s="2">
        <v>45670</v>
      </c>
      <c r="E1118" s="1" t="s">
        <v>31</v>
      </c>
      <c r="F1118" s="1">
        <v>24102</v>
      </c>
      <c r="G1118" s="1" t="s">
        <v>669</v>
      </c>
      <c r="H1118" s="1" t="s">
        <v>661</v>
      </c>
      <c r="J1118" s="1" t="s">
        <v>697</v>
      </c>
      <c r="K1118" s="1" t="str">
        <f>VLOOKUP(J1118,'[1]Base SCA 02 2026'!V:X,3,0)</f>
        <v>CRISOSTOMO CASTRO</v>
      </c>
      <c r="L1118" s="1" t="str">
        <f>VLOOKUP(J1118,'[1]Base SCA 02 2026'!V:Y,4,0)</f>
        <v>JOÃO FILHO</v>
      </c>
      <c r="M1118" s="1" t="str">
        <f>VLOOKUP(J1118,'[1]Base SCA 02 2026'!V:Z,5,0)</f>
        <v>ALCENO JUNIOR/JOÃO MARCOS</v>
      </c>
      <c r="N1118" s="1" t="str">
        <f t="shared" si="17"/>
        <v>ALCENO JUNIOR/JOÃO MARCOS</v>
      </c>
    </row>
    <row r="1119" spans="1:14" x14ac:dyDescent="0.3">
      <c r="A1119" s="1">
        <v>700258</v>
      </c>
      <c r="B1119" s="1" t="s">
        <v>1076</v>
      </c>
      <c r="C1119" s="5" t="s">
        <v>15</v>
      </c>
      <c r="D1119" s="2">
        <v>43262</v>
      </c>
      <c r="E1119" s="1" t="s">
        <v>60</v>
      </c>
      <c r="F1119" s="1">
        <v>24102</v>
      </c>
      <c r="G1119" s="1" t="s">
        <v>669</v>
      </c>
      <c r="H1119" s="1" t="s">
        <v>661</v>
      </c>
      <c r="J1119" s="1" t="s">
        <v>682</v>
      </c>
      <c r="K1119" s="1" t="str">
        <f>VLOOKUP(J1119,'[1]Base SCA 02 2026'!V:X,3,0)</f>
        <v>CRISOSTOMO CASTRO</v>
      </c>
      <c r="L1119" s="1" t="str">
        <f>VLOOKUP(J1119,'[1]Base SCA 02 2026'!V:Y,4,0)</f>
        <v>JOÃO FILHO</v>
      </c>
      <c r="M1119" s="1" t="str">
        <f>VLOOKUP(J1119,'[1]Base SCA 02 2026'!V:Z,5,0)</f>
        <v>ALCENO JUNIOR/JOÃO MARCOS</v>
      </c>
      <c r="N1119" s="1" t="str">
        <f t="shared" si="17"/>
        <v>ALCENO JUNIOR/JOÃO MARCOS</v>
      </c>
    </row>
    <row r="1120" spans="1:14" x14ac:dyDescent="0.3">
      <c r="A1120" s="1">
        <v>705526</v>
      </c>
      <c r="B1120" s="1" t="s">
        <v>1437</v>
      </c>
      <c r="C1120" s="5" t="s">
        <v>15</v>
      </c>
      <c r="D1120" s="2">
        <v>45847</v>
      </c>
      <c r="E1120" s="1" t="s">
        <v>31</v>
      </c>
      <c r="F1120" s="1">
        <v>39601</v>
      </c>
      <c r="G1120" s="1" t="s">
        <v>660</v>
      </c>
      <c r="H1120" s="1" t="s">
        <v>661</v>
      </c>
      <c r="J1120" s="1" t="s">
        <v>684</v>
      </c>
      <c r="K1120" s="1" t="str">
        <f>VLOOKUP(J1120,'[1]Base SCA 02 2026'!V:X,3,0)</f>
        <v>CRISOSTOMO CASTRO</v>
      </c>
      <c r="L1120" s="1" t="str">
        <f>VLOOKUP(J1120,'[1]Base SCA 02 2026'!V:Y,4,0)</f>
        <v>MATHEUS ALMEIDA</v>
      </c>
      <c r="M1120" s="1" t="str">
        <f>VLOOKUP(J1120,'[1]Base SCA 02 2026'!V:Z,5,0)</f>
        <v>ADALTON/JANILSON RORIZ/MARIVALDO</v>
      </c>
      <c r="N1120" s="1" t="str">
        <f t="shared" si="17"/>
        <v>ADALTON/JANILSON RORIZ/MARIVALDO</v>
      </c>
    </row>
    <row r="1121" spans="1:14" x14ac:dyDescent="0.3">
      <c r="A1121" s="1">
        <v>705114</v>
      </c>
      <c r="B1121" s="1" t="s">
        <v>1077</v>
      </c>
      <c r="C1121" s="5" t="s">
        <v>15</v>
      </c>
      <c r="D1121" s="2">
        <v>45678</v>
      </c>
      <c r="E1121" s="1" t="s">
        <v>31</v>
      </c>
      <c r="F1121" s="1">
        <v>24102</v>
      </c>
      <c r="G1121" s="1" t="s">
        <v>669</v>
      </c>
      <c r="H1121" s="1" t="s">
        <v>661</v>
      </c>
      <c r="J1121" s="1" t="s">
        <v>670</v>
      </c>
      <c r="K1121" s="1" t="str">
        <f>VLOOKUP(J1121,'[1]Base SCA 02 2026'!V:X,3,0)</f>
        <v>CRISOSTOMO CASTRO</v>
      </c>
      <c r="L1121" s="1" t="str">
        <f>VLOOKUP(J1121,'[1]Base SCA 02 2026'!V:Y,4,0)</f>
        <v>YAN SILVA</v>
      </c>
      <c r="M1121" s="1" t="str">
        <f>VLOOKUP(J1121,'[1]Base SCA 02 2026'!V:Z,5,0)</f>
        <v>JUNIO TEIXEIRA /GEOVANI RORIZ</v>
      </c>
      <c r="N1121" s="1" t="str">
        <f t="shared" si="17"/>
        <v>JUNIO TEIXEIRA /GEOVANI RORIZ</v>
      </c>
    </row>
    <row r="1122" spans="1:14" x14ac:dyDescent="0.3">
      <c r="A1122" s="1">
        <v>704486</v>
      </c>
      <c r="B1122" s="1" t="s">
        <v>1078</v>
      </c>
      <c r="C1122" s="5" t="s">
        <v>15</v>
      </c>
      <c r="D1122" s="2">
        <v>45419</v>
      </c>
      <c r="E1122" s="1" t="s">
        <v>16</v>
      </c>
      <c r="F1122" s="1">
        <v>24102</v>
      </c>
      <c r="G1122" s="1" t="s">
        <v>669</v>
      </c>
      <c r="H1122" s="1" t="s">
        <v>661</v>
      </c>
      <c r="J1122" s="1" t="s">
        <v>682</v>
      </c>
      <c r="K1122" s="1" t="str">
        <f>VLOOKUP(J1122,'[1]Base SCA 02 2026'!V:X,3,0)</f>
        <v>CRISOSTOMO CASTRO</v>
      </c>
      <c r="L1122" s="1" t="str">
        <f>VLOOKUP(J1122,'[1]Base SCA 02 2026'!V:Y,4,0)</f>
        <v>JOÃO FILHO</v>
      </c>
      <c r="M1122" s="1" t="str">
        <f>VLOOKUP(J1122,'[1]Base SCA 02 2026'!V:Z,5,0)</f>
        <v>ALCENO JUNIOR/JOÃO MARCOS</v>
      </c>
      <c r="N1122" s="1" t="str">
        <f t="shared" si="17"/>
        <v>ALCENO JUNIOR/JOÃO MARCOS</v>
      </c>
    </row>
    <row r="1123" spans="1:14" x14ac:dyDescent="0.3">
      <c r="A1123" s="1">
        <v>705709</v>
      </c>
      <c r="B1123" s="1" t="s">
        <v>1471</v>
      </c>
      <c r="C1123" s="5" t="s">
        <v>92</v>
      </c>
      <c r="D1123" s="2">
        <v>45971</v>
      </c>
      <c r="E1123" s="1" t="s">
        <v>31</v>
      </c>
      <c r="F1123" s="1">
        <v>24201</v>
      </c>
      <c r="G1123" s="1" t="s">
        <v>664</v>
      </c>
      <c r="H1123" s="1" t="s">
        <v>661</v>
      </c>
      <c r="I1123" s="2">
        <v>46060</v>
      </c>
      <c r="J1123" s="1" t="s">
        <v>665</v>
      </c>
      <c r="K1123" s="1" t="str">
        <f>VLOOKUP(J1123,'[1]Base SCA 02 2026'!V:X,3,0)</f>
        <v>CRISOSTOMO CASTRO</v>
      </c>
      <c r="L1123" s="1" t="str">
        <f>VLOOKUP(J1123,'[1]Base SCA 02 2026'!V:Y,4,0)</f>
        <v>MATHEUS ALMEIDA</v>
      </c>
      <c r="M1123" s="1" t="str">
        <f>VLOOKUP(J1123,'[1]Base SCA 02 2026'!V:Z,5,0)</f>
        <v>JOSIEL NEVES</v>
      </c>
      <c r="N1123" s="1" t="str">
        <f t="shared" si="17"/>
        <v>JOSIEL NEVES</v>
      </c>
    </row>
    <row r="1124" spans="1:14" x14ac:dyDescent="0.3">
      <c r="A1124" s="1">
        <v>705266</v>
      </c>
      <c r="B1124" s="1" t="s">
        <v>1210</v>
      </c>
      <c r="C1124" s="5" t="s">
        <v>15</v>
      </c>
      <c r="D1124" s="2">
        <v>45762</v>
      </c>
      <c r="E1124" s="1" t="s">
        <v>336</v>
      </c>
      <c r="F1124" s="1">
        <v>24102</v>
      </c>
      <c r="G1124" s="1" t="s">
        <v>669</v>
      </c>
      <c r="H1124" s="1" t="s">
        <v>661</v>
      </c>
      <c r="J1124" s="1" t="s">
        <v>672</v>
      </c>
      <c r="K1124" s="1" t="str">
        <f>VLOOKUP(J1124,'[1]Base SCA 02 2026'!V:X,3,0)</f>
        <v>CRISOSTOMO CASTRO</v>
      </c>
      <c r="L1124" s="1" t="str">
        <f>VLOOKUP(J1124,'[1]Base SCA 02 2026'!V:Y,4,0)</f>
        <v>YAN SILVA</v>
      </c>
      <c r="M1124" s="1" t="str">
        <f>VLOOKUP(J1124,'[1]Base SCA 02 2026'!V:Z,5,0)</f>
        <v>JUNIO TEIXEIRA /GEOVANI RORIZ</v>
      </c>
      <c r="N1124" s="1" t="str">
        <f t="shared" si="17"/>
        <v>JUNIO TEIXEIRA /GEOVANI RORIZ</v>
      </c>
    </row>
    <row r="1125" spans="1:14" x14ac:dyDescent="0.3">
      <c r="A1125" s="1">
        <v>702803</v>
      </c>
      <c r="B1125" s="1" t="s">
        <v>1079</v>
      </c>
      <c r="C1125" s="5" t="s">
        <v>15</v>
      </c>
      <c r="D1125" s="2">
        <v>44607</v>
      </c>
      <c r="E1125" s="1" t="s">
        <v>31</v>
      </c>
      <c r="F1125" s="1">
        <v>24102</v>
      </c>
      <c r="G1125" s="1" t="s">
        <v>669</v>
      </c>
      <c r="H1125" s="1" t="s">
        <v>661</v>
      </c>
      <c r="J1125" s="1" t="s">
        <v>697</v>
      </c>
      <c r="K1125" s="1" t="str">
        <f>VLOOKUP(J1125,'[1]Base SCA 02 2026'!V:X,3,0)</f>
        <v>CRISOSTOMO CASTRO</v>
      </c>
      <c r="L1125" s="1" t="str">
        <f>VLOOKUP(J1125,'[1]Base SCA 02 2026'!V:Y,4,0)</f>
        <v>JOÃO FILHO</v>
      </c>
      <c r="M1125" s="1" t="str">
        <f>VLOOKUP(J1125,'[1]Base SCA 02 2026'!V:Z,5,0)</f>
        <v>ALCENO JUNIOR/JOÃO MARCOS</v>
      </c>
      <c r="N1125" s="1" t="str">
        <f t="shared" si="17"/>
        <v>ALCENO JUNIOR/JOÃO MARCOS</v>
      </c>
    </row>
    <row r="1126" spans="1:14" x14ac:dyDescent="0.3">
      <c r="A1126" s="1">
        <v>704811</v>
      </c>
      <c r="B1126" s="1" t="s">
        <v>1080</v>
      </c>
      <c r="C1126" s="5" t="s">
        <v>15</v>
      </c>
      <c r="D1126" s="2">
        <v>45566</v>
      </c>
      <c r="E1126" s="1" t="s">
        <v>138</v>
      </c>
      <c r="F1126" s="1">
        <v>24102</v>
      </c>
      <c r="G1126" s="1" t="s">
        <v>669</v>
      </c>
      <c r="H1126" s="1" t="s">
        <v>661</v>
      </c>
      <c r="J1126" s="1" t="s">
        <v>682</v>
      </c>
      <c r="K1126" s="1" t="str">
        <f>VLOOKUP(J1126,'[1]Base SCA 02 2026'!V:X,3,0)</f>
        <v>CRISOSTOMO CASTRO</v>
      </c>
      <c r="L1126" s="1" t="str">
        <f>VLOOKUP(J1126,'[1]Base SCA 02 2026'!V:Y,4,0)</f>
        <v>JOÃO FILHO</v>
      </c>
      <c r="M1126" s="1" t="str">
        <f>VLOOKUP(J1126,'[1]Base SCA 02 2026'!V:Z,5,0)</f>
        <v>ALCENO JUNIOR/JOÃO MARCOS</v>
      </c>
      <c r="N1126" s="1" t="str">
        <f t="shared" si="17"/>
        <v>ALCENO JUNIOR/JOÃO MARCOS</v>
      </c>
    </row>
    <row r="1127" spans="1:14" x14ac:dyDescent="0.3">
      <c r="A1127" s="1">
        <v>705276</v>
      </c>
      <c r="B1127" s="1" t="s">
        <v>1211</v>
      </c>
      <c r="C1127" s="5" t="s">
        <v>15</v>
      </c>
      <c r="D1127" s="2">
        <v>45762</v>
      </c>
      <c r="E1127" s="1" t="s">
        <v>31</v>
      </c>
      <c r="F1127" s="1">
        <v>24102</v>
      </c>
      <c r="G1127" s="1" t="s">
        <v>669</v>
      </c>
      <c r="H1127" s="1" t="s">
        <v>661</v>
      </c>
      <c r="J1127" s="1" t="s">
        <v>672</v>
      </c>
      <c r="K1127" s="1" t="str">
        <f>VLOOKUP(J1127,'[1]Base SCA 02 2026'!V:X,3,0)</f>
        <v>CRISOSTOMO CASTRO</v>
      </c>
      <c r="L1127" s="1" t="str">
        <f>VLOOKUP(J1127,'[1]Base SCA 02 2026'!V:Y,4,0)</f>
        <v>YAN SILVA</v>
      </c>
      <c r="M1127" s="1" t="str">
        <f>VLOOKUP(J1127,'[1]Base SCA 02 2026'!V:Z,5,0)</f>
        <v>JUNIO TEIXEIRA /GEOVANI RORIZ</v>
      </c>
      <c r="N1127" s="1" t="str">
        <f t="shared" si="17"/>
        <v>JUNIO TEIXEIRA /GEOVANI RORIZ</v>
      </c>
    </row>
    <row r="1128" spans="1:14" x14ac:dyDescent="0.3">
      <c r="A1128" s="1">
        <v>701708</v>
      </c>
      <c r="B1128" s="1" t="s">
        <v>1081</v>
      </c>
      <c r="C1128" s="5" t="s">
        <v>15</v>
      </c>
      <c r="D1128" s="2">
        <v>44025</v>
      </c>
      <c r="E1128" s="1" t="s">
        <v>60</v>
      </c>
      <c r="F1128" s="1">
        <v>24102</v>
      </c>
      <c r="G1128" s="1" t="s">
        <v>669</v>
      </c>
      <c r="H1128" s="1" t="s">
        <v>661</v>
      </c>
      <c r="J1128" s="1" t="s">
        <v>682</v>
      </c>
      <c r="K1128" s="1" t="str">
        <f>VLOOKUP(J1128,'[1]Base SCA 02 2026'!V:X,3,0)</f>
        <v>CRISOSTOMO CASTRO</v>
      </c>
      <c r="L1128" s="1" t="str">
        <f>VLOOKUP(J1128,'[1]Base SCA 02 2026'!V:Y,4,0)</f>
        <v>JOÃO FILHO</v>
      </c>
      <c r="M1128" s="1" t="str">
        <f>VLOOKUP(J1128,'[1]Base SCA 02 2026'!V:Z,5,0)</f>
        <v>ALCENO JUNIOR/JOÃO MARCOS</v>
      </c>
      <c r="N1128" s="1" t="str">
        <f t="shared" si="17"/>
        <v>ALCENO JUNIOR/JOÃO MARCOS</v>
      </c>
    </row>
    <row r="1129" spans="1:14" x14ac:dyDescent="0.3">
      <c r="A1129" s="1">
        <v>705858</v>
      </c>
      <c r="B1129" s="1" t="s">
        <v>1595</v>
      </c>
      <c r="C1129" s="5" t="s">
        <v>15</v>
      </c>
      <c r="D1129" s="2">
        <v>46063</v>
      </c>
      <c r="E1129" s="1" t="s">
        <v>31</v>
      </c>
      <c r="F1129" s="1">
        <v>24102</v>
      </c>
      <c r="G1129" s="1" t="s">
        <v>669</v>
      </c>
      <c r="H1129" s="1" t="s">
        <v>661</v>
      </c>
      <c r="J1129" s="1" t="s">
        <v>670</v>
      </c>
      <c r="K1129" s="1" t="str">
        <f>VLOOKUP(J1129,'[1]Base SCA 02 2026'!V:X,3,0)</f>
        <v>CRISOSTOMO CASTRO</v>
      </c>
      <c r="L1129" s="1" t="str">
        <f>VLOOKUP(J1129,'[1]Base SCA 02 2026'!V:Y,4,0)</f>
        <v>YAN SILVA</v>
      </c>
      <c r="M1129" s="1" t="str">
        <f>VLOOKUP(J1129,'[1]Base SCA 02 2026'!V:Z,5,0)</f>
        <v>JUNIO TEIXEIRA /GEOVANI RORIZ</v>
      </c>
      <c r="N1129" s="1" t="str">
        <f t="shared" si="17"/>
        <v>JUNIO TEIXEIRA /GEOVANI RORIZ</v>
      </c>
    </row>
    <row r="1130" spans="1:14" x14ac:dyDescent="0.3">
      <c r="A1130" s="1">
        <v>705486</v>
      </c>
      <c r="B1130" s="1" t="s">
        <v>1309</v>
      </c>
      <c r="C1130" s="5" t="s">
        <v>92</v>
      </c>
      <c r="D1130" s="2">
        <v>45839</v>
      </c>
      <c r="E1130" s="1" t="s">
        <v>31</v>
      </c>
      <c r="F1130" s="1">
        <v>39601</v>
      </c>
      <c r="G1130" s="1" t="s">
        <v>660</v>
      </c>
      <c r="H1130" s="1" t="s">
        <v>661</v>
      </c>
      <c r="I1130" s="2">
        <v>46058</v>
      </c>
      <c r="J1130" s="1" t="s">
        <v>684</v>
      </c>
      <c r="K1130" s="1" t="str">
        <f>VLOOKUP(J1130,'[1]Base SCA 02 2026'!V:X,3,0)</f>
        <v>CRISOSTOMO CASTRO</v>
      </c>
      <c r="L1130" s="1" t="str">
        <f>VLOOKUP(J1130,'[1]Base SCA 02 2026'!V:Y,4,0)</f>
        <v>MATHEUS ALMEIDA</v>
      </c>
      <c r="M1130" s="1" t="str">
        <f>VLOOKUP(J1130,'[1]Base SCA 02 2026'!V:Z,5,0)</f>
        <v>ADALTON/JANILSON RORIZ/MARIVALDO</v>
      </c>
      <c r="N1130" s="1" t="str">
        <f t="shared" si="17"/>
        <v>ADALTON/JANILSON RORIZ/MARIVALDO</v>
      </c>
    </row>
    <row r="1131" spans="1:14" x14ac:dyDescent="0.3">
      <c r="A1131" s="1">
        <v>100880</v>
      </c>
      <c r="B1131" s="1" t="s">
        <v>1082</v>
      </c>
      <c r="C1131" s="5" t="s">
        <v>15</v>
      </c>
      <c r="D1131" s="2">
        <v>42444</v>
      </c>
      <c r="E1131" s="1" t="s">
        <v>255</v>
      </c>
      <c r="F1131" s="1">
        <v>39601</v>
      </c>
      <c r="G1131" s="1" t="s">
        <v>660</v>
      </c>
      <c r="H1131" s="1" t="s">
        <v>661</v>
      </c>
      <c r="J1131" s="1" t="s">
        <v>662</v>
      </c>
      <c r="K1131" s="1" t="str">
        <f>VLOOKUP(J1131,'[1]Base SCA 02 2026'!V:X,3,0)</f>
        <v>CRISOSTOMO CASTRO</v>
      </c>
      <c r="L1131" s="1" t="str">
        <f>VLOOKUP(J1131,'[1]Base SCA 02 2026'!V:Y,4,0)</f>
        <v>MATHEUS ALMEIDA</v>
      </c>
      <c r="N1131" s="1" t="str">
        <f t="shared" si="17"/>
        <v>MATHEUS ALMEIDA</v>
      </c>
    </row>
    <row r="1132" spans="1:14" x14ac:dyDescent="0.3">
      <c r="A1132" s="1">
        <v>705545</v>
      </c>
      <c r="B1132" s="1" t="s">
        <v>1324</v>
      </c>
      <c r="C1132" s="5" t="s">
        <v>233</v>
      </c>
      <c r="D1132" s="2">
        <v>45881</v>
      </c>
      <c r="E1132" s="1" t="s">
        <v>1596</v>
      </c>
      <c r="F1132" s="1">
        <v>37102</v>
      </c>
      <c r="G1132" s="1" t="s">
        <v>694</v>
      </c>
      <c r="H1132" s="1" t="s">
        <v>661</v>
      </c>
      <c r="J1132" s="1" t="s">
        <v>239</v>
      </c>
      <c r="K1132" s="1" t="str">
        <f>VLOOKUP(J1132,'[1]Base SCA 02 2026'!V:X,3,0)</f>
        <v>CARSON NEVES</v>
      </c>
      <c r="L1132" s="1" t="str">
        <f>VLOOKUP(J1132,'[1]Base SCA 02 2026'!V:Y,4,0)</f>
        <v>CARSON NEVES</v>
      </c>
      <c r="N1132" s="1" t="str">
        <f t="shared" si="17"/>
        <v>CARSON NEVES</v>
      </c>
    </row>
    <row r="1133" spans="1:14" x14ac:dyDescent="0.3">
      <c r="A1133" s="1">
        <v>705424</v>
      </c>
      <c r="B1133" s="1" t="s">
        <v>1083</v>
      </c>
      <c r="C1133" s="5" t="s">
        <v>92</v>
      </c>
      <c r="D1133" s="2">
        <v>45797</v>
      </c>
      <c r="E1133" s="1" t="s">
        <v>31</v>
      </c>
      <c r="F1133" s="1">
        <v>39601</v>
      </c>
      <c r="G1133" s="1" t="s">
        <v>660</v>
      </c>
      <c r="H1133" s="1" t="s">
        <v>661</v>
      </c>
      <c r="I1133" s="2">
        <v>46058</v>
      </c>
      <c r="J1133" s="1" t="s">
        <v>684</v>
      </c>
      <c r="K1133" s="1" t="str">
        <f>VLOOKUP(J1133,'[1]Base SCA 02 2026'!V:X,3,0)</f>
        <v>CRISOSTOMO CASTRO</v>
      </c>
      <c r="L1133" s="1" t="str">
        <f>VLOOKUP(J1133,'[1]Base SCA 02 2026'!V:Y,4,0)</f>
        <v>MATHEUS ALMEIDA</v>
      </c>
      <c r="M1133" s="1" t="str">
        <f>VLOOKUP(J1133,'[1]Base SCA 02 2026'!V:Z,5,0)</f>
        <v>ADALTON/JANILSON RORIZ/MARIVALDO</v>
      </c>
      <c r="N1133" s="1" t="str">
        <f t="shared" si="17"/>
        <v>ADALTON/JANILSON RORIZ/MARIVALDO</v>
      </c>
    </row>
    <row r="1134" spans="1:14" x14ac:dyDescent="0.3">
      <c r="A1134" s="1">
        <v>705341</v>
      </c>
      <c r="B1134" s="1" t="s">
        <v>1268</v>
      </c>
      <c r="C1134" s="5" t="s">
        <v>92</v>
      </c>
      <c r="D1134" s="2">
        <v>45784</v>
      </c>
      <c r="E1134" s="1" t="s">
        <v>31</v>
      </c>
      <c r="F1134" s="1">
        <v>39601</v>
      </c>
      <c r="G1134" s="1" t="s">
        <v>660</v>
      </c>
      <c r="H1134" s="1" t="s">
        <v>661</v>
      </c>
      <c r="I1134" s="2">
        <v>46058</v>
      </c>
      <c r="J1134" s="1" t="s">
        <v>684</v>
      </c>
      <c r="K1134" s="1" t="str">
        <f>VLOOKUP(J1134,'[1]Base SCA 02 2026'!V:X,3,0)</f>
        <v>CRISOSTOMO CASTRO</v>
      </c>
      <c r="L1134" s="1" t="str">
        <f>VLOOKUP(J1134,'[1]Base SCA 02 2026'!V:Y,4,0)</f>
        <v>MATHEUS ALMEIDA</v>
      </c>
      <c r="M1134" s="1" t="str">
        <f>VLOOKUP(J1134,'[1]Base SCA 02 2026'!V:Z,5,0)</f>
        <v>ADALTON/JANILSON RORIZ/MARIVALDO</v>
      </c>
      <c r="N1134" s="1" t="str">
        <f t="shared" si="17"/>
        <v>ADALTON/JANILSON RORIZ/MARIVALDO</v>
      </c>
    </row>
    <row r="1135" spans="1:14" x14ac:dyDescent="0.3">
      <c r="A1135" s="1">
        <v>705098</v>
      </c>
      <c r="B1135" s="1" t="s">
        <v>1084</v>
      </c>
      <c r="C1135" s="5" t="s">
        <v>15</v>
      </c>
      <c r="D1135" s="2">
        <v>45670</v>
      </c>
      <c r="E1135" s="1" t="s">
        <v>31</v>
      </c>
      <c r="F1135" s="1">
        <v>24102</v>
      </c>
      <c r="G1135" s="1" t="s">
        <v>669</v>
      </c>
      <c r="H1135" s="1" t="s">
        <v>661</v>
      </c>
      <c r="J1135" s="1" t="s">
        <v>672</v>
      </c>
      <c r="K1135" s="1" t="str">
        <f>VLOOKUP(J1135,'[1]Base SCA 02 2026'!V:X,3,0)</f>
        <v>CRISOSTOMO CASTRO</v>
      </c>
      <c r="L1135" s="1" t="str">
        <f>VLOOKUP(J1135,'[1]Base SCA 02 2026'!V:Y,4,0)</f>
        <v>YAN SILVA</v>
      </c>
      <c r="M1135" s="1" t="str">
        <f>VLOOKUP(J1135,'[1]Base SCA 02 2026'!V:Z,5,0)</f>
        <v>JUNIO TEIXEIRA /GEOVANI RORIZ</v>
      </c>
      <c r="N1135" s="1" t="str">
        <f t="shared" si="17"/>
        <v>JUNIO TEIXEIRA /GEOVANI RORIZ</v>
      </c>
    </row>
    <row r="1136" spans="1:14" x14ac:dyDescent="0.3">
      <c r="A1136" s="1">
        <v>701755</v>
      </c>
      <c r="B1136" s="1" t="s">
        <v>1085</v>
      </c>
      <c r="C1136" s="5" t="s">
        <v>15</v>
      </c>
      <c r="D1136" s="2">
        <v>44053</v>
      </c>
      <c r="E1136" s="1" t="s">
        <v>1086</v>
      </c>
      <c r="F1136" s="1">
        <v>31103</v>
      </c>
      <c r="G1136" s="1" t="s">
        <v>718</v>
      </c>
      <c r="H1136" s="1" t="s">
        <v>661</v>
      </c>
      <c r="J1136" s="1" t="s">
        <v>719</v>
      </c>
      <c r="K1136" s="1" t="str">
        <f>VLOOKUP(J1136,'[1]Base SCA 02 2026'!V:X,3,0)</f>
        <v xml:space="preserve">GISELE NASCENTE </v>
      </c>
      <c r="L1136" s="1" t="str">
        <f>VLOOKUP(J1136,'[1]Base SCA 02 2026'!V:Y,4,0)</f>
        <v xml:space="preserve">GISELE NASCENTE </v>
      </c>
      <c r="M1136" s="1" t="str">
        <f>VLOOKUP(J1136,'[1]Base SCA 02 2026'!V:Z,5,0)</f>
        <v>MARCOS OLIVEIRA</v>
      </c>
      <c r="N1136" s="1" t="str">
        <f t="shared" si="17"/>
        <v>MARCOS OLIVEIRA</v>
      </c>
    </row>
    <row r="1137" spans="1:14" x14ac:dyDescent="0.3">
      <c r="A1137" s="1">
        <v>704674</v>
      </c>
      <c r="B1137" s="1" t="s">
        <v>1087</v>
      </c>
      <c r="C1137" s="5" t="s">
        <v>15</v>
      </c>
      <c r="D1137" s="2">
        <v>45510</v>
      </c>
      <c r="E1137" s="1" t="s">
        <v>418</v>
      </c>
      <c r="F1137" s="1">
        <v>39601</v>
      </c>
      <c r="G1137" s="1" t="s">
        <v>660</v>
      </c>
      <c r="H1137" s="1" t="s">
        <v>661</v>
      </c>
      <c r="J1137" s="1" t="s">
        <v>662</v>
      </c>
      <c r="K1137" s="1" t="str">
        <f>VLOOKUP(J1137,'[1]Base SCA 02 2026'!V:X,3,0)</f>
        <v>CRISOSTOMO CASTRO</v>
      </c>
      <c r="L1137" s="1" t="str">
        <f>VLOOKUP(J1137,'[1]Base SCA 02 2026'!V:Y,4,0)</f>
        <v>MATHEUS ALMEIDA</v>
      </c>
      <c r="N1137" s="1" t="str">
        <f t="shared" si="17"/>
        <v>MATHEUS ALMEIDA</v>
      </c>
    </row>
    <row r="1138" spans="1:14" x14ac:dyDescent="0.3">
      <c r="A1138" s="1">
        <v>101411</v>
      </c>
      <c r="B1138" s="1" t="s">
        <v>1088</v>
      </c>
      <c r="C1138" s="5" t="s">
        <v>15</v>
      </c>
      <c r="D1138" s="2">
        <v>42926</v>
      </c>
      <c r="E1138" s="1" t="s">
        <v>507</v>
      </c>
      <c r="F1138" s="1">
        <v>24201</v>
      </c>
      <c r="G1138" s="1" t="s">
        <v>664</v>
      </c>
      <c r="H1138" s="1" t="s">
        <v>661</v>
      </c>
      <c r="J1138" s="1" t="s">
        <v>665</v>
      </c>
      <c r="K1138" s="1" t="str">
        <f>VLOOKUP(J1138,'[1]Base SCA 02 2026'!V:X,3,0)</f>
        <v>CRISOSTOMO CASTRO</v>
      </c>
      <c r="L1138" s="1" t="str">
        <f>VLOOKUP(J1138,'[1]Base SCA 02 2026'!V:Y,4,0)</f>
        <v>MATHEUS ALMEIDA</v>
      </c>
      <c r="M1138" s="1" t="str">
        <f>VLOOKUP(J1138,'[1]Base SCA 02 2026'!V:Z,5,0)</f>
        <v>JOSIEL NEVES</v>
      </c>
      <c r="N1138" s="1" t="str">
        <f t="shared" si="17"/>
        <v>JOSIEL NEVES</v>
      </c>
    </row>
    <row r="1139" spans="1:14" x14ac:dyDescent="0.3">
      <c r="A1139" s="1">
        <v>705321</v>
      </c>
      <c r="B1139" s="1" t="s">
        <v>1269</v>
      </c>
      <c r="C1139" s="5" t="s">
        <v>15</v>
      </c>
      <c r="D1139" s="2">
        <v>45784</v>
      </c>
      <c r="E1139" s="1" t="s">
        <v>31</v>
      </c>
      <c r="F1139" s="1">
        <v>24102</v>
      </c>
      <c r="G1139" s="1" t="s">
        <v>669</v>
      </c>
      <c r="H1139" s="1" t="s">
        <v>661</v>
      </c>
      <c r="J1139" s="1" t="s">
        <v>670</v>
      </c>
      <c r="K1139" s="1" t="str">
        <f>VLOOKUP(J1139,'[1]Base SCA 02 2026'!V:X,3,0)</f>
        <v>CRISOSTOMO CASTRO</v>
      </c>
      <c r="L1139" s="1" t="str">
        <f>VLOOKUP(J1139,'[1]Base SCA 02 2026'!V:Y,4,0)</f>
        <v>YAN SILVA</v>
      </c>
      <c r="M1139" s="1" t="str">
        <f>VLOOKUP(J1139,'[1]Base SCA 02 2026'!V:Z,5,0)</f>
        <v>JUNIO TEIXEIRA /GEOVANI RORIZ</v>
      </c>
      <c r="N1139" s="1" t="str">
        <f t="shared" si="17"/>
        <v>JUNIO TEIXEIRA /GEOVANI RORIZ</v>
      </c>
    </row>
    <row r="1140" spans="1:14" x14ac:dyDescent="0.3">
      <c r="A1140" s="1">
        <v>705676</v>
      </c>
      <c r="B1140" s="1" t="s">
        <v>1089</v>
      </c>
      <c r="C1140" s="5" t="s">
        <v>15</v>
      </c>
      <c r="D1140" s="2">
        <v>45944</v>
      </c>
      <c r="E1140" s="1" t="s">
        <v>31</v>
      </c>
      <c r="F1140" s="1">
        <v>39601</v>
      </c>
      <c r="G1140" s="1" t="s">
        <v>660</v>
      </c>
      <c r="H1140" s="1" t="s">
        <v>661</v>
      </c>
      <c r="J1140" s="1" t="s">
        <v>684</v>
      </c>
      <c r="K1140" s="1" t="str">
        <f>VLOOKUP(J1140,'[1]Base SCA 02 2026'!V:X,3,0)</f>
        <v>CRISOSTOMO CASTRO</v>
      </c>
      <c r="L1140" s="1" t="str">
        <f>VLOOKUP(J1140,'[1]Base SCA 02 2026'!V:Y,4,0)</f>
        <v>MATHEUS ALMEIDA</v>
      </c>
      <c r="M1140" s="1" t="str">
        <f>VLOOKUP(J1140,'[1]Base SCA 02 2026'!V:Z,5,0)</f>
        <v>ADALTON/JANILSON RORIZ/MARIVALDO</v>
      </c>
      <c r="N1140" s="1" t="str">
        <f t="shared" si="17"/>
        <v>ADALTON/JANILSON RORIZ/MARIVALDO</v>
      </c>
    </row>
    <row r="1141" spans="1:14" x14ac:dyDescent="0.3">
      <c r="A1141" s="1">
        <v>704469</v>
      </c>
      <c r="B1141" s="1" t="s">
        <v>1090</v>
      </c>
      <c r="C1141" s="5" t="s">
        <v>15</v>
      </c>
      <c r="D1141" s="2">
        <v>45419</v>
      </c>
      <c r="E1141" s="1" t="s">
        <v>31</v>
      </c>
      <c r="F1141" s="1">
        <v>24201</v>
      </c>
      <c r="G1141" s="1" t="s">
        <v>664</v>
      </c>
      <c r="H1141" s="1" t="s">
        <v>661</v>
      </c>
      <c r="J1141" s="1" t="s">
        <v>665</v>
      </c>
      <c r="K1141" s="1" t="str">
        <f>VLOOKUP(J1141,'[1]Base SCA 02 2026'!V:X,3,0)</f>
        <v>CRISOSTOMO CASTRO</v>
      </c>
      <c r="L1141" s="1" t="str">
        <f>VLOOKUP(J1141,'[1]Base SCA 02 2026'!V:Y,4,0)</f>
        <v>MATHEUS ALMEIDA</v>
      </c>
      <c r="M1141" s="1" t="str">
        <f>VLOOKUP(J1141,'[1]Base SCA 02 2026'!V:Z,5,0)</f>
        <v>JOSIEL NEVES</v>
      </c>
      <c r="N1141" s="1" t="str">
        <f t="shared" si="17"/>
        <v>JOSIEL NEVES</v>
      </c>
    </row>
    <row r="1142" spans="1:14" x14ac:dyDescent="0.3">
      <c r="A1142" s="1">
        <v>705473</v>
      </c>
      <c r="B1142" s="1" t="s">
        <v>1287</v>
      </c>
      <c r="C1142" s="5" t="s">
        <v>15</v>
      </c>
      <c r="D1142" s="2">
        <v>45824</v>
      </c>
      <c r="E1142" s="1" t="s">
        <v>31</v>
      </c>
      <c r="F1142" s="1">
        <v>24102</v>
      </c>
      <c r="G1142" s="1" t="s">
        <v>669</v>
      </c>
      <c r="H1142" s="1" t="s">
        <v>661</v>
      </c>
      <c r="J1142" s="1" t="s">
        <v>670</v>
      </c>
      <c r="K1142" s="1" t="str">
        <f>VLOOKUP(J1142,'[1]Base SCA 02 2026'!V:X,3,0)</f>
        <v>CRISOSTOMO CASTRO</v>
      </c>
      <c r="L1142" s="1" t="str">
        <f>VLOOKUP(J1142,'[1]Base SCA 02 2026'!V:Y,4,0)</f>
        <v>YAN SILVA</v>
      </c>
      <c r="M1142" s="1" t="str">
        <f>VLOOKUP(J1142,'[1]Base SCA 02 2026'!V:Z,5,0)</f>
        <v>JUNIO TEIXEIRA /GEOVANI RORIZ</v>
      </c>
      <c r="N1142" s="1" t="str">
        <f t="shared" si="17"/>
        <v>JUNIO TEIXEIRA /GEOVANI RORIZ</v>
      </c>
    </row>
    <row r="1143" spans="1:14" x14ac:dyDescent="0.3">
      <c r="A1143" s="1">
        <v>705889</v>
      </c>
      <c r="B1143" s="1" t="s">
        <v>1597</v>
      </c>
      <c r="C1143" s="5" t="s">
        <v>15</v>
      </c>
      <c r="D1143" s="2">
        <v>46063</v>
      </c>
      <c r="E1143" s="1" t="s">
        <v>60</v>
      </c>
      <c r="F1143" s="1">
        <v>24102</v>
      </c>
      <c r="G1143" s="1" t="s">
        <v>669</v>
      </c>
      <c r="H1143" s="1" t="s">
        <v>661</v>
      </c>
      <c r="J1143" s="1" t="s">
        <v>804</v>
      </c>
      <c r="K1143" s="1" t="str">
        <f>VLOOKUP(J1143,'[1]Base SCA 02 2026'!V:X,3,0)</f>
        <v>CRISOSTOMO CASTRO</v>
      </c>
      <c r="L1143" s="1" t="str">
        <f>VLOOKUP(J1143,'[1]Base SCA 02 2026'!V:Y,4,0)</f>
        <v>CRISOSTOMO CASTRO</v>
      </c>
      <c r="M1143" s="1" t="str">
        <f>VLOOKUP(J1143,'[1]Base SCA 02 2026'!V:Z,5,0)</f>
        <v>JAILSON RORIZ</v>
      </c>
      <c r="N1143" s="1" t="str">
        <f t="shared" si="17"/>
        <v>JAILSON RORIZ</v>
      </c>
    </row>
    <row r="1144" spans="1:14" x14ac:dyDescent="0.3">
      <c r="A1144" s="1">
        <v>705462</v>
      </c>
      <c r="B1144" s="1" t="s">
        <v>1288</v>
      </c>
      <c r="C1144" s="5" t="s">
        <v>92</v>
      </c>
      <c r="D1144" s="2">
        <v>45812</v>
      </c>
      <c r="E1144" s="1" t="s">
        <v>31</v>
      </c>
      <c r="F1144" s="1">
        <v>39601</v>
      </c>
      <c r="G1144" s="1" t="s">
        <v>660</v>
      </c>
      <c r="H1144" s="1" t="s">
        <v>661</v>
      </c>
      <c r="I1144" s="2">
        <v>46058</v>
      </c>
      <c r="J1144" s="1" t="s">
        <v>662</v>
      </c>
      <c r="K1144" s="1" t="str">
        <f>VLOOKUP(J1144,'[1]Base SCA 02 2026'!V:X,3,0)</f>
        <v>CRISOSTOMO CASTRO</v>
      </c>
      <c r="L1144" s="1" t="str">
        <f>VLOOKUP(J1144,'[1]Base SCA 02 2026'!V:Y,4,0)</f>
        <v>MATHEUS ALMEIDA</v>
      </c>
      <c r="N1144" s="1" t="str">
        <f t="shared" si="17"/>
        <v>MATHEUS ALMEIDA</v>
      </c>
    </row>
    <row r="1145" spans="1:14" x14ac:dyDescent="0.3">
      <c r="A1145" s="1">
        <v>705873</v>
      </c>
      <c r="B1145" s="1" t="s">
        <v>1598</v>
      </c>
      <c r="C1145" s="5" t="s">
        <v>15</v>
      </c>
      <c r="D1145" s="2">
        <v>46063</v>
      </c>
      <c r="E1145" s="1" t="s">
        <v>31</v>
      </c>
      <c r="F1145" s="1">
        <v>24102</v>
      </c>
      <c r="G1145" s="1" t="s">
        <v>669</v>
      </c>
      <c r="H1145" s="1" t="s">
        <v>661</v>
      </c>
      <c r="J1145" s="1" t="s">
        <v>670</v>
      </c>
      <c r="K1145" s="1" t="str">
        <f>VLOOKUP(J1145,'[1]Base SCA 02 2026'!V:X,3,0)</f>
        <v>CRISOSTOMO CASTRO</v>
      </c>
      <c r="L1145" s="1" t="str">
        <f>VLOOKUP(J1145,'[1]Base SCA 02 2026'!V:Y,4,0)</f>
        <v>YAN SILVA</v>
      </c>
      <c r="M1145" s="1" t="str">
        <f>VLOOKUP(J1145,'[1]Base SCA 02 2026'!V:Z,5,0)</f>
        <v>JUNIO TEIXEIRA /GEOVANI RORIZ</v>
      </c>
      <c r="N1145" s="1" t="str">
        <f t="shared" si="17"/>
        <v>JUNIO TEIXEIRA /GEOVANI RORIZ</v>
      </c>
    </row>
    <row r="1146" spans="1:14" x14ac:dyDescent="0.3">
      <c r="A1146" s="1">
        <v>703827</v>
      </c>
      <c r="B1146" s="1" t="s">
        <v>1093</v>
      </c>
      <c r="C1146" s="5" t="s">
        <v>15</v>
      </c>
      <c r="D1146" s="2">
        <v>45054</v>
      </c>
      <c r="E1146" s="1" t="s">
        <v>138</v>
      </c>
      <c r="F1146" s="1">
        <v>24102</v>
      </c>
      <c r="G1146" s="1" t="s">
        <v>669</v>
      </c>
      <c r="H1146" s="1" t="s">
        <v>661</v>
      </c>
      <c r="J1146" s="1" t="s">
        <v>682</v>
      </c>
      <c r="K1146" s="1" t="str">
        <f>VLOOKUP(J1146,'[1]Base SCA 02 2026'!V:X,3,0)</f>
        <v>CRISOSTOMO CASTRO</v>
      </c>
      <c r="L1146" s="1" t="str">
        <f>VLOOKUP(J1146,'[1]Base SCA 02 2026'!V:Y,4,0)</f>
        <v>JOÃO FILHO</v>
      </c>
      <c r="M1146" s="1" t="str">
        <f>VLOOKUP(J1146,'[1]Base SCA 02 2026'!V:Z,5,0)</f>
        <v>ALCENO JUNIOR/JOÃO MARCOS</v>
      </c>
      <c r="N1146" s="1" t="str">
        <f t="shared" si="17"/>
        <v>ALCENO JUNIOR/JOÃO MARCOS</v>
      </c>
    </row>
    <row r="1147" spans="1:14" x14ac:dyDescent="0.3">
      <c r="A1147" s="1">
        <v>705396</v>
      </c>
      <c r="B1147" s="1" t="s">
        <v>1270</v>
      </c>
      <c r="C1147" s="5" t="s">
        <v>15</v>
      </c>
      <c r="D1147" s="2">
        <v>45791</v>
      </c>
      <c r="E1147" s="1" t="s">
        <v>31</v>
      </c>
      <c r="F1147" s="1">
        <v>39601</v>
      </c>
      <c r="G1147" s="1" t="s">
        <v>660</v>
      </c>
      <c r="H1147" s="1" t="s">
        <v>661</v>
      </c>
      <c r="J1147" s="1" t="s">
        <v>662</v>
      </c>
      <c r="K1147" s="1" t="str">
        <f>VLOOKUP(J1147,'[1]Base SCA 02 2026'!V:X,3,0)</f>
        <v>CRISOSTOMO CASTRO</v>
      </c>
      <c r="L1147" s="1" t="str">
        <f>VLOOKUP(J1147,'[1]Base SCA 02 2026'!V:Y,4,0)</f>
        <v>MATHEUS ALMEIDA</v>
      </c>
      <c r="N1147" s="1" t="str">
        <f t="shared" si="17"/>
        <v>MATHEUS ALMEIDA</v>
      </c>
    </row>
    <row r="1148" spans="1:14" x14ac:dyDescent="0.3">
      <c r="A1148" s="1">
        <v>101772</v>
      </c>
      <c r="B1148" s="1" t="s">
        <v>1094</v>
      </c>
      <c r="C1148" s="5" t="s">
        <v>15</v>
      </c>
      <c r="D1148" s="2">
        <v>43073</v>
      </c>
      <c r="E1148" s="1" t="s">
        <v>16</v>
      </c>
      <c r="F1148" s="1">
        <v>24102</v>
      </c>
      <c r="G1148" s="1" t="s">
        <v>669</v>
      </c>
      <c r="H1148" s="1" t="s">
        <v>661</v>
      </c>
      <c r="J1148" s="1" t="s">
        <v>682</v>
      </c>
      <c r="K1148" s="1" t="str">
        <f>VLOOKUP(J1148,'[1]Base SCA 02 2026'!V:X,3,0)</f>
        <v>CRISOSTOMO CASTRO</v>
      </c>
      <c r="L1148" s="1" t="str">
        <f>VLOOKUP(J1148,'[1]Base SCA 02 2026'!V:Y,4,0)</f>
        <v>JOÃO FILHO</v>
      </c>
      <c r="M1148" s="1" t="str">
        <f>VLOOKUP(J1148,'[1]Base SCA 02 2026'!V:Z,5,0)</f>
        <v>ALCENO JUNIOR/JOÃO MARCOS</v>
      </c>
      <c r="N1148" s="1" t="str">
        <f t="shared" si="17"/>
        <v>ALCENO JUNIOR/JOÃO MARCOS</v>
      </c>
    </row>
    <row r="1149" spans="1:14" x14ac:dyDescent="0.3">
      <c r="A1149" s="1">
        <v>703144</v>
      </c>
      <c r="B1149" s="1" t="s">
        <v>1095</v>
      </c>
      <c r="C1149" s="5" t="s">
        <v>15</v>
      </c>
      <c r="D1149" s="2">
        <v>44713</v>
      </c>
      <c r="E1149" s="1" t="s">
        <v>16</v>
      </c>
      <c r="F1149" s="1">
        <v>24102</v>
      </c>
      <c r="G1149" s="1" t="s">
        <v>669</v>
      </c>
      <c r="H1149" s="1" t="s">
        <v>661</v>
      </c>
      <c r="J1149" s="1" t="s">
        <v>682</v>
      </c>
      <c r="K1149" s="1" t="str">
        <f>VLOOKUP(J1149,'[1]Base SCA 02 2026'!V:X,3,0)</f>
        <v>CRISOSTOMO CASTRO</v>
      </c>
      <c r="L1149" s="1" t="str">
        <f>VLOOKUP(J1149,'[1]Base SCA 02 2026'!V:Y,4,0)</f>
        <v>JOÃO FILHO</v>
      </c>
      <c r="M1149" s="1" t="str">
        <f>VLOOKUP(J1149,'[1]Base SCA 02 2026'!V:Z,5,0)</f>
        <v>ALCENO JUNIOR/JOÃO MARCOS</v>
      </c>
      <c r="N1149" s="1" t="str">
        <f t="shared" si="17"/>
        <v>ALCENO JUNIOR/JOÃO MARCOS</v>
      </c>
    </row>
    <row r="1150" spans="1:14" x14ac:dyDescent="0.3">
      <c r="A1150" s="1">
        <v>700457</v>
      </c>
      <c r="B1150" s="1" t="s">
        <v>1096</v>
      </c>
      <c r="C1150" s="5" t="s">
        <v>15</v>
      </c>
      <c r="D1150" s="2">
        <v>43332</v>
      </c>
      <c r="E1150" s="1" t="s">
        <v>686</v>
      </c>
      <c r="F1150" s="1">
        <v>39601</v>
      </c>
      <c r="G1150" s="1" t="s">
        <v>660</v>
      </c>
      <c r="H1150" s="1" t="s">
        <v>661</v>
      </c>
      <c r="J1150" s="1" t="s">
        <v>684</v>
      </c>
      <c r="K1150" s="1" t="str">
        <f>VLOOKUP(J1150,'[1]Base SCA 02 2026'!V:X,3,0)</f>
        <v>CRISOSTOMO CASTRO</v>
      </c>
      <c r="L1150" s="1" t="str">
        <f>VLOOKUP(J1150,'[1]Base SCA 02 2026'!V:Y,4,0)</f>
        <v>MATHEUS ALMEIDA</v>
      </c>
      <c r="M1150" s="1" t="str">
        <f>VLOOKUP(J1150,'[1]Base SCA 02 2026'!V:Z,5,0)</f>
        <v>ADALTON/JANILSON RORIZ/MARIVALDO</v>
      </c>
      <c r="N1150" s="1" t="str">
        <f t="shared" si="17"/>
        <v>ADALTON/JANILSON RORIZ/MARIVALDO</v>
      </c>
    </row>
    <row r="1151" spans="1:14" x14ac:dyDescent="0.3">
      <c r="A1151" s="1">
        <v>704470</v>
      </c>
      <c r="B1151" s="1" t="s">
        <v>1097</v>
      </c>
      <c r="C1151" s="5" t="s">
        <v>92</v>
      </c>
      <c r="D1151" s="2">
        <v>45419</v>
      </c>
      <c r="E1151" s="1" t="s">
        <v>31</v>
      </c>
      <c r="F1151" s="1">
        <v>39601</v>
      </c>
      <c r="G1151" s="1" t="s">
        <v>660</v>
      </c>
      <c r="H1151" s="1" t="s">
        <v>661</v>
      </c>
      <c r="I1151" s="2">
        <v>46058</v>
      </c>
      <c r="J1151" s="1" t="s">
        <v>684</v>
      </c>
      <c r="K1151" s="1" t="str">
        <f>VLOOKUP(J1151,'[1]Base SCA 02 2026'!V:X,3,0)</f>
        <v>CRISOSTOMO CASTRO</v>
      </c>
      <c r="L1151" s="1" t="str">
        <f>VLOOKUP(J1151,'[1]Base SCA 02 2026'!V:Y,4,0)</f>
        <v>MATHEUS ALMEIDA</v>
      </c>
      <c r="M1151" s="1" t="str">
        <f>VLOOKUP(J1151,'[1]Base SCA 02 2026'!V:Z,5,0)</f>
        <v>ADALTON/JANILSON RORIZ/MARIVALDO</v>
      </c>
      <c r="N1151" s="1" t="str">
        <f t="shared" si="17"/>
        <v>ADALTON/JANILSON RORIZ/MARIVALDO</v>
      </c>
    </row>
    <row r="1152" spans="1:14" x14ac:dyDescent="0.3">
      <c r="A1152" s="1">
        <v>705101</v>
      </c>
      <c r="B1152" s="1" t="s">
        <v>1098</v>
      </c>
      <c r="C1152" s="5" t="s">
        <v>15</v>
      </c>
      <c r="D1152" s="2">
        <v>45670</v>
      </c>
      <c r="E1152" s="1" t="s">
        <v>31</v>
      </c>
      <c r="F1152" s="1">
        <v>24102</v>
      </c>
      <c r="G1152" s="1" t="s">
        <v>669</v>
      </c>
      <c r="H1152" s="1" t="s">
        <v>661</v>
      </c>
      <c r="J1152" s="1" t="s">
        <v>672</v>
      </c>
      <c r="K1152" s="1" t="str">
        <f>VLOOKUP(J1152,'[1]Base SCA 02 2026'!V:X,3,0)</f>
        <v>CRISOSTOMO CASTRO</v>
      </c>
      <c r="L1152" s="1" t="str">
        <f>VLOOKUP(J1152,'[1]Base SCA 02 2026'!V:Y,4,0)</f>
        <v>YAN SILVA</v>
      </c>
      <c r="M1152" s="1" t="str">
        <f>VLOOKUP(J1152,'[1]Base SCA 02 2026'!V:Z,5,0)</f>
        <v>JUNIO TEIXEIRA /GEOVANI RORIZ</v>
      </c>
      <c r="N1152" s="1" t="str">
        <f t="shared" si="17"/>
        <v>JUNIO TEIXEIRA /GEOVANI RORIZ</v>
      </c>
    </row>
    <row r="1153" spans="1:14" x14ac:dyDescent="0.3">
      <c r="A1153" s="1">
        <v>705033</v>
      </c>
      <c r="B1153" s="1" t="s">
        <v>1099</v>
      </c>
      <c r="C1153" s="5" t="s">
        <v>15</v>
      </c>
      <c r="D1153" s="2">
        <v>45636</v>
      </c>
      <c r="E1153" s="1" t="s">
        <v>31</v>
      </c>
      <c r="F1153" s="1">
        <v>24201</v>
      </c>
      <c r="G1153" s="1" t="s">
        <v>664</v>
      </c>
      <c r="H1153" s="1" t="s">
        <v>661</v>
      </c>
      <c r="J1153" s="1" t="s">
        <v>665</v>
      </c>
      <c r="K1153" s="1" t="str">
        <f>VLOOKUP(J1153,'[1]Base SCA 02 2026'!V:X,3,0)</f>
        <v>CRISOSTOMO CASTRO</v>
      </c>
      <c r="L1153" s="1" t="str">
        <f>VLOOKUP(J1153,'[1]Base SCA 02 2026'!V:Y,4,0)</f>
        <v>MATHEUS ALMEIDA</v>
      </c>
      <c r="M1153" s="1" t="str">
        <f>VLOOKUP(J1153,'[1]Base SCA 02 2026'!V:Z,5,0)</f>
        <v>JOSIEL NEVES</v>
      </c>
      <c r="N1153" s="1" t="str">
        <f t="shared" si="17"/>
        <v>JOSIEL NEVES</v>
      </c>
    </row>
    <row r="1154" spans="1:14" x14ac:dyDescent="0.3">
      <c r="A1154" s="1">
        <v>705154</v>
      </c>
      <c r="B1154" s="1" t="s">
        <v>1151</v>
      </c>
      <c r="C1154" s="5" t="s">
        <v>92</v>
      </c>
      <c r="D1154" s="2">
        <v>45705</v>
      </c>
      <c r="E1154" s="1" t="s">
        <v>31</v>
      </c>
      <c r="F1154" s="1">
        <v>24102</v>
      </c>
      <c r="G1154" s="1" t="s">
        <v>669</v>
      </c>
      <c r="H1154" s="1" t="s">
        <v>661</v>
      </c>
      <c r="I1154" s="2">
        <v>46058</v>
      </c>
      <c r="J1154" s="1" t="s">
        <v>680</v>
      </c>
      <c r="K1154" s="1" t="str">
        <f>VLOOKUP(J1154,'[1]Base SCA 02 2026'!V:X,3,0)</f>
        <v>CRISOSTOMO CASTRO</v>
      </c>
      <c r="L1154" s="1" t="str">
        <f>VLOOKUP(J1154,'[1]Base SCA 02 2026'!V:Y,4,0)</f>
        <v>YAN SILVA</v>
      </c>
      <c r="M1154" s="1" t="str">
        <f>VLOOKUP(J1154,'[1]Base SCA 02 2026'!V:Z,5,0)</f>
        <v>JUNIO TEIXEIRA /GEOVANI RORIZ</v>
      </c>
      <c r="N1154" s="1" t="str">
        <f t="shared" si="17"/>
        <v>JUNIO TEIXEIRA /GEOVANI RORIZ</v>
      </c>
    </row>
    <row r="1155" spans="1:14" x14ac:dyDescent="0.3">
      <c r="A1155" s="1">
        <v>705021</v>
      </c>
      <c r="B1155" s="1" t="s">
        <v>1100</v>
      </c>
      <c r="C1155" s="5" t="s">
        <v>15</v>
      </c>
      <c r="D1155" s="2">
        <v>45635</v>
      </c>
      <c r="E1155" s="1" t="s">
        <v>31</v>
      </c>
      <c r="F1155" s="1">
        <v>24102</v>
      </c>
      <c r="G1155" s="1" t="s">
        <v>669</v>
      </c>
      <c r="H1155" s="1" t="s">
        <v>661</v>
      </c>
      <c r="J1155" s="1" t="s">
        <v>670</v>
      </c>
      <c r="K1155" s="1" t="str">
        <f>VLOOKUP(J1155,'[1]Base SCA 02 2026'!V:X,3,0)</f>
        <v>CRISOSTOMO CASTRO</v>
      </c>
      <c r="L1155" s="1" t="str">
        <f>VLOOKUP(J1155,'[1]Base SCA 02 2026'!V:Y,4,0)</f>
        <v>YAN SILVA</v>
      </c>
      <c r="M1155" s="1" t="str">
        <f>VLOOKUP(J1155,'[1]Base SCA 02 2026'!V:Z,5,0)</f>
        <v>JUNIO TEIXEIRA /GEOVANI RORIZ</v>
      </c>
      <c r="N1155" s="1" t="str">
        <f t="shared" ref="N1155:N1204" si="18">IF(M1155&lt;&gt;"", M1155, IF(L1155&lt;&gt;"", L1155, K1155))</f>
        <v>JUNIO TEIXEIRA /GEOVANI RORIZ</v>
      </c>
    </row>
    <row r="1156" spans="1:14" x14ac:dyDescent="0.3">
      <c r="A1156" s="1">
        <v>705595</v>
      </c>
      <c r="B1156" s="1" t="s">
        <v>1344</v>
      </c>
      <c r="C1156" s="5" t="s">
        <v>92</v>
      </c>
      <c r="D1156" s="2">
        <v>45881</v>
      </c>
      <c r="E1156" s="1" t="s">
        <v>31</v>
      </c>
      <c r="F1156" s="1">
        <v>39601</v>
      </c>
      <c r="G1156" s="1" t="s">
        <v>660</v>
      </c>
      <c r="H1156" s="1" t="s">
        <v>661</v>
      </c>
      <c r="I1156" s="2">
        <v>46058</v>
      </c>
      <c r="J1156" s="1" t="s">
        <v>684</v>
      </c>
      <c r="K1156" s="1" t="str">
        <f>VLOOKUP(J1156,'[1]Base SCA 02 2026'!V:X,3,0)</f>
        <v>CRISOSTOMO CASTRO</v>
      </c>
      <c r="L1156" s="1" t="str">
        <f>VLOOKUP(J1156,'[1]Base SCA 02 2026'!V:Y,4,0)</f>
        <v>MATHEUS ALMEIDA</v>
      </c>
      <c r="M1156" s="1" t="str">
        <f>VLOOKUP(J1156,'[1]Base SCA 02 2026'!V:Z,5,0)</f>
        <v>ADALTON/JANILSON RORIZ/MARIVALDO</v>
      </c>
      <c r="N1156" s="1" t="str">
        <f t="shared" si="18"/>
        <v>ADALTON/JANILSON RORIZ/MARIVALDO</v>
      </c>
    </row>
    <row r="1157" spans="1:14" x14ac:dyDescent="0.3">
      <c r="A1157" s="1">
        <v>701241</v>
      </c>
      <c r="B1157" s="1" t="s">
        <v>1101</v>
      </c>
      <c r="C1157" s="5" t="s">
        <v>15</v>
      </c>
      <c r="D1157" s="2">
        <v>43711</v>
      </c>
      <c r="E1157" s="1" t="s">
        <v>16</v>
      </c>
      <c r="F1157" s="1">
        <v>24102</v>
      </c>
      <c r="G1157" s="1" t="s">
        <v>669</v>
      </c>
      <c r="H1157" s="1" t="s">
        <v>661</v>
      </c>
      <c r="J1157" s="1" t="s">
        <v>682</v>
      </c>
      <c r="K1157" s="1" t="str">
        <f>VLOOKUP(J1157,'[1]Base SCA 02 2026'!V:X,3,0)</f>
        <v>CRISOSTOMO CASTRO</v>
      </c>
      <c r="L1157" s="1" t="str">
        <f>VLOOKUP(J1157,'[1]Base SCA 02 2026'!V:Y,4,0)</f>
        <v>JOÃO FILHO</v>
      </c>
      <c r="M1157" s="1" t="str">
        <f>VLOOKUP(J1157,'[1]Base SCA 02 2026'!V:Z,5,0)</f>
        <v>ALCENO JUNIOR/JOÃO MARCOS</v>
      </c>
      <c r="N1157" s="1" t="str">
        <f t="shared" si="18"/>
        <v>ALCENO JUNIOR/JOÃO MARCOS</v>
      </c>
    </row>
    <row r="1158" spans="1:14" x14ac:dyDescent="0.3">
      <c r="A1158" s="1">
        <v>705160</v>
      </c>
      <c r="B1158" s="1" t="s">
        <v>1177</v>
      </c>
      <c r="C1158" s="5" t="s">
        <v>15</v>
      </c>
      <c r="D1158" s="2">
        <v>45720</v>
      </c>
      <c r="E1158" s="1" t="s">
        <v>428</v>
      </c>
      <c r="F1158" s="1">
        <v>32102</v>
      </c>
      <c r="G1158" s="1" t="s">
        <v>674</v>
      </c>
      <c r="H1158" s="1" t="s">
        <v>661</v>
      </c>
      <c r="J1158" s="1" t="s">
        <v>675</v>
      </c>
      <c r="K1158" s="1" t="str">
        <f>VLOOKUP(J1158,'[1]Base SCA 02 2026'!V:X,3,0)</f>
        <v>RAFAEL XAVIER</v>
      </c>
      <c r="L1158" s="1" t="str">
        <f>VLOOKUP(J1158,'[1]Base SCA 02 2026'!V:Y,4,0)</f>
        <v>FERNANDO GUILHERME</v>
      </c>
      <c r="M1158" s="1" t="str">
        <f>VLOOKUP(J1158,'[1]Base SCA 02 2026'!V:Z,5,0)</f>
        <v>MARCELO DOURADO</v>
      </c>
      <c r="N1158" s="1" t="str">
        <f t="shared" si="18"/>
        <v>MARCELO DOURADO</v>
      </c>
    </row>
    <row r="1159" spans="1:14" x14ac:dyDescent="0.3">
      <c r="A1159" s="1">
        <v>700898</v>
      </c>
      <c r="B1159" s="1" t="s">
        <v>1102</v>
      </c>
      <c r="C1159" s="5" t="s">
        <v>15</v>
      </c>
      <c r="D1159" s="2">
        <v>43529</v>
      </c>
      <c r="E1159" s="1" t="s">
        <v>16</v>
      </c>
      <c r="F1159" s="1">
        <v>24102</v>
      </c>
      <c r="G1159" s="1" t="s">
        <v>669</v>
      </c>
      <c r="H1159" s="1" t="s">
        <v>661</v>
      </c>
      <c r="J1159" s="1" t="s">
        <v>682</v>
      </c>
      <c r="K1159" s="1" t="str">
        <f>VLOOKUP(J1159,'[1]Base SCA 02 2026'!V:X,3,0)</f>
        <v>CRISOSTOMO CASTRO</v>
      </c>
      <c r="L1159" s="1" t="str">
        <f>VLOOKUP(J1159,'[1]Base SCA 02 2026'!V:Y,4,0)</f>
        <v>JOÃO FILHO</v>
      </c>
      <c r="M1159" s="1" t="str">
        <f>VLOOKUP(J1159,'[1]Base SCA 02 2026'!V:Z,5,0)</f>
        <v>ALCENO JUNIOR/JOÃO MARCOS</v>
      </c>
      <c r="N1159" s="1" t="str">
        <f t="shared" si="18"/>
        <v>ALCENO JUNIOR/JOÃO MARCOS</v>
      </c>
    </row>
    <row r="1160" spans="1:14" x14ac:dyDescent="0.3">
      <c r="A1160" s="1">
        <v>703459</v>
      </c>
      <c r="B1160" s="1" t="s">
        <v>1103</v>
      </c>
      <c r="C1160" s="5" t="s">
        <v>15</v>
      </c>
      <c r="D1160" s="2">
        <v>44887</v>
      </c>
      <c r="E1160" s="1" t="s">
        <v>31</v>
      </c>
      <c r="F1160" s="1">
        <v>24102</v>
      </c>
      <c r="G1160" s="1" t="s">
        <v>669</v>
      </c>
      <c r="H1160" s="1" t="s">
        <v>661</v>
      </c>
      <c r="J1160" s="1" t="s">
        <v>85</v>
      </c>
      <c r="K1160" s="1" t="str">
        <f>VLOOKUP(J1160,'[1]Base SCA 02 2026'!V:X,3,0)</f>
        <v>PAULO BONIFÁCIO</v>
      </c>
      <c r="L1160" s="1" t="str">
        <f>VLOOKUP(J1160,'[1]Base SCA 02 2026'!V:Y,4,0)</f>
        <v>PAULO BONIFÁCIO</v>
      </c>
      <c r="M1160" s="1" t="str">
        <f>VLOOKUP(J1160,'[1]Base SCA 02 2026'!V:Z,5,0)</f>
        <v xml:space="preserve">LEONARDO SANTOS </v>
      </c>
      <c r="N1160" s="1" t="str">
        <f t="shared" si="18"/>
        <v xml:space="preserve">LEONARDO SANTOS </v>
      </c>
    </row>
    <row r="1161" spans="1:14" x14ac:dyDescent="0.3">
      <c r="A1161" s="1">
        <v>705678</v>
      </c>
      <c r="B1161" s="1" t="s">
        <v>1439</v>
      </c>
      <c r="C1161" s="5" t="s">
        <v>15</v>
      </c>
      <c r="D1161" s="2">
        <v>45944</v>
      </c>
      <c r="E1161" s="1" t="s">
        <v>31</v>
      </c>
      <c r="F1161" s="1">
        <v>39601</v>
      </c>
      <c r="G1161" s="1" t="s">
        <v>660</v>
      </c>
      <c r="H1161" s="1" t="s">
        <v>661</v>
      </c>
      <c r="J1161" s="1" t="s">
        <v>684</v>
      </c>
      <c r="K1161" s="1" t="str">
        <f>VLOOKUP(J1161,'[1]Base SCA 02 2026'!V:X,3,0)</f>
        <v>CRISOSTOMO CASTRO</v>
      </c>
      <c r="L1161" s="1" t="str">
        <f>VLOOKUP(J1161,'[1]Base SCA 02 2026'!V:Y,4,0)</f>
        <v>MATHEUS ALMEIDA</v>
      </c>
      <c r="M1161" s="1" t="str">
        <f>VLOOKUP(J1161,'[1]Base SCA 02 2026'!V:Z,5,0)</f>
        <v>ADALTON/JANILSON RORIZ/MARIVALDO</v>
      </c>
      <c r="N1161" s="1" t="str">
        <f t="shared" si="18"/>
        <v>ADALTON/JANILSON RORIZ/MARIVALDO</v>
      </c>
    </row>
    <row r="1162" spans="1:14" x14ac:dyDescent="0.3">
      <c r="A1162" s="1">
        <v>703561</v>
      </c>
      <c r="B1162" s="1" t="s">
        <v>1104</v>
      </c>
      <c r="C1162" s="5" t="s">
        <v>15</v>
      </c>
      <c r="D1162" s="2">
        <v>44935</v>
      </c>
      <c r="E1162" s="1" t="s">
        <v>138</v>
      </c>
      <c r="F1162" s="1">
        <v>24102</v>
      </c>
      <c r="G1162" s="1" t="s">
        <v>669</v>
      </c>
      <c r="H1162" s="1" t="s">
        <v>661</v>
      </c>
      <c r="J1162" s="1" t="s">
        <v>670</v>
      </c>
      <c r="K1162" s="1" t="str">
        <f>VLOOKUP(J1162,'[1]Base SCA 02 2026'!V:X,3,0)</f>
        <v>CRISOSTOMO CASTRO</v>
      </c>
      <c r="L1162" s="1" t="str">
        <f>VLOOKUP(J1162,'[1]Base SCA 02 2026'!V:Y,4,0)</f>
        <v>YAN SILVA</v>
      </c>
      <c r="M1162" s="1" t="str">
        <f>VLOOKUP(J1162,'[1]Base SCA 02 2026'!V:Z,5,0)</f>
        <v>JUNIO TEIXEIRA /GEOVANI RORIZ</v>
      </c>
      <c r="N1162" s="1" t="str">
        <f t="shared" si="18"/>
        <v>JUNIO TEIXEIRA /GEOVANI RORIZ</v>
      </c>
    </row>
    <row r="1163" spans="1:14" x14ac:dyDescent="0.3">
      <c r="A1163" s="1">
        <v>704480</v>
      </c>
      <c r="B1163" s="1" t="s">
        <v>1105</v>
      </c>
      <c r="C1163" s="5" t="s">
        <v>92</v>
      </c>
      <c r="D1163" s="2">
        <v>45420</v>
      </c>
      <c r="E1163" s="1" t="s">
        <v>418</v>
      </c>
      <c r="F1163" s="1">
        <v>39601</v>
      </c>
      <c r="G1163" s="1" t="s">
        <v>660</v>
      </c>
      <c r="H1163" s="1" t="s">
        <v>661</v>
      </c>
      <c r="I1163" s="2">
        <v>46058</v>
      </c>
      <c r="J1163" s="1" t="s">
        <v>662</v>
      </c>
      <c r="K1163" s="1" t="str">
        <f>VLOOKUP(J1163,'[1]Base SCA 02 2026'!V:X,3,0)</f>
        <v>CRISOSTOMO CASTRO</v>
      </c>
      <c r="L1163" s="1" t="str">
        <f>VLOOKUP(J1163,'[1]Base SCA 02 2026'!V:Y,4,0)</f>
        <v>MATHEUS ALMEIDA</v>
      </c>
      <c r="N1163" s="1" t="str">
        <f t="shared" si="18"/>
        <v>MATHEUS ALMEIDA</v>
      </c>
    </row>
    <row r="1164" spans="1:14" x14ac:dyDescent="0.3">
      <c r="A1164" s="1">
        <v>101728</v>
      </c>
      <c r="B1164" s="1" t="s">
        <v>1107</v>
      </c>
      <c r="C1164" s="5" t="s">
        <v>15</v>
      </c>
      <c r="D1164" s="2">
        <v>43066</v>
      </c>
      <c r="E1164" s="1" t="s">
        <v>127</v>
      </c>
      <c r="F1164" s="1">
        <v>24102</v>
      </c>
      <c r="G1164" s="1" t="s">
        <v>669</v>
      </c>
      <c r="H1164" s="1" t="s">
        <v>661</v>
      </c>
      <c r="J1164" s="1" t="s">
        <v>670</v>
      </c>
      <c r="K1164" s="1" t="str">
        <f>VLOOKUP(J1164,'[1]Base SCA 02 2026'!V:X,3,0)</f>
        <v>CRISOSTOMO CASTRO</v>
      </c>
      <c r="L1164" s="1" t="str">
        <f>VLOOKUP(J1164,'[1]Base SCA 02 2026'!V:Y,4,0)</f>
        <v>YAN SILVA</v>
      </c>
      <c r="M1164" s="1" t="str">
        <f>VLOOKUP(J1164,'[1]Base SCA 02 2026'!V:Z,5,0)</f>
        <v>JUNIO TEIXEIRA /GEOVANI RORIZ</v>
      </c>
      <c r="N1164" s="1" t="str">
        <f t="shared" si="18"/>
        <v>JUNIO TEIXEIRA /GEOVANI RORIZ</v>
      </c>
    </row>
    <row r="1165" spans="1:14" x14ac:dyDescent="0.3">
      <c r="A1165" s="1">
        <v>704351</v>
      </c>
      <c r="B1165" s="1" t="s">
        <v>1108</v>
      </c>
      <c r="C1165" s="5" t="s">
        <v>233</v>
      </c>
      <c r="D1165" s="2">
        <v>45363</v>
      </c>
      <c r="E1165" s="1" t="s">
        <v>16</v>
      </c>
      <c r="F1165" s="1">
        <v>24102</v>
      </c>
      <c r="G1165" s="1" t="s">
        <v>669</v>
      </c>
      <c r="H1165" s="1" t="s">
        <v>661</v>
      </c>
      <c r="J1165" s="1" t="s">
        <v>804</v>
      </c>
      <c r="K1165" s="1" t="str">
        <f>VLOOKUP(J1165,'[1]Base SCA 02 2026'!V:X,3,0)</f>
        <v>CRISOSTOMO CASTRO</v>
      </c>
      <c r="L1165" s="1" t="str">
        <f>VLOOKUP(J1165,'[1]Base SCA 02 2026'!V:Y,4,0)</f>
        <v>CRISOSTOMO CASTRO</v>
      </c>
      <c r="M1165" s="1" t="str">
        <f>VLOOKUP(J1165,'[1]Base SCA 02 2026'!V:Z,5,0)</f>
        <v>JAILSON RORIZ</v>
      </c>
      <c r="N1165" s="1" t="str">
        <f t="shared" si="18"/>
        <v>JAILSON RORIZ</v>
      </c>
    </row>
    <row r="1166" spans="1:14" x14ac:dyDescent="0.3">
      <c r="A1166" s="1">
        <v>703261</v>
      </c>
      <c r="B1166" s="1" t="s">
        <v>553</v>
      </c>
      <c r="C1166" s="5" t="s">
        <v>15</v>
      </c>
      <c r="D1166" s="2">
        <v>44781</v>
      </c>
      <c r="E1166" s="1" t="s">
        <v>31</v>
      </c>
      <c r="F1166" s="1">
        <v>24102</v>
      </c>
      <c r="G1166" s="1" t="s">
        <v>669</v>
      </c>
      <c r="H1166" s="1" t="s">
        <v>661</v>
      </c>
      <c r="J1166" s="1" t="s">
        <v>682</v>
      </c>
      <c r="K1166" s="1" t="str">
        <f>VLOOKUP(J1166,'[1]Base SCA 02 2026'!V:X,3,0)</f>
        <v>CRISOSTOMO CASTRO</v>
      </c>
      <c r="L1166" s="1" t="str">
        <f>VLOOKUP(J1166,'[1]Base SCA 02 2026'!V:Y,4,0)</f>
        <v>JOÃO FILHO</v>
      </c>
      <c r="M1166" s="1" t="str">
        <f>VLOOKUP(J1166,'[1]Base SCA 02 2026'!V:Z,5,0)</f>
        <v>ALCENO JUNIOR/JOÃO MARCOS</v>
      </c>
      <c r="N1166" s="1" t="str">
        <f t="shared" si="18"/>
        <v>ALCENO JUNIOR/JOÃO MARCOS</v>
      </c>
    </row>
    <row r="1167" spans="1:14" x14ac:dyDescent="0.3">
      <c r="A1167" s="1">
        <v>704396</v>
      </c>
      <c r="B1167" s="1" t="s">
        <v>1109</v>
      </c>
      <c r="C1167" s="5" t="s">
        <v>15</v>
      </c>
      <c r="D1167" s="2">
        <v>45391</v>
      </c>
      <c r="E1167" s="1" t="s">
        <v>16</v>
      </c>
      <c r="F1167" s="1">
        <v>24102</v>
      </c>
      <c r="G1167" s="1" t="s">
        <v>669</v>
      </c>
      <c r="H1167" s="1" t="s">
        <v>661</v>
      </c>
      <c r="J1167" s="1" t="s">
        <v>682</v>
      </c>
      <c r="K1167" s="1" t="str">
        <f>VLOOKUP(J1167,'[1]Base SCA 02 2026'!V:X,3,0)</f>
        <v>CRISOSTOMO CASTRO</v>
      </c>
      <c r="L1167" s="1" t="str">
        <f>VLOOKUP(J1167,'[1]Base SCA 02 2026'!V:Y,4,0)</f>
        <v>JOÃO FILHO</v>
      </c>
      <c r="M1167" s="1" t="str">
        <f>VLOOKUP(J1167,'[1]Base SCA 02 2026'!V:Z,5,0)</f>
        <v>ALCENO JUNIOR/JOÃO MARCOS</v>
      </c>
      <c r="N1167" s="1" t="str">
        <f t="shared" si="18"/>
        <v>ALCENO JUNIOR/JOÃO MARCOS</v>
      </c>
    </row>
    <row r="1168" spans="1:14" x14ac:dyDescent="0.3">
      <c r="A1168" s="1">
        <v>702070</v>
      </c>
      <c r="B1168" s="1" t="s">
        <v>1110</v>
      </c>
      <c r="C1168" s="5" t="s">
        <v>15</v>
      </c>
      <c r="D1168" s="2">
        <v>44264</v>
      </c>
      <c r="E1168" s="1" t="s">
        <v>423</v>
      </c>
      <c r="F1168" s="1">
        <v>31103</v>
      </c>
      <c r="G1168" s="1" t="s">
        <v>718</v>
      </c>
      <c r="H1168" s="1" t="s">
        <v>661</v>
      </c>
      <c r="J1168" s="1" t="s">
        <v>719</v>
      </c>
      <c r="K1168" s="1" t="str">
        <f>VLOOKUP(J1168,'[1]Base SCA 02 2026'!V:X,3,0)</f>
        <v xml:space="preserve">GISELE NASCENTE </v>
      </c>
      <c r="L1168" s="1" t="str">
        <f>VLOOKUP(J1168,'[1]Base SCA 02 2026'!V:Y,4,0)</f>
        <v xml:space="preserve">GISELE NASCENTE </v>
      </c>
      <c r="M1168" s="1" t="str">
        <f>VLOOKUP(J1168,'[1]Base SCA 02 2026'!V:Z,5,0)</f>
        <v>MARCOS OLIVEIRA</v>
      </c>
      <c r="N1168" s="1" t="str">
        <f t="shared" si="18"/>
        <v>MARCOS OLIVEIRA</v>
      </c>
    </row>
    <row r="1169" spans="1:14" x14ac:dyDescent="0.3">
      <c r="A1169" s="1">
        <v>703317</v>
      </c>
      <c r="B1169" s="1" t="s">
        <v>1111</v>
      </c>
      <c r="C1169" s="5" t="s">
        <v>15</v>
      </c>
      <c r="D1169" s="2">
        <v>44824</v>
      </c>
      <c r="E1169" s="1" t="s">
        <v>109</v>
      </c>
      <c r="F1169" s="1">
        <v>32102</v>
      </c>
      <c r="G1169" s="1" t="s">
        <v>674</v>
      </c>
      <c r="H1169" s="1" t="s">
        <v>661</v>
      </c>
      <c r="J1169" s="1" t="s">
        <v>675</v>
      </c>
      <c r="K1169" s="1" t="str">
        <f>VLOOKUP(J1169,'[1]Base SCA 02 2026'!V:X,3,0)</f>
        <v>RAFAEL XAVIER</v>
      </c>
      <c r="L1169" s="1" t="str">
        <f>VLOOKUP(J1169,'[1]Base SCA 02 2026'!V:Y,4,0)</f>
        <v>FERNANDO GUILHERME</v>
      </c>
      <c r="M1169" s="1" t="str">
        <f>VLOOKUP(J1169,'[1]Base SCA 02 2026'!V:Z,5,0)</f>
        <v>MARCELO DOURADO</v>
      </c>
      <c r="N1169" s="1" t="str">
        <f t="shared" si="18"/>
        <v>MARCELO DOURADO</v>
      </c>
    </row>
    <row r="1170" spans="1:14" x14ac:dyDescent="0.3">
      <c r="A1170" s="1">
        <v>705712</v>
      </c>
      <c r="B1170" s="1" t="s">
        <v>1472</v>
      </c>
      <c r="C1170" s="5" t="s">
        <v>92</v>
      </c>
      <c r="D1170" s="2">
        <v>45971</v>
      </c>
      <c r="E1170" s="1" t="s">
        <v>31</v>
      </c>
      <c r="F1170" s="1">
        <v>39601</v>
      </c>
      <c r="G1170" s="1" t="s">
        <v>660</v>
      </c>
      <c r="H1170" s="1" t="s">
        <v>661</v>
      </c>
      <c r="I1170" s="2">
        <v>46060</v>
      </c>
      <c r="J1170" s="1" t="s">
        <v>684</v>
      </c>
      <c r="K1170" s="1" t="str">
        <f>VLOOKUP(J1170,'[1]Base SCA 02 2026'!V:X,3,0)</f>
        <v>CRISOSTOMO CASTRO</v>
      </c>
      <c r="L1170" s="1" t="str">
        <f>VLOOKUP(J1170,'[1]Base SCA 02 2026'!V:Y,4,0)</f>
        <v>MATHEUS ALMEIDA</v>
      </c>
      <c r="M1170" s="1" t="str">
        <f>VLOOKUP(J1170,'[1]Base SCA 02 2026'!V:Z,5,0)</f>
        <v>ADALTON/JANILSON RORIZ/MARIVALDO</v>
      </c>
      <c r="N1170" s="1" t="str">
        <f t="shared" si="18"/>
        <v>ADALTON/JANILSON RORIZ/MARIVALDO</v>
      </c>
    </row>
    <row r="1171" spans="1:14" x14ac:dyDescent="0.3">
      <c r="A1171" s="1">
        <v>702948</v>
      </c>
      <c r="B1171" s="1" t="s">
        <v>1112</v>
      </c>
      <c r="C1171" s="5" t="s">
        <v>15</v>
      </c>
      <c r="D1171" s="2">
        <v>44663</v>
      </c>
      <c r="E1171" s="1" t="s">
        <v>27</v>
      </c>
      <c r="F1171" s="1">
        <v>39601</v>
      </c>
      <c r="G1171" s="1" t="s">
        <v>660</v>
      </c>
      <c r="H1171" s="1" t="s">
        <v>661</v>
      </c>
      <c r="J1171" s="1" t="s">
        <v>684</v>
      </c>
      <c r="K1171" s="1" t="str">
        <f>VLOOKUP(J1171,'[1]Base SCA 02 2026'!V:X,3,0)</f>
        <v>CRISOSTOMO CASTRO</v>
      </c>
      <c r="L1171" s="1" t="str">
        <f>VLOOKUP(J1171,'[1]Base SCA 02 2026'!V:Y,4,0)</f>
        <v>MATHEUS ALMEIDA</v>
      </c>
      <c r="M1171" s="1" t="str">
        <f>VLOOKUP(J1171,'[1]Base SCA 02 2026'!V:Z,5,0)</f>
        <v>ADALTON/JANILSON RORIZ/MARIVALDO</v>
      </c>
      <c r="N1171" s="1" t="str">
        <f t="shared" si="18"/>
        <v>ADALTON/JANILSON RORIZ/MARIVALDO</v>
      </c>
    </row>
    <row r="1172" spans="1:14" x14ac:dyDescent="0.3">
      <c r="A1172" s="1">
        <v>704680</v>
      </c>
      <c r="B1172" s="1" t="s">
        <v>1113</v>
      </c>
      <c r="C1172" s="5" t="s">
        <v>15</v>
      </c>
      <c r="D1172" s="2">
        <v>45510</v>
      </c>
      <c r="E1172" s="1" t="s">
        <v>129</v>
      </c>
      <c r="F1172" s="1">
        <v>31103</v>
      </c>
      <c r="G1172" s="1" t="s">
        <v>718</v>
      </c>
      <c r="H1172" s="1" t="s">
        <v>661</v>
      </c>
      <c r="J1172" s="1" t="s">
        <v>719</v>
      </c>
      <c r="K1172" s="1" t="str">
        <f>VLOOKUP(J1172,'[1]Base SCA 02 2026'!V:X,3,0)</f>
        <v xml:space="preserve">GISELE NASCENTE </v>
      </c>
      <c r="L1172" s="1" t="str">
        <f>VLOOKUP(J1172,'[1]Base SCA 02 2026'!V:Y,4,0)</f>
        <v xml:space="preserve">GISELE NASCENTE </v>
      </c>
      <c r="M1172" s="1" t="str">
        <f>VLOOKUP(J1172,'[1]Base SCA 02 2026'!V:Z,5,0)</f>
        <v>MARCOS OLIVEIRA</v>
      </c>
      <c r="N1172" s="1" t="str">
        <f t="shared" si="18"/>
        <v>MARCOS OLIVEIRA</v>
      </c>
    </row>
    <row r="1173" spans="1:14" x14ac:dyDescent="0.3">
      <c r="A1173" s="1">
        <v>704822</v>
      </c>
      <c r="B1173" s="1" t="s">
        <v>1114</v>
      </c>
      <c r="C1173" s="5" t="s">
        <v>15</v>
      </c>
      <c r="D1173" s="2">
        <v>45566</v>
      </c>
      <c r="E1173" s="1" t="s">
        <v>418</v>
      </c>
      <c r="F1173" s="1">
        <v>39601</v>
      </c>
      <c r="G1173" s="1" t="s">
        <v>660</v>
      </c>
      <c r="H1173" s="1" t="s">
        <v>661</v>
      </c>
      <c r="J1173" s="1" t="s">
        <v>662</v>
      </c>
      <c r="K1173" s="1" t="str">
        <f>VLOOKUP(J1173,'[1]Base SCA 02 2026'!V:X,3,0)</f>
        <v>CRISOSTOMO CASTRO</v>
      </c>
      <c r="L1173" s="1" t="str">
        <f>VLOOKUP(J1173,'[1]Base SCA 02 2026'!V:Y,4,0)</f>
        <v>MATHEUS ALMEIDA</v>
      </c>
      <c r="N1173" s="1" t="str">
        <f t="shared" si="18"/>
        <v>MATHEUS ALMEIDA</v>
      </c>
    </row>
    <row r="1174" spans="1:14" x14ac:dyDescent="0.3">
      <c r="A1174" s="1">
        <v>702806</v>
      </c>
      <c r="B1174" s="1" t="s">
        <v>1115</v>
      </c>
      <c r="C1174" s="5" t="s">
        <v>15</v>
      </c>
      <c r="D1174" s="2">
        <v>44607</v>
      </c>
      <c r="E1174" s="1" t="s">
        <v>138</v>
      </c>
      <c r="F1174" s="1">
        <v>24102</v>
      </c>
      <c r="G1174" s="1" t="s">
        <v>669</v>
      </c>
      <c r="H1174" s="1" t="s">
        <v>661</v>
      </c>
      <c r="J1174" s="1" t="s">
        <v>697</v>
      </c>
      <c r="K1174" s="1" t="str">
        <f>VLOOKUP(J1174,'[1]Base SCA 02 2026'!V:X,3,0)</f>
        <v>CRISOSTOMO CASTRO</v>
      </c>
      <c r="L1174" s="1" t="str">
        <f>VLOOKUP(J1174,'[1]Base SCA 02 2026'!V:Y,4,0)</f>
        <v>JOÃO FILHO</v>
      </c>
      <c r="M1174" s="1" t="str">
        <f>VLOOKUP(J1174,'[1]Base SCA 02 2026'!V:Z,5,0)</f>
        <v>ALCENO JUNIOR/JOÃO MARCOS</v>
      </c>
      <c r="N1174" s="1" t="str">
        <f t="shared" si="18"/>
        <v>ALCENO JUNIOR/JOÃO MARCOS</v>
      </c>
    </row>
    <row r="1175" spans="1:14" x14ac:dyDescent="0.3">
      <c r="A1175" s="1">
        <v>705602</v>
      </c>
      <c r="B1175" s="1" t="s">
        <v>1367</v>
      </c>
      <c r="C1175" s="5" t="s">
        <v>15</v>
      </c>
      <c r="D1175" s="2">
        <v>45902</v>
      </c>
      <c r="E1175" s="1" t="s">
        <v>905</v>
      </c>
      <c r="F1175" s="1">
        <v>39602</v>
      </c>
      <c r="G1175" s="1" t="s">
        <v>699</v>
      </c>
      <c r="H1175" s="1" t="s">
        <v>661</v>
      </c>
      <c r="J1175" s="1" t="s">
        <v>700</v>
      </c>
      <c r="K1175" s="1" t="str">
        <f>VLOOKUP(J1175,'[1]Base SCA 02 2026'!V:X,3,0)</f>
        <v>CRISOSTOMO CASTRO</v>
      </c>
      <c r="L1175" s="1" t="str">
        <f>VLOOKUP(J1175,'[1]Base SCA 02 2026'!V:Y,4,0)</f>
        <v>MATHEUS ALMEIDA</v>
      </c>
      <c r="M1175" s="1" t="str">
        <f>VLOOKUP(J1175,'[1]Base SCA 02 2026'!V:Z,5,0)</f>
        <v>IURY GUEDES</v>
      </c>
      <c r="N1175" s="1" t="str">
        <f t="shared" si="18"/>
        <v>IURY GUEDES</v>
      </c>
    </row>
    <row r="1176" spans="1:14" x14ac:dyDescent="0.3">
      <c r="A1176" s="1">
        <v>705325</v>
      </c>
      <c r="B1176" s="1" t="s">
        <v>1271</v>
      </c>
      <c r="C1176" s="5" t="s">
        <v>15</v>
      </c>
      <c r="D1176" s="2">
        <v>45784</v>
      </c>
      <c r="E1176" s="1" t="s">
        <v>31</v>
      </c>
      <c r="F1176" s="1">
        <v>24102</v>
      </c>
      <c r="G1176" s="1" t="s">
        <v>669</v>
      </c>
      <c r="H1176" s="1" t="s">
        <v>661</v>
      </c>
      <c r="J1176" s="1" t="s">
        <v>670</v>
      </c>
      <c r="K1176" s="1" t="str">
        <f>VLOOKUP(J1176,'[1]Base SCA 02 2026'!V:X,3,0)</f>
        <v>CRISOSTOMO CASTRO</v>
      </c>
      <c r="L1176" s="1" t="str">
        <f>VLOOKUP(J1176,'[1]Base SCA 02 2026'!V:Y,4,0)</f>
        <v>YAN SILVA</v>
      </c>
      <c r="M1176" s="1" t="str">
        <f>VLOOKUP(J1176,'[1]Base SCA 02 2026'!V:Z,5,0)</f>
        <v>JUNIO TEIXEIRA /GEOVANI RORIZ</v>
      </c>
      <c r="N1176" s="1" t="str">
        <f t="shared" si="18"/>
        <v>JUNIO TEIXEIRA /GEOVANI RORIZ</v>
      </c>
    </row>
    <row r="1177" spans="1:14" x14ac:dyDescent="0.3">
      <c r="A1177" s="1">
        <v>705005</v>
      </c>
      <c r="B1177" s="1" t="s">
        <v>1116</v>
      </c>
      <c r="C1177" s="5" t="s">
        <v>15</v>
      </c>
      <c r="D1177" s="2">
        <v>45636</v>
      </c>
      <c r="E1177" s="1" t="s">
        <v>22</v>
      </c>
      <c r="F1177" s="1">
        <v>39601</v>
      </c>
      <c r="G1177" s="1" t="s">
        <v>660</v>
      </c>
      <c r="H1177" s="1" t="s">
        <v>661</v>
      </c>
      <c r="J1177" s="1" t="s">
        <v>662</v>
      </c>
      <c r="K1177" s="1" t="str">
        <f>VLOOKUP(J1177,'[1]Base SCA 02 2026'!V:X,3,0)</f>
        <v>CRISOSTOMO CASTRO</v>
      </c>
      <c r="L1177" s="1" t="str">
        <f>VLOOKUP(J1177,'[1]Base SCA 02 2026'!V:Y,4,0)</f>
        <v>MATHEUS ALMEIDA</v>
      </c>
      <c r="N1177" s="1" t="str">
        <f t="shared" si="18"/>
        <v>MATHEUS ALMEIDA</v>
      </c>
    </row>
    <row r="1178" spans="1:14" x14ac:dyDescent="0.3">
      <c r="A1178" s="1">
        <v>704347</v>
      </c>
      <c r="B1178" s="1" t="s">
        <v>1117</v>
      </c>
      <c r="C1178" s="5" t="s">
        <v>15</v>
      </c>
      <c r="D1178" s="2">
        <v>45363</v>
      </c>
      <c r="E1178" s="1" t="s">
        <v>138</v>
      </c>
      <c r="F1178" s="1">
        <v>24102</v>
      </c>
      <c r="G1178" s="1" t="s">
        <v>669</v>
      </c>
      <c r="H1178" s="1" t="s">
        <v>661</v>
      </c>
      <c r="J1178" s="1" t="s">
        <v>682</v>
      </c>
      <c r="K1178" s="1" t="str">
        <f>VLOOKUP(J1178,'[1]Base SCA 02 2026'!V:X,3,0)</f>
        <v>CRISOSTOMO CASTRO</v>
      </c>
      <c r="L1178" s="1" t="str">
        <f>VLOOKUP(J1178,'[1]Base SCA 02 2026'!V:Y,4,0)</f>
        <v>JOÃO FILHO</v>
      </c>
      <c r="M1178" s="1" t="str">
        <f>VLOOKUP(J1178,'[1]Base SCA 02 2026'!V:Z,5,0)</f>
        <v>ALCENO JUNIOR/JOÃO MARCOS</v>
      </c>
      <c r="N1178" s="1" t="str">
        <f t="shared" si="18"/>
        <v>ALCENO JUNIOR/JOÃO MARCOS</v>
      </c>
    </row>
    <row r="1179" spans="1:14" x14ac:dyDescent="0.3">
      <c r="A1179" s="1">
        <v>705779</v>
      </c>
      <c r="B1179" s="1" t="s">
        <v>1501</v>
      </c>
      <c r="C1179" s="5" t="s">
        <v>15</v>
      </c>
      <c r="D1179" s="2">
        <v>45993</v>
      </c>
      <c r="E1179" s="1" t="s">
        <v>336</v>
      </c>
      <c r="F1179" s="1">
        <v>24201</v>
      </c>
      <c r="G1179" s="1" t="s">
        <v>664</v>
      </c>
      <c r="H1179" s="1" t="s">
        <v>661</v>
      </c>
      <c r="J1179" s="1" t="s">
        <v>1012</v>
      </c>
      <c r="K1179" s="1" t="str">
        <f>VLOOKUP(J1179,'[1]Base SCA 02 2026'!V:X,3,0)</f>
        <v>CRISOSTOMO CASTRO</v>
      </c>
      <c r="L1179" s="1" t="str">
        <f>VLOOKUP(J1179,'[1]Base SCA 02 2026'!V:Y,4,0)</f>
        <v>MATHEUS ALMEIDA</v>
      </c>
      <c r="N1179" s="1" t="str">
        <f t="shared" si="18"/>
        <v>MATHEUS ALMEIDA</v>
      </c>
    </row>
    <row r="1180" spans="1:14" x14ac:dyDescent="0.3">
      <c r="A1180" s="1">
        <v>704801</v>
      </c>
      <c r="B1180" s="1" t="s">
        <v>1118</v>
      </c>
      <c r="C1180" s="5" t="s">
        <v>15</v>
      </c>
      <c r="D1180" s="2">
        <v>45566</v>
      </c>
      <c r="E1180" s="1" t="s">
        <v>31</v>
      </c>
      <c r="F1180" s="1">
        <v>39601</v>
      </c>
      <c r="G1180" s="1" t="s">
        <v>660</v>
      </c>
      <c r="H1180" s="1" t="s">
        <v>661</v>
      </c>
      <c r="J1180" s="1" t="s">
        <v>662</v>
      </c>
      <c r="K1180" s="1" t="str">
        <f>VLOOKUP(J1180,'[1]Base SCA 02 2026'!V:X,3,0)</f>
        <v>CRISOSTOMO CASTRO</v>
      </c>
      <c r="L1180" s="1" t="str">
        <f>VLOOKUP(J1180,'[1]Base SCA 02 2026'!V:Y,4,0)</f>
        <v>MATHEUS ALMEIDA</v>
      </c>
      <c r="N1180" s="1" t="str">
        <f t="shared" si="18"/>
        <v>MATHEUS ALMEIDA</v>
      </c>
    </row>
    <row r="1181" spans="1:14" x14ac:dyDescent="0.3">
      <c r="A1181" s="1">
        <v>704670</v>
      </c>
      <c r="B1181" s="1" t="s">
        <v>1119</v>
      </c>
      <c r="C1181" s="5" t="s">
        <v>15</v>
      </c>
      <c r="D1181" s="2">
        <v>45489</v>
      </c>
      <c r="E1181" s="1" t="s">
        <v>686</v>
      </c>
      <c r="F1181" s="1">
        <v>39601</v>
      </c>
      <c r="G1181" s="1" t="s">
        <v>660</v>
      </c>
      <c r="H1181" s="1" t="s">
        <v>661</v>
      </c>
      <c r="J1181" s="1" t="s">
        <v>684</v>
      </c>
      <c r="K1181" s="1" t="str">
        <f>VLOOKUP(J1181,'[1]Base SCA 02 2026'!V:X,3,0)</f>
        <v>CRISOSTOMO CASTRO</v>
      </c>
      <c r="L1181" s="1" t="str">
        <f>VLOOKUP(J1181,'[1]Base SCA 02 2026'!V:Y,4,0)</f>
        <v>MATHEUS ALMEIDA</v>
      </c>
      <c r="M1181" s="1" t="str">
        <f>VLOOKUP(J1181,'[1]Base SCA 02 2026'!V:Z,5,0)</f>
        <v>ADALTON/JANILSON RORIZ/MARIVALDO</v>
      </c>
      <c r="N1181" s="1" t="str">
        <f t="shared" si="18"/>
        <v>ADALTON/JANILSON RORIZ/MARIVALDO</v>
      </c>
    </row>
    <row r="1182" spans="1:14" x14ac:dyDescent="0.3">
      <c r="A1182" s="1">
        <v>703694</v>
      </c>
      <c r="B1182" s="1" t="s">
        <v>1120</v>
      </c>
      <c r="C1182" s="5" t="s">
        <v>15</v>
      </c>
      <c r="D1182" s="2">
        <v>45019</v>
      </c>
      <c r="E1182" s="1" t="s">
        <v>31</v>
      </c>
      <c r="F1182" s="1">
        <v>24102</v>
      </c>
      <c r="G1182" s="1" t="s">
        <v>669</v>
      </c>
      <c r="H1182" s="1" t="s">
        <v>661</v>
      </c>
      <c r="J1182" s="1" t="s">
        <v>670</v>
      </c>
      <c r="K1182" s="1" t="str">
        <f>VLOOKUP(J1182,'[1]Base SCA 02 2026'!V:X,3,0)</f>
        <v>CRISOSTOMO CASTRO</v>
      </c>
      <c r="L1182" s="1" t="str">
        <f>VLOOKUP(J1182,'[1]Base SCA 02 2026'!V:Y,4,0)</f>
        <v>YAN SILVA</v>
      </c>
      <c r="M1182" s="1" t="str">
        <f>VLOOKUP(J1182,'[1]Base SCA 02 2026'!V:Z,5,0)</f>
        <v>JUNIO TEIXEIRA /GEOVANI RORIZ</v>
      </c>
      <c r="N1182" s="1" t="str">
        <f t="shared" si="18"/>
        <v>JUNIO TEIXEIRA /GEOVANI RORIZ</v>
      </c>
    </row>
    <row r="1183" spans="1:14" x14ac:dyDescent="0.3">
      <c r="A1183" s="1">
        <v>705680</v>
      </c>
      <c r="B1183" s="1" t="s">
        <v>1440</v>
      </c>
      <c r="C1183" s="5" t="s">
        <v>15</v>
      </c>
      <c r="D1183" s="2">
        <v>45944</v>
      </c>
      <c r="E1183" s="1" t="s">
        <v>31</v>
      </c>
      <c r="F1183" s="1">
        <v>39601</v>
      </c>
      <c r="G1183" s="1" t="s">
        <v>660</v>
      </c>
      <c r="H1183" s="1" t="s">
        <v>661</v>
      </c>
      <c r="J1183" s="1" t="s">
        <v>684</v>
      </c>
      <c r="K1183" s="1" t="str">
        <f>VLOOKUP(J1183,'[1]Base SCA 02 2026'!V:X,3,0)</f>
        <v>CRISOSTOMO CASTRO</v>
      </c>
      <c r="L1183" s="1" t="str">
        <f>VLOOKUP(J1183,'[1]Base SCA 02 2026'!V:Y,4,0)</f>
        <v>MATHEUS ALMEIDA</v>
      </c>
      <c r="M1183" s="1" t="str">
        <f>VLOOKUP(J1183,'[1]Base SCA 02 2026'!V:Z,5,0)</f>
        <v>ADALTON/JANILSON RORIZ/MARIVALDO</v>
      </c>
      <c r="N1183" s="1" t="str">
        <f t="shared" si="18"/>
        <v>ADALTON/JANILSON RORIZ/MARIVALDO</v>
      </c>
    </row>
    <row r="1184" spans="1:14" x14ac:dyDescent="0.3">
      <c r="A1184" s="1">
        <v>105798</v>
      </c>
      <c r="B1184" s="1" t="s">
        <v>1121</v>
      </c>
      <c r="C1184" s="5" t="s">
        <v>15</v>
      </c>
      <c r="D1184" s="2">
        <v>43234</v>
      </c>
      <c r="E1184" s="1" t="s">
        <v>1122</v>
      </c>
      <c r="F1184" s="1">
        <v>39203</v>
      </c>
      <c r="G1184" s="1" t="s">
        <v>709</v>
      </c>
      <c r="H1184" s="1" t="s">
        <v>661</v>
      </c>
      <c r="J1184" s="1" t="s">
        <v>710</v>
      </c>
      <c r="K1184" s="1" t="str">
        <f>VLOOKUP(J1184,'[1]Base SCA 02 2026'!V:X,3,0)</f>
        <v>ANDREZA LARDO</v>
      </c>
      <c r="L1184" s="1" t="str">
        <f>VLOOKUP(J1184,'[1]Base SCA 02 2026'!V:Y,4,0)</f>
        <v>ANDREZA LARDO</v>
      </c>
      <c r="M1184" s="1" t="str">
        <f>VLOOKUP(J1184,'[1]Base SCA 02 2026'!V:Z,5,0)</f>
        <v>ADENILTON RODRIGUES</v>
      </c>
      <c r="N1184" s="1" t="str">
        <f t="shared" si="18"/>
        <v>ADENILTON RODRIGUES</v>
      </c>
    </row>
    <row r="1185" spans="1:14" x14ac:dyDescent="0.3">
      <c r="A1185" s="1">
        <v>101013</v>
      </c>
      <c r="B1185" s="1" t="s">
        <v>1123</v>
      </c>
      <c r="C1185" s="5" t="s">
        <v>15</v>
      </c>
      <c r="D1185" s="2">
        <v>42632</v>
      </c>
      <c r="E1185" s="1" t="s">
        <v>146</v>
      </c>
      <c r="F1185" s="1">
        <v>39601</v>
      </c>
      <c r="G1185" s="1" t="s">
        <v>660</v>
      </c>
      <c r="H1185" s="1" t="s">
        <v>661</v>
      </c>
      <c r="J1185" s="1" t="s">
        <v>684</v>
      </c>
      <c r="K1185" s="1" t="str">
        <f>VLOOKUP(J1185,'[1]Base SCA 02 2026'!V:X,3,0)</f>
        <v>CRISOSTOMO CASTRO</v>
      </c>
      <c r="L1185" s="1" t="str">
        <f>VLOOKUP(J1185,'[1]Base SCA 02 2026'!V:Y,4,0)</f>
        <v>MATHEUS ALMEIDA</v>
      </c>
      <c r="M1185" s="1" t="str">
        <f>VLOOKUP(J1185,'[1]Base SCA 02 2026'!V:Z,5,0)</f>
        <v>ADALTON/JANILSON RORIZ/MARIVALDO</v>
      </c>
      <c r="N1185" s="1" t="str">
        <f t="shared" si="18"/>
        <v>ADALTON/JANILSON RORIZ/MARIVALDO</v>
      </c>
    </row>
    <row r="1186" spans="1:14" x14ac:dyDescent="0.3">
      <c r="A1186" s="1">
        <v>705189</v>
      </c>
      <c r="B1186" s="1" t="s">
        <v>1178</v>
      </c>
      <c r="C1186" s="5" t="s">
        <v>15</v>
      </c>
      <c r="D1186" s="2">
        <v>45726</v>
      </c>
      <c r="E1186" s="1" t="s">
        <v>31</v>
      </c>
      <c r="F1186" s="1">
        <v>24102</v>
      </c>
      <c r="G1186" s="1" t="s">
        <v>669</v>
      </c>
      <c r="H1186" s="1" t="s">
        <v>661</v>
      </c>
      <c r="J1186" s="1" t="s">
        <v>672</v>
      </c>
      <c r="K1186" s="1" t="str">
        <f>VLOOKUP(J1186,'[1]Base SCA 02 2026'!V:X,3,0)</f>
        <v>CRISOSTOMO CASTRO</v>
      </c>
      <c r="L1186" s="1" t="str">
        <f>VLOOKUP(J1186,'[1]Base SCA 02 2026'!V:Y,4,0)</f>
        <v>YAN SILVA</v>
      </c>
      <c r="M1186" s="1" t="str">
        <f>VLOOKUP(J1186,'[1]Base SCA 02 2026'!V:Z,5,0)</f>
        <v>JUNIO TEIXEIRA /GEOVANI RORIZ</v>
      </c>
      <c r="N1186" s="1" t="str">
        <f t="shared" si="18"/>
        <v>JUNIO TEIXEIRA /GEOVANI RORIZ</v>
      </c>
    </row>
    <row r="1187" spans="1:14" x14ac:dyDescent="0.3">
      <c r="A1187" s="1">
        <v>702891</v>
      </c>
      <c r="B1187" s="1" t="s">
        <v>1124</v>
      </c>
      <c r="C1187" s="5" t="s">
        <v>15</v>
      </c>
      <c r="D1187" s="2">
        <v>44642</v>
      </c>
      <c r="E1187" s="1" t="s">
        <v>16</v>
      </c>
      <c r="F1187" s="1">
        <v>24102</v>
      </c>
      <c r="G1187" s="1" t="s">
        <v>669</v>
      </c>
      <c r="H1187" s="1" t="s">
        <v>661</v>
      </c>
      <c r="J1187" s="1" t="s">
        <v>682</v>
      </c>
      <c r="K1187" s="1" t="str">
        <f>VLOOKUP(J1187,'[1]Base SCA 02 2026'!V:X,3,0)</f>
        <v>CRISOSTOMO CASTRO</v>
      </c>
      <c r="L1187" s="1" t="str">
        <f>VLOOKUP(J1187,'[1]Base SCA 02 2026'!V:Y,4,0)</f>
        <v>JOÃO FILHO</v>
      </c>
      <c r="M1187" s="1" t="str">
        <f>VLOOKUP(J1187,'[1]Base SCA 02 2026'!V:Z,5,0)</f>
        <v>ALCENO JUNIOR/JOÃO MARCOS</v>
      </c>
      <c r="N1187" s="1" t="str">
        <f t="shared" si="18"/>
        <v>ALCENO JUNIOR/JOÃO MARCOS</v>
      </c>
    </row>
    <row r="1188" spans="1:14" x14ac:dyDescent="0.3">
      <c r="A1188" s="1">
        <v>704992</v>
      </c>
      <c r="B1188" s="1" t="s">
        <v>1125</v>
      </c>
      <c r="C1188" s="5" t="s">
        <v>15</v>
      </c>
      <c r="D1188" s="2">
        <v>45629</v>
      </c>
      <c r="E1188" s="1" t="s">
        <v>31</v>
      </c>
      <c r="F1188" s="1">
        <v>39601</v>
      </c>
      <c r="G1188" s="1" t="s">
        <v>660</v>
      </c>
      <c r="H1188" s="1" t="s">
        <v>661</v>
      </c>
      <c r="J1188" s="1" t="s">
        <v>662</v>
      </c>
      <c r="K1188" s="1" t="str">
        <f>VLOOKUP(J1188,'[1]Base SCA 02 2026'!V:X,3,0)</f>
        <v>CRISOSTOMO CASTRO</v>
      </c>
      <c r="L1188" s="1" t="str">
        <f>VLOOKUP(J1188,'[1]Base SCA 02 2026'!V:Y,4,0)</f>
        <v>MATHEUS ALMEIDA</v>
      </c>
      <c r="N1188" s="1" t="str">
        <f t="shared" si="18"/>
        <v>MATHEUS ALMEIDA</v>
      </c>
    </row>
    <row r="1189" spans="1:14" x14ac:dyDescent="0.3">
      <c r="A1189" s="1">
        <v>704194</v>
      </c>
      <c r="B1189" s="1" t="s">
        <v>1126</v>
      </c>
      <c r="C1189" s="5" t="s">
        <v>15</v>
      </c>
      <c r="D1189" s="2">
        <v>45300</v>
      </c>
      <c r="E1189" s="1" t="s">
        <v>31</v>
      </c>
      <c r="F1189" s="1">
        <v>24102</v>
      </c>
      <c r="G1189" s="1" t="s">
        <v>669</v>
      </c>
      <c r="H1189" s="1" t="s">
        <v>661</v>
      </c>
      <c r="J1189" s="1" t="s">
        <v>85</v>
      </c>
      <c r="K1189" s="1" t="str">
        <f>VLOOKUP(J1189,'[1]Base SCA 02 2026'!V:X,3,0)</f>
        <v>PAULO BONIFÁCIO</v>
      </c>
      <c r="L1189" s="1" t="str">
        <f>VLOOKUP(J1189,'[1]Base SCA 02 2026'!V:Y,4,0)</f>
        <v>PAULO BONIFÁCIO</v>
      </c>
      <c r="M1189" s="1" t="str">
        <f>VLOOKUP(J1189,'[1]Base SCA 02 2026'!V:Z,5,0)</f>
        <v xml:space="preserve">LEONARDO SANTOS </v>
      </c>
      <c r="N1189" s="1" t="str">
        <f t="shared" si="18"/>
        <v xml:space="preserve">LEONARDO SANTOS </v>
      </c>
    </row>
    <row r="1190" spans="1:14" x14ac:dyDescent="0.3">
      <c r="A1190" s="1">
        <v>702680</v>
      </c>
      <c r="B1190" s="1" t="s">
        <v>1127</v>
      </c>
      <c r="C1190" s="5" t="s">
        <v>15</v>
      </c>
      <c r="D1190" s="2">
        <v>44517</v>
      </c>
      <c r="E1190" s="1" t="s">
        <v>16</v>
      </c>
      <c r="F1190" s="1">
        <v>24102</v>
      </c>
      <c r="G1190" s="1" t="s">
        <v>669</v>
      </c>
      <c r="H1190" s="1" t="s">
        <v>661</v>
      </c>
      <c r="J1190" s="1" t="s">
        <v>682</v>
      </c>
      <c r="K1190" s="1" t="str">
        <f>VLOOKUP(J1190,'[1]Base SCA 02 2026'!V:X,3,0)</f>
        <v>CRISOSTOMO CASTRO</v>
      </c>
      <c r="L1190" s="1" t="str">
        <f>VLOOKUP(J1190,'[1]Base SCA 02 2026'!V:Y,4,0)</f>
        <v>JOÃO FILHO</v>
      </c>
      <c r="M1190" s="1" t="str">
        <f>VLOOKUP(J1190,'[1]Base SCA 02 2026'!V:Z,5,0)</f>
        <v>ALCENO JUNIOR/JOÃO MARCOS</v>
      </c>
      <c r="N1190" s="1" t="str">
        <f t="shared" si="18"/>
        <v>ALCENO JUNIOR/JOÃO MARCOS</v>
      </c>
    </row>
    <row r="1191" spans="1:14" x14ac:dyDescent="0.3">
      <c r="A1191" s="1">
        <v>704812</v>
      </c>
      <c r="B1191" s="1" t="s">
        <v>1128</v>
      </c>
      <c r="C1191" s="5" t="s">
        <v>15</v>
      </c>
      <c r="D1191" s="2">
        <v>45566</v>
      </c>
      <c r="E1191" s="1" t="s">
        <v>31</v>
      </c>
      <c r="F1191" s="1">
        <v>24201</v>
      </c>
      <c r="G1191" s="1" t="s">
        <v>664</v>
      </c>
      <c r="H1191" s="1" t="s">
        <v>661</v>
      </c>
      <c r="J1191" s="1" t="s">
        <v>665</v>
      </c>
      <c r="K1191" s="1" t="str">
        <f>VLOOKUP(J1191,'[1]Base SCA 02 2026'!V:X,3,0)</f>
        <v>CRISOSTOMO CASTRO</v>
      </c>
      <c r="L1191" s="1" t="str">
        <f>VLOOKUP(J1191,'[1]Base SCA 02 2026'!V:Y,4,0)</f>
        <v>MATHEUS ALMEIDA</v>
      </c>
      <c r="M1191" s="1" t="str">
        <f>VLOOKUP(J1191,'[1]Base SCA 02 2026'!V:Z,5,0)</f>
        <v>JOSIEL NEVES</v>
      </c>
      <c r="N1191" s="1" t="str">
        <f t="shared" si="18"/>
        <v>JOSIEL NEVES</v>
      </c>
    </row>
    <row r="1192" spans="1:14" x14ac:dyDescent="0.3">
      <c r="A1192" s="1">
        <v>704778</v>
      </c>
      <c r="B1192" s="1" t="s">
        <v>1129</v>
      </c>
      <c r="C1192" s="5" t="s">
        <v>15</v>
      </c>
      <c r="D1192" s="2">
        <v>45551</v>
      </c>
      <c r="E1192" s="1" t="s">
        <v>31</v>
      </c>
      <c r="F1192" s="1">
        <v>39601</v>
      </c>
      <c r="G1192" s="1" t="s">
        <v>660</v>
      </c>
      <c r="H1192" s="1" t="s">
        <v>661</v>
      </c>
      <c r="J1192" s="1" t="s">
        <v>684</v>
      </c>
      <c r="K1192" s="1" t="str">
        <f>VLOOKUP(J1192,'[1]Base SCA 02 2026'!V:X,3,0)</f>
        <v>CRISOSTOMO CASTRO</v>
      </c>
      <c r="L1192" s="1" t="str">
        <f>VLOOKUP(J1192,'[1]Base SCA 02 2026'!V:Y,4,0)</f>
        <v>MATHEUS ALMEIDA</v>
      </c>
      <c r="M1192" s="1" t="str">
        <f>VLOOKUP(J1192,'[1]Base SCA 02 2026'!V:Z,5,0)</f>
        <v>ADALTON/JANILSON RORIZ/MARIVALDO</v>
      </c>
      <c r="N1192" s="1" t="str">
        <f t="shared" si="18"/>
        <v>ADALTON/JANILSON RORIZ/MARIVALDO</v>
      </c>
    </row>
    <row r="1193" spans="1:14" x14ac:dyDescent="0.3">
      <c r="A1193" s="1">
        <v>702874</v>
      </c>
      <c r="B1193" s="1" t="s">
        <v>1130</v>
      </c>
      <c r="C1193" s="5" t="s">
        <v>15</v>
      </c>
      <c r="D1193" s="2">
        <v>44635</v>
      </c>
      <c r="E1193" s="1" t="s">
        <v>230</v>
      </c>
      <c r="F1193" s="1">
        <v>38102</v>
      </c>
      <c r="G1193" s="1" t="s">
        <v>725</v>
      </c>
      <c r="H1193" s="1" t="s">
        <v>661</v>
      </c>
      <c r="J1193" s="1" t="s">
        <v>726</v>
      </c>
      <c r="K1193" s="1" t="str">
        <f>VLOOKUP(J1193,'[1]Base SCA 02 2026'!V:X,3,0)</f>
        <v xml:space="preserve">LEIDJANE MARTINS </v>
      </c>
      <c r="L1193" s="1" t="str">
        <f>VLOOKUP(J1193,'[1]Base SCA 02 2026'!V:Y,4,0)</f>
        <v xml:space="preserve">LEIDJANE MARTINS </v>
      </c>
      <c r="M1193" s="1" t="str">
        <f>VLOOKUP(J1193,'[1]Base SCA 02 2026'!V:Z,5,0)</f>
        <v>DENIS ACASSIO</v>
      </c>
      <c r="N1193" s="1" t="str">
        <f t="shared" si="18"/>
        <v>DENIS ACASSIO</v>
      </c>
    </row>
    <row r="1194" spans="1:14" x14ac:dyDescent="0.3">
      <c r="A1194" s="1">
        <v>704452</v>
      </c>
      <c r="B1194" s="1" t="s">
        <v>1131</v>
      </c>
      <c r="C1194" s="5" t="s">
        <v>15</v>
      </c>
      <c r="D1194" s="2">
        <v>45419</v>
      </c>
      <c r="E1194" s="1" t="s">
        <v>427</v>
      </c>
      <c r="F1194" s="1">
        <v>39601</v>
      </c>
      <c r="G1194" s="1" t="s">
        <v>660</v>
      </c>
      <c r="H1194" s="1" t="s">
        <v>661</v>
      </c>
      <c r="J1194" s="1" t="s">
        <v>662</v>
      </c>
      <c r="K1194" s="1" t="str">
        <f>VLOOKUP(J1194,'[1]Base SCA 02 2026'!V:X,3,0)</f>
        <v>CRISOSTOMO CASTRO</v>
      </c>
      <c r="L1194" s="1" t="str">
        <f>VLOOKUP(J1194,'[1]Base SCA 02 2026'!V:Y,4,0)</f>
        <v>MATHEUS ALMEIDA</v>
      </c>
      <c r="N1194" s="1" t="str">
        <f t="shared" si="18"/>
        <v>MATHEUS ALMEIDA</v>
      </c>
    </row>
    <row r="1195" spans="1:14" x14ac:dyDescent="0.3">
      <c r="A1195" s="1">
        <v>705716</v>
      </c>
      <c r="B1195" s="1" t="s">
        <v>1473</v>
      </c>
      <c r="C1195" s="5" t="s">
        <v>15</v>
      </c>
      <c r="D1195" s="2">
        <v>45972</v>
      </c>
      <c r="E1195" s="1" t="s">
        <v>31</v>
      </c>
      <c r="F1195" s="1">
        <v>39601</v>
      </c>
      <c r="G1195" s="1" t="s">
        <v>660</v>
      </c>
      <c r="H1195" s="1" t="s">
        <v>661</v>
      </c>
      <c r="J1195" s="1" t="s">
        <v>684</v>
      </c>
      <c r="K1195" s="1" t="str">
        <f>VLOOKUP(J1195,'[1]Base SCA 02 2026'!V:X,3,0)</f>
        <v>CRISOSTOMO CASTRO</v>
      </c>
      <c r="L1195" s="1" t="str">
        <f>VLOOKUP(J1195,'[1]Base SCA 02 2026'!V:Y,4,0)</f>
        <v>MATHEUS ALMEIDA</v>
      </c>
      <c r="M1195" s="1" t="str">
        <f>VLOOKUP(J1195,'[1]Base SCA 02 2026'!V:Z,5,0)</f>
        <v>ADALTON/JANILSON RORIZ/MARIVALDO</v>
      </c>
      <c r="N1195" s="1" t="str">
        <f t="shared" si="18"/>
        <v>ADALTON/JANILSON RORIZ/MARIVALDO</v>
      </c>
    </row>
    <row r="1196" spans="1:14" x14ac:dyDescent="0.3">
      <c r="A1196" s="1">
        <v>705774</v>
      </c>
      <c r="B1196" s="1" t="s">
        <v>1502</v>
      </c>
      <c r="C1196" s="5" t="s">
        <v>15</v>
      </c>
      <c r="D1196" s="2">
        <v>45993</v>
      </c>
      <c r="E1196" s="1" t="s">
        <v>129</v>
      </c>
      <c r="F1196" s="1">
        <v>31103</v>
      </c>
      <c r="G1196" s="1" t="s">
        <v>718</v>
      </c>
      <c r="H1196" s="1" t="s">
        <v>661</v>
      </c>
      <c r="J1196" s="1" t="s">
        <v>719</v>
      </c>
      <c r="K1196" s="1" t="str">
        <f>VLOOKUP(J1196,'[1]Base SCA 02 2026'!V:X,3,0)</f>
        <v xml:space="preserve">GISELE NASCENTE </v>
      </c>
      <c r="L1196" s="1" t="str">
        <f>VLOOKUP(J1196,'[1]Base SCA 02 2026'!V:Y,4,0)</f>
        <v xml:space="preserve">GISELE NASCENTE </v>
      </c>
      <c r="M1196" s="1" t="str">
        <f>VLOOKUP(J1196,'[1]Base SCA 02 2026'!V:Z,5,0)</f>
        <v>MARCOS OLIVEIRA</v>
      </c>
      <c r="N1196" s="1" t="str">
        <f t="shared" si="18"/>
        <v>MARCOS OLIVEIRA</v>
      </c>
    </row>
    <row r="1197" spans="1:14" x14ac:dyDescent="0.3">
      <c r="A1197" s="1">
        <v>704209</v>
      </c>
      <c r="B1197" s="1" t="s">
        <v>1132</v>
      </c>
      <c r="C1197" s="5" t="s">
        <v>15</v>
      </c>
      <c r="D1197" s="2">
        <v>45300</v>
      </c>
      <c r="E1197" s="1" t="s">
        <v>31</v>
      </c>
      <c r="F1197" s="1">
        <v>24102</v>
      </c>
      <c r="G1197" s="1" t="s">
        <v>669</v>
      </c>
      <c r="H1197" s="1" t="s">
        <v>661</v>
      </c>
      <c r="J1197" s="1" t="s">
        <v>672</v>
      </c>
      <c r="K1197" s="1" t="str">
        <f>VLOOKUP(J1197,'[1]Base SCA 02 2026'!V:X,3,0)</f>
        <v>CRISOSTOMO CASTRO</v>
      </c>
      <c r="L1197" s="1" t="str">
        <f>VLOOKUP(J1197,'[1]Base SCA 02 2026'!V:Y,4,0)</f>
        <v>YAN SILVA</v>
      </c>
      <c r="M1197" s="1" t="str">
        <f>VLOOKUP(J1197,'[1]Base SCA 02 2026'!V:Z,5,0)</f>
        <v>JUNIO TEIXEIRA /GEOVANI RORIZ</v>
      </c>
      <c r="N1197" s="1" t="str">
        <f t="shared" si="18"/>
        <v>JUNIO TEIXEIRA /GEOVANI RORIZ</v>
      </c>
    </row>
    <row r="1198" spans="1:14" x14ac:dyDescent="0.3">
      <c r="A1198" s="1">
        <v>701502</v>
      </c>
      <c r="B1198" s="1" t="s">
        <v>1133</v>
      </c>
      <c r="C1198" s="5" t="s">
        <v>15</v>
      </c>
      <c r="D1198" s="2">
        <v>43907</v>
      </c>
      <c r="E1198" s="1" t="s">
        <v>363</v>
      </c>
      <c r="F1198" s="1">
        <v>24102</v>
      </c>
      <c r="G1198" s="1" t="s">
        <v>669</v>
      </c>
      <c r="H1198" s="1" t="s">
        <v>661</v>
      </c>
      <c r="J1198" s="1" t="s">
        <v>891</v>
      </c>
      <c r="K1198" s="1" t="str">
        <f>VLOOKUP(J1198,'[1]Base SCA 02 2026'!V:X,3,0)</f>
        <v>CRISOSTOMO CASTRO</v>
      </c>
      <c r="N1198" s="1" t="str">
        <f t="shared" si="18"/>
        <v>CRISOSTOMO CASTRO</v>
      </c>
    </row>
    <row r="1199" spans="1:14" x14ac:dyDescent="0.3">
      <c r="A1199" s="1">
        <v>703170</v>
      </c>
      <c r="B1199" s="1" t="s">
        <v>1134</v>
      </c>
      <c r="C1199" s="5" t="s">
        <v>15</v>
      </c>
      <c r="D1199" s="2">
        <v>44732</v>
      </c>
      <c r="E1199" s="1" t="s">
        <v>31</v>
      </c>
      <c r="F1199" s="1">
        <v>39601</v>
      </c>
      <c r="G1199" s="1" t="s">
        <v>660</v>
      </c>
      <c r="H1199" s="1" t="s">
        <v>661</v>
      </c>
      <c r="J1199" s="1" t="s">
        <v>662</v>
      </c>
      <c r="K1199" s="1" t="str">
        <f>VLOOKUP(J1199,'[1]Base SCA 02 2026'!V:X,3,0)</f>
        <v>CRISOSTOMO CASTRO</v>
      </c>
      <c r="L1199" s="1" t="str">
        <f>VLOOKUP(J1199,'[1]Base SCA 02 2026'!V:Y,4,0)</f>
        <v>MATHEUS ALMEIDA</v>
      </c>
      <c r="N1199" s="1" t="str">
        <f t="shared" si="18"/>
        <v>MATHEUS ALMEIDA</v>
      </c>
    </row>
    <row r="1200" spans="1:14" x14ac:dyDescent="0.3">
      <c r="A1200" s="1">
        <v>702910</v>
      </c>
      <c r="B1200" s="1" t="s">
        <v>1135</v>
      </c>
      <c r="C1200" s="5" t="s">
        <v>15</v>
      </c>
      <c r="D1200" s="2">
        <v>44656</v>
      </c>
      <c r="E1200" s="1" t="s">
        <v>60</v>
      </c>
      <c r="F1200" s="1">
        <v>24102</v>
      </c>
      <c r="G1200" s="1" t="s">
        <v>669</v>
      </c>
      <c r="H1200" s="1" t="s">
        <v>661</v>
      </c>
      <c r="J1200" s="1" t="s">
        <v>697</v>
      </c>
      <c r="K1200" s="1" t="str">
        <f>VLOOKUP(J1200,'[1]Base SCA 02 2026'!V:X,3,0)</f>
        <v>CRISOSTOMO CASTRO</v>
      </c>
      <c r="L1200" s="1" t="str">
        <f>VLOOKUP(J1200,'[1]Base SCA 02 2026'!V:Y,4,0)</f>
        <v>JOÃO FILHO</v>
      </c>
      <c r="M1200" s="1" t="str">
        <f>VLOOKUP(J1200,'[1]Base SCA 02 2026'!V:Z,5,0)</f>
        <v>ALCENO JUNIOR/JOÃO MARCOS</v>
      </c>
      <c r="N1200" s="1" t="str">
        <f t="shared" si="18"/>
        <v>ALCENO JUNIOR/JOÃO MARCOS</v>
      </c>
    </row>
    <row r="1201" spans="1:14" x14ac:dyDescent="0.3">
      <c r="A1201" s="1">
        <v>703570</v>
      </c>
      <c r="B1201" s="1" t="s">
        <v>1136</v>
      </c>
      <c r="C1201" s="5" t="s">
        <v>15</v>
      </c>
      <c r="D1201" s="2">
        <v>44935</v>
      </c>
      <c r="E1201" s="1" t="s">
        <v>146</v>
      </c>
      <c r="F1201" s="1">
        <v>24102</v>
      </c>
      <c r="G1201" s="1" t="s">
        <v>669</v>
      </c>
      <c r="H1201" s="1" t="s">
        <v>661</v>
      </c>
      <c r="J1201" s="1" t="s">
        <v>682</v>
      </c>
      <c r="K1201" s="1" t="str">
        <f>VLOOKUP(J1201,'[1]Base SCA 02 2026'!V:X,3,0)</f>
        <v>CRISOSTOMO CASTRO</v>
      </c>
      <c r="L1201" s="1" t="str">
        <f>VLOOKUP(J1201,'[1]Base SCA 02 2026'!V:Y,4,0)</f>
        <v>JOÃO FILHO</v>
      </c>
      <c r="M1201" s="1" t="str">
        <f>VLOOKUP(J1201,'[1]Base SCA 02 2026'!V:Z,5,0)</f>
        <v>ALCENO JUNIOR/JOÃO MARCOS</v>
      </c>
      <c r="N1201" s="1" t="str">
        <f t="shared" si="18"/>
        <v>ALCENO JUNIOR/JOÃO MARCOS</v>
      </c>
    </row>
    <row r="1202" spans="1:14" x14ac:dyDescent="0.3">
      <c r="A1202" s="1">
        <v>705083</v>
      </c>
      <c r="B1202" s="1" t="s">
        <v>1137</v>
      </c>
      <c r="C1202" s="5" t="s">
        <v>15</v>
      </c>
      <c r="D1202" s="2">
        <v>45671</v>
      </c>
      <c r="E1202" s="1" t="s">
        <v>31</v>
      </c>
      <c r="F1202" s="1">
        <v>24102</v>
      </c>
      <c r="G1202" s="1" t="s">
        <v>669</v>
      </c>
      <c r="H1202" s="1" t="s">
        <v>661</v>
      </c>
      <c r="J1202" s="1" t="s">
        <v>672</v>
      </c>
      <c r="K1202" s="1" t="str">
        <f>VLOOKUP(J1202,'[1]Base SCA 02 2026'!V:X,3,0)</f>
        <v>CRISOSTOMO CASTRO</v>
      </c>
      <c r="L1202" s="1" t="str">
        <f>VLOOKUP(J1202,'[1]Base SCA 02 2026'!V:Y,4,0)</f>
        <v>YAN SILVA</v>
      </c>
      <c r="M1202" s="1" t="str">
        <f>VLOOKUP(J1202,'[1]Base SCA 02 2026'!V:Z,5,0)</f>
        <v>JUNIO TEIXEIRA /GEOVANI RORIZ</v>
      </c>
      <c r="N1202" s="1" t="str">
        <f t="shared" si="18"/>
        <v>JUNIO TEIXEIRA /GEOVANI RORIZ</v>
      </c>
    </row>
    <row r="1203" spans="1:14" x14ac:dyDescent="0.3">
      <c r="A1203" s="1">
        <v>704920</v>
      </c>
      <c r="B1203" s="1" t="s">
        <v>1138</v>
      </c>
      <c r="C1203" s="5" t="s">
        <v>92</v>
      </c>
      <c r="D1203" s="2">
        <v>45601</v>
      </c>
      <c r="E1203" s="1" t="s">
        <v>31</v>
      </c>
      <c r="F1203" s="1">
        <v>39601</v>
      </c>
      <c r="G1203" s="1" t="s">
        <v>660</v>
      </c>
      <c r="H1203" s="1" t="s">
        <v>661</v>
      </c>
      <c r="I1203" s="2">
        <v>46058</v>
      </c>
      <c r="J1203" s="1" t="s">
        <v>684</v>
      </c>
      <c r="K1203" s="1" t="str">
        <f>VLOOKUP(J1203,'[1]Base SCA 02 2026'!V:X,3,0)</f>
        <v>CRISOSTOMO CASTRO</v>
      </c>
      <c r="L1203" s="1" t="str">
        <f>VLOOKUP(J1203,'[1]Base SCA 02 2026'!V:Y,4,0)</f>
        <v>MATHEUS ALMEIDA</v>
      </c>
      <c r="M1203" s="1" t="str">
        <f>VLOOKUP(J1203,'[1]Base SCA 02 2026'!V:Z,5,0)</f>
        <v>ADALTON/JANILSON RORIZ/MARIVALDO</v>
      </c>
      <c r="N1203" s="1" t="str">
        <f t="shared" si="18"/>
        <v>ADALTON/JANILSON RORIZ/MARIVALDO</v>
      </c>
    </row>
    <row r="1204" spans="1:14" x14ac:dyDescent="0.3">
      <c r="A1204" s="1">
        <v>703652</v>
      </c>
      <c r="B1204" s="1" t="s">
        <v>1139</v>
      </c>
      <c r="C1204" s="5" t="s">
        <v>15</v>
      </c>
      <c r="D1204" s="2">
        <v>44998</v>
      </c>
      <c r="E1204" s="1" t="s">
        <v>31</v>
      </c>
      <c r="F1204" s="1">
        <v>24102</v>
      </c>
      <c r="G1204" s="1" t="s">
        <v>669</v>
      </c>
      <c r="H1204" s="1" t="s">
        <v>661</v>
      </c>
      <c r="J1204" s="1" t="s">
        <v>680</v>
      </c>
      <c r="K1204" s="1" t="str">
        <f>VLOOKUP(J1204,'[1]Base SCA 02 2026'!V:X,3,0)</f>
        <v>CRISOSTOMO CASTRO</v>
      </c>
      <c r="L1204" s="1" t="str">
        <f>VLOOKUP(J1204,'[1]Base SCA 02 2026'!V:Y,4,0)</f>
        <v>YAN SILVA</v>
      </c>
      <c r="M1204" s="1" t="str">
        <f>VLOOKUP(J1204,'[1]Base SCA 02 2026'!V:Z,5,0)</f>
        <v>JUNIO TEIXEIRA /GEOVANI RORIZ</v>
      </c>
      <c r="N1204" s="1" t="str">
        <f t="shared" si="18"/>
        <v>JUNIO TEIXEIRA /GEOVANI RORIZ</v>
      </c>
    </row>
  </sheetData>
  <autoFilter ref="A1:N1204" xr:uid="{B005D5AA-1F3A-4B73-8269-FF235596343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821C-2F6C-47C1-BC00-1ED3A882449B}">
  <dimension ref="A1:N1169"/>
  <sheetViews>
    <sheetView showGridLines="0" topLeftCell="F1" workbookViewId="0">
      <pane ySplit="1" topLeftCell="A2" activePane="bottomLeft" state="frozen"/>
      <selection pane="bottomLeft" activeCell="N2" sqref="N2"/>
    </sheetView>
  </sheetViews>
  <sheetFormatPr defaultRowHeight="13" x14ac:dyDescent="0.3"/>
  <cols>
    <col min="1" max="1" width="13.453125" style="1" customWidth="1"/>
    <col min="2" max="2" width="37.26953125" style="1" bestFit="1" customWidth="1"/>
    <col min="3" max="3" width="20.453125" style="1" bestFit="1" customWidth="1"/>
    <col min="4" max="4" width="17.81640625" style="1" bestFit="1" customWidth="1"/>
    <col min="5" max="5" width="31.90625" style="1" bestFit="1" customWidth="1"/>
    <col min="6" max="6" width="16.36328125" style="1" bestFit="1" customWidth="1"/>
    <col min="7" max="7" width="37.453125" style="1" bestFit="1" customWidth="1"/>
    <col min="8" max="8" width="38.453125" style="1" bestFit="1" customWidth="1"/>
    <col min="9" max="9" width="21.36328125" style="1" bestFit="1" customWidth="1"/>
    <col min="10" max="10" width="25.7265625" style="1" bestFit="1" customWidth="1"/>
    <col min="11" max="11" width="17.81640625" style="1" bestFit="1" customWidth="1"/>
    <col min="12" max="12" width="18.90625" style="1" bestFit="1" customWidth="1"/>
    <col min="13" max="13" width="30.6328125" style="1" bestFit="1" customWidth="1"/>
    <col min="14" max="14" width="42.36328125" style="1" bestFit="1" customWidth="1"/>
    <col min="15" max="16384" width="8.7265625" style="1"/>
  </cols>
  <sheetData>
    <row r="1" spans="1:14" s="3" customFormat="1" ht="17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>
        <v>2043</v>
      </c>
      <c r="B2" s="1" t="s">
        <v>14</v>
      </c>
      <c r="C2" s="5" t="s">
        <v>15</v>
      </c>
      <c r="D2" s="2">
        <v>40673</v>
      </c>
      <c r="E2" s="1" t="s">
        <v>16</v>
      </c>
      <c r="F2" s="1">
        <v>52104</v>
      </c>
      <c r="G2" s="1" t="s">
        <v>17</v>
      </c>
      <c r="H2" s="1" t="s">
        <v>18</v>
      </c>
      <c r="J2" s="1" t="s">
        <v>19</v>
      </c>
      <c r="K2" s="1" t="s">
        <v>1368</v>
      </c>
      <c r="L2" s="1" t="s">
        <v>20</v>
      </c>
      <c r="M2" s="1" t="s">
        <v>1632</v>
      </c>
      <c r="N2" s="1" t="str">
        <f>IF(M2&lt;&gt;"", M2, IF(L2&lt;&gt;"", L2, K2))</f>
        <v>THIAGO MARCOS</v>
      </c>
    </row>
    <row r="3" spans="1:14" x14ac:dyDescent="0.3">
      <c r="A3" s="1">
        <v>702424</v>
      </c>
      <c r="B3" s="1" t="s">
        <v>21</v>
      </c>
      <c r="C3" s="5" t="s">
        <v>15</v>
      </c>
      <c r="D3" s="2">
        <v>44390</v>
      </c>
      <c r="E3" s="1" t="s">
        <v>109</v>
      </c>
      <c r="F3" s="1">
        <v>32101</v>
      </c>
      <c r="G3" s="1" t="s">
        <v>23</v>
      </c>
      <c r="H3" s="1" t="s">
        <v>18</v>
      </c>
      <c r="J3" s="1" t="s">
        <v>24</v>
      </c>
      <c r="K3" s="1" t="s">
        <v>25</v>
      </c>
      <c r="L3" s="1" t="s">
        <v>1369</v>
      </c>
      <c r="M3" s="1" t="s">
        <v>1370</v>
      </c>
      <c r="N3" s="1" t="str">
        <f t="shared" ref="N3:N66" si="0">IF(M3&lt;&gt;"", M3, IF(L3&lt;&gt;"", L3, K3))</f>
        <v>JUNIO COSTA</v>
      </c>
    </row>
    <row r="4" spans="1:14" x14ac:dyDescent="0.3">
      <c r="A4" s="1">
        <v>705209</v>
      </c>
      <c r="B4" s="1" t="s">
        <v>1152</v>
      </c>
      <c r="C4" s="5" t="s">
        <v>15</v>
      </c>
      <c r="D4" s="2">
        <v>45720</v>
      </c>
      <c r="E4" s="1" t="s">
        <v>138</v>
      </c>
      <c r="F4" s="1">
        <v>22102</v>
      </c>
      <c r="G4" s="1" t="s">
        <v>68</v>
      </c>
      <c r="H4" s="1" t="s">
        <v>18</v>
      </c>
      <c r="J4" s="1" t="s">
        <v>142</v>
      </c>
      <c r="K4" s="1" t="s">
        <v>1371</v>
      </c>
      <c r="L4" s="1" t="s">
        <v>1509</v>
      </c>
      <c r="M4" s="1" t="s">
        <v>1633</v>
      </c>
      <c r="N4" s="1" t="str">
        <f t="shared" si="0"/>
        <v>CRISTIANO BARBOSA</v>
      </c>
    </row>
    <row r="5" spans="1:14" x14ac:dyDescent="0.3">
      <c r="A5" s="1">
        <v>703309</v>
      </c>
      <c r="B5" s="1" t="s">
        <v>26</v>
      </c>
      <c r="C5" s="5" t="s">
        <v>15</v>
      </c>
      <c r="D5" s="2">
        <v>44823</v>
      </c>
      <c r="E5" s="1" t="s">
        <v>27</v>
      </c>
      <c r="F5" s="1">
        <v>39501</v>
      </c>
      <c r="G5" s="1" t="s">
        <v>28</v>
      </c>
      <c r="H5" s="1" t="s">
        <v>18</v>
      </c>
      <c r="J5" s="1" t="s">
        <v>29</v>
      </c>
      <c r="K5" s="1" t="s">
        <v>1368</v>
      </c>
      <c r="L5" s="1" t="s">
        <v>20</v>
      </c>
      <c r="M5" s="1" t="s">
        <v>1634</v>
      </c>
      <c r="N5" s="1" t="str">
        <f t="shared" si="0"/>
        <v>IRON SANTOS</v>
      </c>
    </row>
    <row r="6" spans="1:14" x14ac:dyDescent="0.3">
      <c r="A6" s="1">
        <v>705641</v>
      </c>
      <c r="B6" s="1" t="s">
        <v>1393</v>
      </c>
      <c r="C6" s="5" t="s">
        <v>15</v>
      </c>
      <c r="D6" s="2">
        <v>45937</v>
      </c>
      <c r="E6" s="1" t="s">
        <v>31</v>
      </c>
      <c r="F6" s="1">
        <v>51219</v>
      </c>
      <c r="G6" s="1" t="s">
        <v>61</v>
      </c>
      <c r="H6" s="1" t="s">
        <v>18</v>
      </c>
      <c r="J6" s="1" t="s">
        <v>19</v>
      </c>
      <c r="K6" s="1" t="s">
        <v>1368</v>
      </c>
      <c r="L6" s="1" t="s">
        <v>20</v>
      </c>
      <c r="M6" s="1" t="s">
        <v>1632</v>
      </c>
      <c r="N6" s="1" t="str">
        <f t="shared" si="0"/>
        <v>THIAGO MARCOS</v>
      </c>
    </row>
    <row r="7" spans="1:14" x14ac:dyDescent="0.3">
      <c r="A7" s="1">
        <v>704943</v>
      </c>
      <c r="B7" s="1" t="s">
        <v>30</v>
      </c>
      <c r="C7" s="5" t="s">
        <v>15</v>
      </c>
      <c r="D7" s="2">
        <v>45607</v>
      </c>
      <c r="E7" s="1" t="s">
        <v>31</v>
      </c>
      <c r="F7" s="1">
        <v>52202</v>
      </c>
      <c r="G7" s="1" t="s">
        <v>32</v>
      </c>
      <c r="H7" s="1" t="s">
        <v>18</v>
      </c>
      <c r="J7" s="1" t="s">
        <v>33</v>
      </c>
      <c r="K7" s="1" t="s">
        <v>1368</v>
      </c>
      <c r="L7" s="1" t="s">
        <v>20</v>
      </c>
      <c r="M7" s="1" t="s">
        <v>1634</v>
      </c>
      <c r="N7" s="1" t="str">
        <f t="shared" si="0"/>
        <v>IRON SANTOS</v>
      </c>
    </row>
    <row r="8" spans="1:14" x14ac:dyDescent="0.3">
      <c r="A8" s="1">
        <v>101677</v>
      </c>
      <c r="B8" s="1" t="s">
        <v>34</v>
      </c>
      <c r="C8" s="5" t="s">
        <v>15</v>
      </c>
      <c r="D8" s="2">
        <v>41401</v>
      </c>
      <c r="E8" s="1" t="s">
        <v>31</v>
      </c>
      <c r="F8" s="1">
        <v>38101</v>
      </c>
      <c r="G8" s="1" t="s">
        <v>35</v>
      </c>
      <c r="H8" s="1" t="s">
        <v>18</v>
      </c>
      <c r="J8" s="1" t="s">
        <v>36</v>
      </c>
      <c r="K8" s="1" t="s">
        <v>1372</v>
      </c>
      <c r="L8" s="1" t="s">
        <v>1373</v>
      </c>
      <c r="M8" s="1" t="s">
        <v>1373</v>
      </c>
      <c r="N8" s="1" t="str">
        <f t="shared" si="0"/>
        <v>DENIS ACASSIO</v>
      </c>
    </row>
    <row r="9" spans="1:14" x14ac:dyDescent="0.3">
      <c r="A9" s="1">
        <v>705689</v>
      </c>
      <c r="B9" s="1" t="s">
        <v>1441</v>
      </c>
      <c r="C9" s="5" t="s">
        <v>15</v>
      </c>
      <c r="D9" s="2">
        <v>45971</v>
      </c>
      <c r="E9" s="1" t="s">
        <v>109</v>
      </c>
      <c r="F9" s="1">
        <v>32101</v>
      </c>
      <c r="G9" s="1" t="s">
        <v>23</v>
      </c>
      <c r="H9" s="1" t="s">
        <v>18</v>
      </c>
      <c r="J9" s="1" t="s">
        <v>24</v>
      </c>
      <c r="K9" s="1" t="s">
        <v>25</v>
      </c>
      <c r="L9" s="1" t="s">
        <v>1369</v>
      </c>
      <c r="M9" s="1" t="s">
        <v>1370</v>
      </c>
      <c r="N9" s="1" t="str">
        <f t="shared" si="0"/>
        <v>JUNIO COSTA</v>
      </c>
    </row>
    <row r="10" spans="1:14" x14ac:dyDescent="0.3">
      <c r="A10" s="1">
        <v>702985</v>
      </c>
      <c r="B10" s="1" t="s">
        <v>38</v>
      </c>
      <c r="C10" s="5" t="s">
        <v>15</v>
      </c>
      <c r="D10" s="2">
        <v>44691</v>
      </c>
      <c r="E10" s="1" t="s">
        <v>1345</v>
      </c>
      <c r="F10" s="1">
        <v>32101</v>
      </c>
      <c r="G10" s="1" t="s">
        <v>23</v>
      </c>
      <c r="H10" s="1" t="s">
        <v>18</v>
      </c>
      <c r="J10" s="1" t="s">
        <v>24</v>
      </c>
      <c r="K10" s="1" t="s">
        <v>25</v>
      </c>
      <c r="L10" s="1" t="s">
        <v>1369</v>
      </c>
      <c r="M10" s="1" t="s">
        <v>1370</v>
      </c>
      <c r="N10" s="1" t="str">
        <f t="shared" si="0"/>
        <v>JUNIO COSTA</v>
      </c>
    </row>
    <row r="11" spans="1:14" x14ac:dyDescent="0.3">
      <c r="A11" s="1">
        <v>703167</v>
      </c>
      <c r="B11" s="1" t="s">
        <v>39</v>
      </c>
      <c r="C11" s="5" t="s">
        <v>15</v>
      </c>
      <c r="D11" s="2">
        <v>44732</v>
      </c>
      <c r="E11" s="1" t="s">
        <v>138</v>
      </c>
      <c r="F11" s="1">
        <v>51219</v>
      </c>
      <c r="G11" s="1" t="s">
        <v>61</v>
      </c>
      <c r="H11" s="1" t="s">
        <v>18</v>
      </c>
      <c r="J11" s="1" t="s">
        <v>19</v>
      </c>
      <c r="K11" s="1" t="s">
        <v>1368</v>
      </c>
      <c r="L11" s="1" t="s">
        <v>20</v>
      </c>
      <c r="M11" s="1" t="s">
        <v>1632</v>
      </c>
      <c r="N11" s="1" t="str">
        <f t="shared" si="0"/>
        <v>THIAGO MARCOS</v>
      </c>
    </row>
    <row r="12" spans="1:14" x14ac:dyDescent="0.3">
      <c r="A12" s="1">
        <v>100320</v>
      </c>
      <c r="B12" s="1" t="s">
        <v>41</v>
      </c>
      <c r="C12" s="5" t="s">
        <v>15</v>
      </c>
      <c r="D12" s="2">
        <v>41792</v>
      </c>
      <c r="E12" s="1" t="s">
        <v>42</v>
      </c>
      <c r="F12" s="1">
        <v>34101</v>
      </c>
      <c r="G12" s="1" t="s">
        <v>43</v>
      </c>
      <c r="H12" s="1" t="s">
        <v>18</v>
      </c>
      <c r="J12" s="1" t="s">
        <v>65</v>
      </c>
      <c r="K12" s="1" t="s">
        <v>25</v>
      </c>
      <c r="L12" s="1" t="s">
        <v>1375</v>
      </c>
      <c r="N12" s="1" t="str">
        <f t="shared" si="0"/>
        <v>ANDRÉ CUBA</v>
      </c>
    </row>
    <row r="13" spans="1:14" x14ac:dyDescent="0.3">
      <c r="A13" s="1">
        <v>705377</v>
      </c>
      <c r="B13" s="1" t="s">
        <v>1212</v>
      </c>
      <c r="C13" s="5" t="s">
        <v>15</v>
      </c>
      <c r="D13" s="2">
        <v>45784</v>
      </c>
      <c r="E13" s="1" t="s">
        <v>31</v>
      </c>
      <c r="F13" s="1">
        <v>39301</v>
      </c>
      <c r="G13" s="1" t="s">
        <v>73</v>
      </c>
      <c r="H13" s="1" t="s">
        <v>18</v>
      </c>
      <c r="J13" s="1" t="s">
        <v>74</v>
      </c>
      <c r="K13" s="1" t="s">
        <v>1371</v>
      </c>
      <c r="L13" s="1" t="s">
        <v>1376</v>
      </c>
      <c r="M13" s="1" t="s">
        <v>75</v>
      </c>
      <c r="N13" s="1" t="str">
        <f t="shared" si="0"/>
        <v>ISAC NONATO</v>
      </c>
    </row>
    <row r="14" spans="1:14" x14ac:dyDescent="0.3">
      <c r="A14" s="1">
        <v>705428</v>
      </c>
      <c r="B14" s="1" t="s">
        <v>1236</v>
      </c>
      <c r="C14" s="5" t="s">
        <v>15</v>
      </c>
      <c r="D14" s="2">
        <v>45797</v>
      </c>
      <c r="E14" s="1" t="s">
        <v>31</v>
      </c>
      <c r="F14" s="1">
        <v>22102</v>
      </c>
      <c r="G14" s="1" t="s">
        <v>68</v>
      </c>
      <c r="H14" s="1" t="s">
        <v>18</v>
      </c>
      <c r="J14" s="1" t="s">
        <v>81</v>
      </c>
      <c r="K14" s="1" t="s">
        <v>1371</v>
      </c>
      <c r="L14" s="1" t="s">
        <v>1509</v>
      </c>
      <c r="M14" s="1" t="s">
        <v>1379</v>
      </c>
      <c r="N14" s="1" t="str">
        <f t="shared" si="0"/>
        <v xml:space="preserve">EDSON/MARCELO LIMA </v>
      </c>
    </row>
    <row r="15" spans="1:14" x14ac:dyDescent="0.3">
      <c r="A15" s="1">
        <v>702023</v>
      </c>
      <c r="B15" s="1" t="s">
        <v>51</v>
      </c>
      <c r="C15" s="5" t="s">
        <v>15</v>
      </c>
      <c r="D15" s="2">
        <v>44249</v>
      </c>
      <c r="E15" s="1" t="s">
        <v>326</v>
      </c>
      <c r="F15" s="1">
        <v>32101</v>
      </c>
      <c r="G15" s="1" t="s">
        <v>23</v>
      </c>
      <c r="H15" s="1" t="s">
        <v>18</v>
      </c>
      <c r="J15" s="1" t="s">
        <v>24</v>
      </c>
      <c r="K15" s="1" t="s">
        <v>25</v>
      </c>
      <c r="L15" s="1" t="s">
        <v>1369</v>
      </c>
      <c r="M15" s="1" t="s">
        <v>1370</v>
      </c>
      <c r="N15" s="1" t="str">
        <f t="shared" si="0"/>
        <v>JUNIO COSTA</v>
      </c>
    </row>
    <row r="16" spans="1:14" x14ac:dyDescent="0.3">
      <c r="A16" s="1">
        <v>705901</v>
      </c>
      <c r="B16" s="1" t="s">
        <v>1599</v>
      </c>
      <c r="C16" s="5" t="s">
        <v>15</v>
      </c>
      <c r="D16" s="2">
        <v>46091</v>
      </c>
      <c r="E16" s="1" t="s">
        <v>31</v>
      </c>
      <c r="F16" s="1">
        <v>38101</v>
      </c>
      <c r="G16" s="1" t="s">
        <v>35</v>
      </c>
      <c r="H16" s="1" t="s">
        <v>18</v>
      </c>
      <c r="J16" s="1" t="s">
        <v>36</v>
      </c>
      <c r="K16" s="1" t="s">
        <v>1372</v>
      </c>
      <c r="L16" s="1" t="s">
        <v>1373</v>
      </c>
      <c r="M16" s="1" t="s">
        <v>1373</v>
      </c>
      <c r="N16" s="1" t="str">
        <f t="shared" si="0"/>
        <v>DENIS ACASSIO</v>
      </c>
    </row>
    <row r="17" spans="1:14" x14ac:dyDescent="0.3">
      <c r="A17" s="1">
        <v>704650</v>
      </c>
      <c r="B17" s="1" t="s">
        <v>53</v>
      </c>
      <c r="C17" s="5" t="s">
        <v>15</v>
      </c>
      <c r="D17" s="2">
        <v>45476</v>
      </c>
      <c r="E17" s="1" t="s">
        <v>40</v>
      </c>
      <c r="F17" s="1">
        <v>52104</v>
      </c>
      <c r="G17" s="1" t="s">
        <v>17</v>
      </c>
      <c r="H17" s="1" t="s">
        <v>18</v>
      </c>
      <c r="J17" s="1" t="s">
        <v>19</v>
      </c>
      <c r="K17" s="1" t="s">
        <v>1368</v>
      </c>
      <c r="L17" s="1" t="s">
        <v>20</v>
      </c>
      <c r="M17" s="1" t="s">
        <v>1632</v>
      </c>
      <c r="N17" s="1" t="str">
        <f t="shared" si="0"/>
        <v>THIAGO MARCOS</v>
      </c>
    </row>
    <row r="18" spans="1:14" x14ac:dyDescent="0.3">
      <c r="A18" s="1">
        <v>637</v>
      </c>
      <c r="B18" s="1" t="s">
        <v>54</v>
      </c>
      <c r="C18" s="5" t="s">
        <v>15</v>
      </c>
      <c r="D18" s="2">
        <v>39966</v>
      </c>
      <c r="E18" s="1" t="s">
        <v>55</v>
      </c>
      <c r="F18" s="1">
        <v>39304</v>
      </c>
      <c r="G18" s="1" t="s">
        <v>56</v>
      </c>
      <c r="H18" s="1" t="s">
        <v>18</v>
      </c>
      <c r="J18" s="1" t="s">
        <v>57</v>
      </c>
      <c r="K18" s="1" t="s">
        <v>1371</v>
      </c>
      <c r="L18" s="1" t="s">
        <v>1376</v>
      </c>
      <c r="M18" s="1" t="s">
        <v>1635</v>
      </c>
      <c r="N18" s="1" t="str">
        <f t="shared" si="0"/>
        <v>WARLEY RIBEIRO / EUDES FERNANDES</v>
      </c>
    </row>
    <row r="19" spans="1:14" x14ac:dyDescent="0.3">
      <c r="A19" s="1">
        <v>704972</v>
      </c>
      <c r="B19" s="1" t="s">
        <v>58</v>
      </c>
      <c r="C19" s="5" t="s">
        <v>15</v>
      </c>
      <c r="D19" s="2">
        <v>45629</v>
      </c>
      <c r="E19" s="1" t="s">
        <v>31</v>
      </c>
      <c r="F19" s="1">
        <v>52104</v>
      </c>
      <c r="G19" s="1" t="s">
        <v>17</v>
      </c>
      <c r="H19" s="1" t="s">
        <v>18</v>
      </c>
      <c r="J19" s="1" t="s">
        <v>19</v>
      </c>
      <c r="K19" s="1" t="s">
        <v>1368</v>
      </c>
      <c r="L19" s="1" t="s">
        <v>20</v>
      </c>
      <c r="M19" s="1" t="s">
        <v>1632</v>
      </c>
      <c r="N19" s="1" t="str">
        <f t="shared" si="0"/>
        <v>THIAGO MARCOS</v>
      </c>
    </row>
    <row r="20" spans="1:14" x14ac:dyDescent="0.3">
      <c r="A20" s="1">
        <v>105221</v>
      </c>
      <c r="B20" s="1" t="s">
        <v>59</v>
      </c>
      <c r="C20" s="5" t="s">
        <v>15</v>
      </c>
      <c r="D20" s="2">
        <v>42632</v>
      </c>
      <c r="E20" s="1" t="s">
        <v>166</v>
      </c>
      <c r="F20" s="1">
        <v>51219</v>
      </c>
      <c r="G20" s="1" t="s">
        <v>61</v>
      </c>
      <c r="H20" s="1" t="s">
        <v>18</v>
      </c>
      <c r="J20" s="1" t="s">
        <v>37</v>
      </c>
      <c r="K20" s="1" t="s">
        <v>1368</v>
      </c>
      <c r="L20" s="1" t="s">
        <v>20</v>
      </c>
      <c r="M20" s="1" t="s">
        <v>1634</v>
      </c>
      <c r="N20" s="1" t="str">
        <f t="shared" si="0"/>
        <v>IRON SANTOS</v>
      </c>
    </row>
    <row r="21" spans="1:14" x14ac:dyDescent="0.3">
      <c r="A21" s="1">
        <v>704155</v>
      </c>
      <c r="B21" s="1" t="s">
        <v>62</v>
      </c>
      <c r="C21" s="5" t="s">
        <v>92</v>
      </c>
      <c r="D21" s="2">
        <v>45264</v>
      </c>
      <c r="E21" s="1" t="s">
        <v>31</v>
      </c>
      <c r="F21" s="1">
        <v>52104</v>
      </c>
      <c r="G21" s="1" t="s">
        <v>17</v>
      </c>
      <c r="H21" s="1" t="s">
        <v>18</v>
      </c>
      <c r="I21" s="2">
        <v>46097</v>
      </c>
      <c r="J21" s="1" t="s">
        <v>19</v>
      </c>
      <c r="K21" s="1" t="s">
        <v>1368</v>
      </c>
      <c r="L21" s="1" t="s">
        <v>20</v>
      </c>
      <c r="M21" s="1" t="s">
        <v>1632</v>
      </c>
      <c r="N21" s="1" t="str">
        <f t="shared" si="0"/>
        <v>THIAGO MARCOS</v>
      </c>
    </row>
    <row r="22" spans="1:14" x14ac:dyDescent="0.3">
      <c r="A22" s="1">
        <v>700244</v>
      </c>
      <c r="B22" s="1" t="s">
        <v>63</v>
      </c>
      <c r="C22" s="5" t="s">
        <v>15</v>
      </c>
      <c r="D22" s="2">
        <v>43262</v>
      </c>
      <c r="E22" s="1" t="s">
        <v>52</v>
      </c>
      <c r="F22" s="1">
        <v>33301</v>
      </c>
      <c r="G22" s="1" t="s">
        <v>64</v>
      </c>
      <c r="H22" s="1" t="s">
        <v>18</v>
      </c>
      <c r="J22" s="1" t="s">
        <v>65</v>
      </c>
      <c r="K22" s="1" t="s">
        <v>25</v>
      </c>
      <c r="L22" s="1" t="s">
        <v>1375</v>
      </c>
      <c r="N22" s="1" t="str">
        <f t="shared" si="0"/>
        <v>ANDRÉ CUBA</v>
      </c>
    </row>
    <row r="23" spans="1:14" x14ac:dyDescent="0.3">
      <c r="A23" s="1">
        <v>703533</v>
      </c>
      <c r="B23" s="1" t="s">
        <v>66</v>
      </c>
      <c r="C23" s="5" t="s">
        <v>15</v>
      </c>
      <c r="D23" s="2">
        <v>44907</v>
      </c>
      <c r="E23" s="1" t="s">
        <v>67</v>
      </c>
      <c r="F23" s="1">
        <v>22102</v>
      </c>
      <c r="G23" s="1" t="s">
        <v>68</v>
      </c>
      <c r="H23" s="1" t="s">
        <v>18</v>
      </c>
      <c r="J23" s="1" t="s">
        <v>69</v>
      </c>
      <c r="K23" s="1" t="s">
        <v>1371</v>
      </c>
      <c r="L23" s="1" t="s">
        <v>1378</v>
      </c>
      <c r="N23" s="1" t="str">
        <f t="shared" si="0"/>
        <v xml:space="preserve">JOÃO KOMURA </v>
      </c>
    </row>
    <row r="24" spans="1:14" x14ac:dyDescent="0.3">
      <c r="A24" s="1">
        <v>101789</v>
      </c>
      <c r="B24" s="1" t="s">
        <v>70</v>
      </c>
      <c r="C24" s="5" t="s">
        <v>15</v>
      </c>
      <c r="D24" s="2">
        <v>43080</v>
      </c>
      <c r="E24" s="1" t="s">
        <v>71</v>
      </c>
      <c r="F24" s="1">
        <v>25201</v>
      </c>
      <c r="G24" s="1" t="s">
        <v>89</v>
      </c>
      <c r="H24" s="1" t="s">
        <v>18</v>
      </c>
      <c r="J24" s="1" t="s">
        <v>19</v>
      </c>
      <c r="K24" s="1" t="s">
        <v>1368</v>
      </c>
      <c r="L24" s="1" t="s">
        <v>20</v>
      </c>
      <c r="M24" s="1" t="s">
        <v>1632</v>
      </c>
      <c r="N24" s="1" t="str">
        <f t="shared" si="0"/>
        <v>THIAGO MARCOS</v>
      </c>
    </row>
    <row r="25" spans="1:14" x14ac:dyDescent="0.3">
      <c r="A25" s="1">
        <v>704884</v>
      </c>
      <c r="B25" s="1" t="s">
        <v>76</v>
      </c>
      <c r="C25" s="5" t="s">
        <v>92</v>
      </c>
      <c r="D25" s="2">
        <v>45586</v>
      </c>
      <c r="E25" s="1" t="s">
        <v>77</v>
      </c>
      <c r="F25" s="1">
        <v>38107</v>
      </c>
      <c r="G25" s="1" t="s">
        <v>1503</v>
      </c>
      <c r="H25" s="1" t="s">
        <v>18</v>
      </c>
      <c r="I25" s="2">
        <v>46092</v>
      </c>
      <c r="J25" s="1" t="s">
        <v>78</v>
      </c>
      <c r="K25" s="1" t="s">
        <v>1372</v>
      </c>
      <c r="N25" s="1" t="str">
        <f t="shared" si="0"/>
        <v xml:space="preserve">LEIDJANE MARTINS </v>
      </c>
    </row>
    <row r="26" spans="1:14" x14ac:dyDescent="0.3">
      <c r="A26" s="1">
        <v>100914</v>
      </c>
      <c r="B26" s="1" t="s">
        <v>82</v>
      </c>
      <c r="C26" s="5" t="s">
        <v>15</v>
      </c>
      <c r="D26" s="2">
        <v>42499</v>
      </c>
      <c r="E26" s="1" t="s">
        <v>83</v>
      </c>
      <c r="F26" s="1">
        <v>34201</v>
      </c>
      <c r="G26" s="1" t="s">
        <v>84</v>
      </c>
      <c r="H26" s="1" t="s">
        <v>18</v>
      </c>
      <c r="J26" s="1" t="s">
        <v>85</v>
      </c>
      <c r="K26" s="1" t="s">
        <v>1371</v>
      </c>
      <c r="L26" s="1" t="s">
        <v>1380</v>
      </c>
      <c r="M26" s="1" t="s">
        <v>1380</v>
      </c>
      <c r="N26" s="1" t="str">
        <f t="shared" si="0"/>
        <v xml:space="preserve">LEONARDO SANTOS </v>
      </c>
    </row>
    <row r="27" spans="1:14" x14ac:dyDescent="0.3">
      <c r="A27" s="1">
        <v>704374</v>
      </c>
      <c r="B27" s="1" t="s">
        <v>86</v>
      </c>
      <c r="C27" s="5" t="s">
        <v>15</v>
      </c>
      <c r="D27" s="2">
        <v>45391</v>
      </c>
      <c r="E27" s="1" t="s">
        <v>27</v>
      </c>
      <c r="F27" s="1">
        <v>39501</v>
      </c>
      <c r="G27" s="1" t="s">
        <v>28</v>
      </c>
      <c r="H27" s="1" t="s">
        <v>18</v>
      </c>
      <c r="J27" s="1" t="s">
        <v>29</v>
      </c>
      <c r="K27" s="1" t="s">
        <v>1368</v>
      </c>
      <c r="L27" s="1" t="s">
        <v>20</v>
      </c>
      <c r="M27" s="1" t="s">
        <v>1634</v>
      </c>
      <c r="N27" s="1" t="str">
        <f t="shared" si="0"/>
        <v>IRON SANTOS</v>
      </c>
    </row>
    <row r="28" spans="1:14" x14ac:dyDescent="0.3">
      <c r="A28" s="1">
        <v>705107</v>
      </c>
      <c r="B28" s="1" t="s">
        <v>88</v>
      </c>
      <c r="C28" s="5" t="s">
        <v>15</v>
      </c>
      <c r="D28" s="2">
        <v>45678</v>
      </c>
      <c r="E28" s="1" t="s">
        <v>31</v>
      </c>
      <c r="F28" s="1">
        <v>51219</v>
      </c>
      <c r="G28" s="1" t="s">
        <v>61</v>
      </c>
      <c r="H28" s="1" t="s">
        <v>18</v>
      </c>
      <c r="J28" s="1" t="s">
        <v>37</v>
      </c>
      <c r="K28" s="1" t="s">
        <v>1368</v>
      </c>
      <c r="L28" s="1" t="s">
        <v>20</v>
      </c>
      <c r="M28" s="1" t="s">
        <v>1634</v>
      </c>
      <c r="N28" s="1" t="str">
        <f t="shared" si="0"/>
        <v>IRON SANTOS</v>
      </c>
    </row>
    <row r="29" spans="1:14" x14ac:dyDescent="0.3">
      <c r="A29" s="1">
        <v>704639</v>
      </c>
      <c r="B29" s="1" t="s">
        <v>90</v>
      </c>
      <c r="C29" s="5" t="s">
        <v>15</v>
      </c>
      <c r="D29" s="2">
        <v>45476</v>
      </c>
      <c r="E29" s="1" t="s">
        <v>91</v>
      </c>
      <c r="F29" s="1">
        <v>34201</v>
      </c>
      <c r="G29" s="1" t="s">
        <v>84</v>
      </c>
      <c r="H29" s="1" t="s">
        <v>18</v>
      </c>
      <c r="J29" s="1" t="s">
        <v>85</v>
      </c>
      <c r="K29" s="1" t="s">
        <v>1371</v>
      </c>
      <c r="L29" s="1" t="s">
        <v>1380</v>
      </c>
      <c r="M29" s="1" t="s">
        <v>1380</v>
      </c>
      <c r="N29" s="1" t="str">
        <f t="shared" si="0"/>
        <v xml:space="preserve">LEONARDO SANTOS </v>
      </c>
    </row>
    <row r="30" spans="1:14" x14ac:dyDescent="0.3">
      <c r="A30" s="1">
        <v>703274</v>
      </c>
      <c r="B30" s="1" t="s">
        <v>96</v>
      </c>
      <c r="C30" s="5" t="s">
        <v>15</v>
      </c>
      <c r="D30" s="2">
        <v>44781</v>
      </c>
      <c r="E30" s="1" t="s">
        <v>97</v>
      </c>
      <c r="F30" s="1">
        <v>32101</v>
      </c>
      <c r="G30" s="1" t="s">
        <v>23</v>
      </c>
      <c r="H30" s="1" t="s">
        <v>18</v>
      </c>
      <c r="J30" s="1" t="s">
        <v>24</v>
      </c>
      <c r="K30" s="1" t="s">
        <v>25</v>
      </c>
      <c r="L30" s="1" t="s">
        <v>1369</v>
      </c>
      <c r="M30" s="1" t="s">
        <v>1370</v>
      </c>
      <c r="N30" s="1" t="str">
        <f t="shared" si="0"/>
        <v>JUNIO COSTA</v>
      </c>
    </row>
    <row r="31" spans="1:14" x14ac:dyDescent="0.3">
      <c r="A31" s="1">
        <v>700150</v>
      </c>
      <c r="B31" s="1" t="s">
        <v>98</v>
      </c>
      <c r="C31" s="5" t="s">
        <v>15</v>
      </c>
      <c r="D31" s="2">
        <v>43227</v>
      </c>
      <c r="E31" s="1" t="s">
        <v>99</v>
      </c>
      <c r="F31" s="1">
        <v>34201</v>
      </c>
      <c r="G31" s="1" t="s">
        <v>84</v>
      </c>
      <c r="H31" s="1" t="s">
        <v>18</v>
      </c>
      <c r="J31" s="1" t="s">
        <v>85</v>
      </c>
      <c r="K31" s="1" t="s">
        <v>1371</v>
      </c>
      <c r="L31" s="1" t="s">
        <v>1380</v>
      </c>
      <c r="M31" s="1" t="s">
        <v>1380</v>
      </c>
      <c r="N31" s="1" t="str">
        <f t="shared" si="0"/>
        <v xml:space="preserve">LEONARDO SANTOS </v>
      </c>
    </row>
    <row r="32" spans="1:14" x14ac:dyDescent="0.3">
      <c r="A32" s="1">
        <v>100974</v>
      </c>
      <c r="B32" s="1" t="s">
        <v>100</v>
      </c>
      <c r="C32" s="5" t="s">
        <v>15</v>
      </c>
      <c r="D32" s="2">
        <v>42548</v>
      </c>
      <c r="E32" s="1" t="s">
        <v>195</v>
      </c>
      <c r="F32" s="1">
        <v>39302</v>
      </c>
      <c r="G32" s="1" t="s">
        <v>102</v>
      </c>
      <c r="H32" s="1" t="s">
        <v>18</v>
      </c>
      <c r="J32" s="1" t="s">
        <v>103</v>
      </c>
      <c r="K32" s="1" t="s">
        <v>1371</v>
      </c>
      <c r="N32" s="1" t="str">
        <f t="shared" si="0"/>
        <v>PAULO BONIFÁCIO</v>
      </c>
    </row>
    <row r="33" spans="1:14" x14ac:dyDescent="0.3">
      <c r="A33" s="1">
        <v>705820</v>
      </c>
      <c r="B33" s="1" t="s">
        <v>1535</v>
      </c>
      <c r="C33" s="5" t="s">
        <v>15</v>
      </c>
      <c r="D33" s="2">
        <v>46063</v>
      </c>
      <c r="E33" s="1" t="s">
        <v>31</v>
      </c>
      <c r="F33" s="1">
        <v>51219</v>
      </c>
      <c r="G33" s="1" t="s">
        <v>61</v>
      </c>
      <c r="H33" s="1" t="s">
        <v>18</v>
      </c>
      <c r="J33" s="1" t="s">
        <v>19</v>
      </c>
      <c r="K33" s="1" t="s">
        <v>1368</v>
      </c>
      <c r="L33" s="1" t="s">
        <v>20</v>
      </c>
      <c r="M33" s="1" t="s">
        <v>1632</v>
      </c>
      <c r="N33" s="1" t="str">
        <f t="shared" si="0"/>
        <v>THIAGO MARCOS</v>
      </c>
    </row>
    <row r="34" spans="1:14" x14ac:dyDescent="0.3">
      <c r="A34" s="1">
        <v>101733</v>
      </c>
      <c r="B34" s="1" t="s">
        <v>104</v>
      </c>
      <c r="C34" s="5" t="s">
        <v>15</v>
      </c>
      <c r="D34" s="2">
        <v>42121</v>
      </c>
      <c r="E34" s="1" t="s">
        <v>105</v>
      </c>
      <c r="F34" s="1">
        <v>22102</v>
      </c>
      <c r="G34" s="1" t="s">
        <v>68</v>
      </c>
      <c r="H34" s="1" t="s">
        <v>18</v>
      </c>
      <c r="J34" s="1" t="s">
        <v>81</v>
      </c>
      <c r="K34" s="1" t="s">
        <v>1371</v>
      </c>
      <c r="L34" s="1" t="s">
        <v>1509</v>
      </c>
      <c r="M34" s="1" t="s">
        <v>1379</v>
      </c>
      <c r="N34" s="1" t="str">
        <f t="shared" si="0"/>
        <v xml:space="preserve">EDSON/MARCELO LIMA </v>
      </c>
    </row>
    <row r="35" spans="1:14" x14ac:dyDescent="0.3">
      <c r="A35" s="1">
        <v>704081</v>
      </c>
      <c r="B35" s="1" t="s">
        <v>106</v>
      </c>
      <c r="C35" s="5" t="s">
        <v>15</v>
      </c>
      <c r="D35" s="2">
        <v>45188</v>
      </c>
      <c r="E35" s="1" t="s">
        <v>71</v>
      </c>
      <c r="F35" s="1">
        <v>25201</v>
      </c>
      <c r="G35" s="1" t="s">
        <v>89</v>
      </c>
      <c r="H35" s="1" t="s">
        <v>18</v>
      </c>
      <c r="J35" s="1" t="s">
        <v>19</v>
      </c>
      <c r="K35" s="1" t="s">
        <v>1368</v>
      </c>
      <c r="L35" s="1" t="s">
        <v>20</v>
      </c>
      <c r="M35" s="1" t="s">
        <v>1632</v>
      </c>
      <c r="N35" s="1" t="str">
        <f t="shared" si="0"/>
        <v>THIAGO MARCOS</v>
      </c>
    </row>
    <row r="36" spans="1:14" x14ac:dyDescent="0.3">
      <c r="A36" s="1">
        <v>702828</v>
      </c>
      <c r="B36" s="1" t="s">
        <v>107</v>
      </c>
      <c r="C36" s="5" t="s">
        <v>15</v>
      </c>
      <c r="D36" s="2">
        <v>44614</v>
      </c>
      <c r="E36" s="1" t="s">
        <v>31</v>
      </c>
      <c r="F36" s="1">
        <v>52104</v>
      </c>
      <c r="G36" s="1" t="s">
        <v>17</v>
      </c>
      <c r="H36" s="1" t="s">
        <v>18</v>
      </c>
      <c r="J36" s="1" t="s">
        <v>37</v>
      </c>
      <c r="K36" s="1" t="s">
        <v>1368</v>
      </c>
      <c r="L36" s="1" t="s">
        <v>20</v>
      </c>
      <c r="M36" s="1" t="s">
        <v>1634</v>
      </c>
      <c r="N36" s="1" t="str">
        <f t="shared" si="0"/>
        <v>IRON SANTOS</v>
      </c>
    </row>
    <row r="37" spans="1:14" x14ac:dyDescent="0.3">
      <c r="A37" s="1">
        <v>705624</v>
      </c>
      <c r="B37" s="1" t="s">
        <v>1394</v>
      </c>
      <c r="C37" s="5" t="s">
        <v>15</v>
      </c>
      <c r="D37" s="2">
        <v>45937</v>
      </c>
      <c r="E37" s="1" t="s">
        <v>152</v>
      </c>
      <c r="F37" s="1">
        <v>39201</v>
      </c>
      <c r="G37" s="1" t="s">
        <v>153</v>
      </c>
      <c r="H37" s="1" t="s">
        <v>18</v>
      </c>
      <c r="J37" s="1" t="s">
        <v>154</v>
      </c>
      <c r="K37" s="1" t="s">
        <v>50</v>
      </c>
      <c r="L37" s="1" t="s">
        <v>1382</v>
      </c>
      <c r="M37" s="1" t="s">
        <v>1382</v>
      </c>
      <c r="N37" s="1" t="str">
        <f t="shared" si="0"/>
        <v>ADENILTON RODRIGUES</v>
      </c>
    </row>
    <row r="38" spans="1:14" x14ac:dyDescent="0.3">
      <c r="A38" s="1">
        <v>704227</v>
      </c>
      <c r="B38" s="1" t="s">
        <v>108</v>
      </c>
      <c r="C38" s="5" t="s">
        <v>15</v>
      </c>
      <c r="D38" s="2">
        <v>45328</v>
      </c>
      <c r="E38" s="1" t="s">
        <v>219</v>
      </c>
      <c r="F38" s="1">
        <v>32101</v>
      </c>
      <c r="G38" s="1" t="s">
        <v>23</v>
      </c>
      <c r="H38" s="1" t="s">
        <v>18</v>
      </c>
      <c r="J38" s="1" t="s">
        <v>24</v>
      </c>
      <c r="K38" s="1" t="s">
        <v>25</v>
      </c>
      <c r="L38" s="1" t="s">
        <v>1369</v>
      </c>
      <c r="M38" s="1" t="s">
        <v>1370</v>
      </c>
      <c r="N38" s="1" t="str">
        <f t="shared" si="0"/>
        <v>JUNIO COSTA</v>
      </c>
    </row>
    <row r="39" spans="1:14" x14ac:dyDescent="0.3">
      <c r="A39" s="1">
        <v>101307</v>
      </c>
      <c r="B39" s="1" t="s">
        <v>110</v>
      </c>
      <c r="C39" s="5" t="s">
        <v>15</v>
      </c>
      <c r="D39" s="2">
        <v>42850</v>
      </c>
      <c r="E39" s="1" t="s">
        <v>111</v>
      </c>
      <c r="F39" s="1">
        <v>52104</v>
      </c>
      <c r="G39" s="1" t="s">
        <v>17</v>
      </c>
      <c r="H39" s="1" t="s">
        <v>18</v>
      </c>
      <c r="J39" s="1" t="s">
        <v>112</v>
      </c>
      <c r="K39" s="1" t="s">
        <v>1368</v>
      </c>
      <c r="N39" s="1" t="str">
        <f t="shared" si="0"/>
        <v>JOSÉ GOUVEA</v>
      </c>
    </row>
    <row r="40" spans="1:14" x14ac:dyDescent="0.3">
      <c r="A40" s="1">
        <v>702711</v>
      </c>
      <c r="B40" s="1" t="s">
        <v>113</v>
      </c>
      <c r="C40" s="5" t="s">
        <v>15</v>
      </c>
      <c r="D40" s="2">
        <v>44586</v>
      </c>
      <c r="E40" s="1" t="s">
        <v>114</v>
      </c>
      <c r="F40" s="1">
        <v>38101</v>
      </c>
      <c r="G40" s="1" t="s">
        <v>35</v>
      </c>
      <c r="H40" s="1" t="s">
        <v>18</v>
      </c>
      <c r="J40" s="1" t="s">
        <v>36</v>
      </c>
      <c r="K40" s="1" t="s">
        <v>1372</v>
      </c>
      <c r="L40" s="1" t="s">
        <v>1373</v>
      </c>
      <c r="M40" s="1" t="s">
        <v>1373</v>
      </c>
      <c r="N40" s="1" t="str">
        <f t="shared" si="0"/>
        <v>DENIS ACASSIO</v>
      </c>
    </row>
    <row r="41" spans="1:14" x14ac:dyDescent="0.3">
      <c r="A41" s="1">
        <v>705900</v>
      </c>
      <c r="B41" s="1" t="s">
        <v>1600</v>
      </c>
      <c r="C41" s="5" t="s">
        <v>15</v>
      </c>
      <c r="D41" s="2">
        <v>46091</v>
      </c>
      <c r="E41" s="1" t="s">
        <v>31</v>
      </c>
      <c r="F41" s="1">
        <v>38101</v>
      </c>
      <c r="G41" s="1" t="s">
        <v>35</v>
      </c>
      <c r="H41" s="1" t="s">
        <v>18</v>
      </c>
      <c r="J41" s="1" t="s">
        <v>36</v>
      </c>
      <c r="K41" s="1" t="s">
        <v>1372</v>
      </c>
      <c r="L41" s="1" t="s">
        <v>1373</v>
      </c>
      <c r="M41" s="1" t="s">
        <v>1373</v>
      </c>
      <c r="N41" s="1" t="str">
        <f t="shared" si="0"/>
        <v>DENIS ACASSIO</v>
      </c>
    </row>
    <row r="42" spans="1:14" x14ac:dyDescent="0.3">
      <c r="A42" s="1">
        <v>705916</v>
      </c>
      <c r="B42" s="1" t="s">
        <v>1601</v>
      </c>
      <c r="C42" s="5" t="s">
        <v>15</v>
      </c>
      <c r="D42" s="2">
        <v>46091</v>
      </c>
      <c r="E42" s="1" t="s">
        <v>31</v>
      </c>
      <c r="F42" s="1">
        <v>52104</v>
      </c>
      <c r="G42" s="1" t="s">
        <v>17</v>
      </c>
      <c r="H42" s="1" t="s">
        <v>18</v>
      </c>
      <c r="J42" s="1" t="s">
        <v>19</v>
      </c>
      <c r="K42" s="1" t="s">
        <v>1368</v>
      </c>
      <c r="L42" s="1" t="s">
        <v>20</v>
      </c>
      <c r="M42" s="1" t="s">
        <v>1632</v>
      </c>
      <c r="N42" s="1" t="str">
        <f t="shared" si="0"/>
        <v>THIAGO MARCOS</v>
      </c>
    </row>
    <row r="43" spans="1:14" x14ac:dyDescent="0.3">
      <c r="A43" s="1">
        <v>700325</v>
      </c>
      <c r="B43" s="1" t="s">
        <v>115</v>
      </c>
      <c r="C43" s="5" t="s">
        <v>15</v>
      </c>
      <c r="D43" s="2">
        <v>43292</v>
      </c>
      <c r="E43" s="1" t="s">
        <v>116</v>
      </c>
      <c r="F43" s="1">
        <v>34201</v>
      </c>
      <c r="G43" s="1" t="s">
        <v>84</v>
      </c>
      <c r="H43" s="1" t="s">
        <v>18</v>
      </c>
      <c r="J43" s="1" t="s">
        <v>85</v>
      </c>
      <c r="K43" s="1" t="s">
        <v>1371</v>
      </c>
      <c r="L43" s="1" t="s">
        <v>1380</v>
      </c>
      <c r="M43" s="1" t="s">
        <v>1380</v>
      </c>
      <c r="N43" s="1" t="str">
        <f t="shared" si="0"/>
        <v xml:space="preserve">LEONARDO SANTOS </v>
      </c>
    </row>
    <row r="44" spans="1:14" x14ac:dyDescent="0.3">
      <c r="A44" s="1">
        <v>701609</v>
      </c>
      <c r="B44" s="1" t="s">
        <v>117</v>
      </c>
      <c r="C44" s="5" t="s">
        <v>15</v>
      </c>
      <c r="D44" s="2">
        <v>43999</v>
      </c>
      <c r="E44" s="1" t="s">
        <v>138</v>
      </c>
      <c r="F44" s="1">
        <v>51219</v>
      </c>
      <c r="G44" s="1" t="s">
        <v>61</v>
      </c>
      <c r="H44" s="1" t="s">
        <v>18</v>
      </c>
      <c r="J44" s="1" t="s">
        <v>37</v>
      </c>
      <c r="K44" s="1" t="s">
        <v>1368</v>
      </c>
      <c r="L44" s="1" t="s">
        <v>20</v>
      </c>
      <c r="M44" s="1" t="s">
        <v>1634</v>
      </c>
      <c r="N44" s="1" t="str">
        <f t="shared" si="0"/>
        <v>IRON SANTOS</v>
      </c>
    </row>
    <row r="45" spans="1:14" x14ac:dyDescent="0.3">
      <c r="A45" s="1">
        <v>705583</v>
      </c>
      <c r="B45" s="1" t="s">
        <v>1602</v>
      </c>
      <c r="C45" s="5" t="s">
        <v>15</v>
      </c>
      <c r="D45" s="2">
        <v>45881</v>
      </c>
      <c r="E45" s="1" t="s">
        <v>31</v>
      </c>
      <c r="F45" s="1">
        <v>25201</v>
      </c>
      <c r="G45" s="1" t="s">
        <v>89</v>
      </c>
      <c r="H45" s="1" t="s">
        <v>18</v>
      </c>
      <c r="J45" s="1" t="s">
        <v>19</v>
      </c>
      <c r="K45" s="1" t="s">
        <v>1368</v>
      </c>
      <c r="L45" s="1" t="s">
        <v>20</v>
      </c>
      <c r="M45" s="1" t="s">
        <v>1632</v>
      </c>
      <c r="N45" s="1" t="str">
        <f t="shared" si="0"/>
        <v>THIAGO MARCOS</v>
      </c>
    </row>
    <row r="46" spans="1:14" x14ac:dyDescent="0.3">
      <c r="A46" s="1">
        <v>700171</v>
      </c>
      <c r="B46" s="1" t="s">
        <v>118</v>
      </c>
      <c r="C46" s="5" t="s">
        <v>15</v>
      </c>
      <c r="D46" s="2">
        <v>43234</v>
      </c>
      <c r="E46" s="1" t="s">
        <v>116</v>
      </c>
      <c r="F46" s="1">
        <v>34201</v>
      </c>
      <c r="G46" s="1" t="s">
        <v>84</v>
      </c>
      <c r="H46" s="1" t="s">
        <v>18</v>
      </c>
      <c r="J46" s="1" t="s">
        <v>85</v>
      </c>
      <c r="K46" s="1" t="s">
        <v>1371</v>
      </c>
      <c r="L46" s="1" t="s">
        <v>1380</v>
      </c>
      <c r="M46" s="1" t="s">
        <v>1380</v>
      </c>
      <c r="N46" s="1" t="str">
        <f t="shared" si="0"/>
        <v xml:space="preserve">LEONARDO SANTOS </v>
      </c>
    </row>
    <row r="47" spans="1:14" x14ac:dyDescent="0.3">
      <c r="A47" s="1">
        <v>704215</v>
      </c>
      <c r="B47" s="1" t="s">
        <v>119</v>
      </c>
      <c r="C47" s="5" t="s">
        <v>15</v>
      </c>
      <c r="D47" s="2">
        <v>45300</v>
      </c>
      <c r="E47" s="1" t="s">
        <v>67</v>
      </c>
      <c r="F47" s="1">
        <v>22102</v>
      </c>
      <c r="G47" s="1" t="s">
        <v>68</v>
      </c>
      <c r="H47" s="1" t="s">
        <v>18</v>
      </c>
      <c r="J47" s="1" t="s">
        <v>69</v>
      </c>
      <c r="K47" s="1" t="s">
        <v>1371</v>
      </c>
      <c r="L47" s="1" t="s">
        <v>1378</v>
      </c>
      <c r="N47" s="1" t="str">
        <f t="shared" si="0"/>
        <v xml:space="preserve">JOÃO KOMURA </v>
      </c>
    </row>
    <row r="48" spans="1:14" x14ac:dyDescent="0.3">
      <c r="A48" s="1">
        <v>704331</v>
      </c>
      <c r="B48" s="1" t="s">
        <v>120</v>
      </c>
      <c r="C48" s="5" t="s">
        <v>15</v>
      </c>
      <c r="D48" s="2">
        <v>45363</v>
      </c>
      <c r="E48" s="1" t="s">
        <v>121</v>
      </c>
      <c r="F48" s="1">
        <v>22101</v>
      </c>
      <c r="G48" s="1" t="s">
        <v>122</v>
      </c>
      <c r="H48" s="1" t="s">
        <v>18</v>
      </c>
      <c r="J48" s="1" t="s">
        <v>123</v>
      </c>
      <c r="K48" s="1" t="s">
        <v>124</v>
      </c>
      <c r="N48" s="1" t="str">
        <f t="shared" si="0"/>
        <v>MATHEUS FERNANDES</v>
      </c>
    </row>
    <row r="49" spans="1:14" x14ac:dyDescent="0.3">
      <c r="A49" s="1">
        <v>100765</v>
      </c>
      <c r="B49" s="1" t="s">
        <v>126</v>
      </c>
      <c r="C49" s="5" t="s">
        <v>15</v>
      </c>
      <c r="D49" s="2">
        <v>42205</v>
      </c>
      <c r="E49" s="1" t="s">
        <v>127</v>
      </c>
      <c r="F49" s="1">
        <v>22102</v>
      </c>
      <c r="G49" s="1" t="s">
        <v>68</v>
      </c>
      <c r="H49" s="1" t="s">
        <v>18</v>
      </c>
      <c r="J49" s="1" t="s">
        <v>81</v>
      </c>
      <c r="K49" s="1" t="s">
        <v>1371</v>
      </c>
      <c r="L49" s="1" t="s">
        <v>1509</v>
      </c>
      <c r="M49" s="1" t="s">
        <v>1379</v>
      </c>
      <c r="N49" s="1" t="str">
        <f t="shared" si="0"/>
        <v xml:space="preserve">EDSON/MARCELO LIMA </v>
      </c>
    </row>
    <row r="50" spans="1:14" x14ac:dyDescent="0.3">
      <c r="A50" s="1">
        <v>705817</v>
      </c>
      <c r="B50" s="1" t="s">
        <v>1511</v>
      </c>
      <c r="C50" s="5" t="s">
        <v>15</v>
      </c>
      <c r="D50" s="2">
        <v>46035</v>
      </c>
      <c r="E50" s="1" t="s">
        <v>31</v>
      </c>
      <c r="F50" s="1">
        <v>51219</v>
      </c>
      <c r="G50" s="1" t="s">
        <v>61</v>
      </c>
      <c r="H50" s="1" t="s">
        <v>18</v>
      </c>
      <c r="J50" s="1" t="s">
        <v>19</v>
      </c>
      <c r="K50" s="1" t="s">
        <v>1368</v>
      </c>
      <c r="L50" s="1" t="s">
        <v>20</v>
      </c>
      <c r="M50" s="1" t="s">
        <v>1632</v>
      </c>
      <c r="N50" s="1" t="str">
        <f t="shared" si="0"/>
        <v>THIAGO MARCOS</v>
      </c>
    </row>
    <row r="51" spans="1:14" x14ac:dyDescent="0.3">
      <c r="A51" s="1">
        <v>704952</v>
      </c>
      <c r="B51" s="1" t="s">
        <v>128</v>
      </c>
      <c r="C51" s="5" t="s">
        <v>233</v>
      </c>
      <c r="D51" s="2">
        <v>45607</v>
      </c>
      <c r="E51" s="1" t="s">
        <v>188</v>
      </c>
      <c r="F51" s="1">
        <v>22102</v>
      </c>
      <c r="G51" s="1" t="s">
        <v>68</v>
      </c>
      <c r="H51" s="1" t="s">
        <v>18</v>
      </c>
      <c r="J51" s="1" t="s">
        <v>142</v>
      </c>
      <c r="K51" s="1" t="s">
        <v>1371</v>
      </c>
      <c r="L51" s="1" t="s">
        <v>1509</v>
      </c>
      <c r="M51" s="1" t="s">
        <v>1633</v>
      </c>
      <c r="N51" s="1" t="str">
        <f t="shared" si="0"/>
        <v>CRISTIANO BARBOSA</v>
      </c>
    </row>
    <row r="52" spans="1:14" x14ac:dyDescent="0.3">
      <c r="A52" s="1">
        <v>705786</v>
      </c>
      <c r="B52" s="1" t="s">
        <v>1512</v>
      </c>
      <c r="C52" s="5" t="s">
        <v>15</v>
      </c>
      <c r="D52" s="2">
        <v>46029</v>
      </c>
      <c r="E52" s="1" t="s">
        <v>31</v>
      </c>
      <c r="F52" s="1">
        <v>52202</v>
      </c>
      <c r="G52" s="1" t="s">
        <v>32</v>
      </c>
      <c r="H52" s="1" t="s">
        <v>18</v>
      </c>
      <c r="J52" s="1" t="s">
        <v>33</v>
      </c>
      <c r="K52" s="1" t="s">
        <v>1368</v>
      </c>
      <c r="L52" s="1" t="s">
        <v>20</v>
      </c>
      <c r="M52" s="1" t="s">
        <v>1634</v>
      </c>
      <c r="N52" s="1" t="str">
        <f t="shared" si="0"/>
        <v>IRON SANTOS</v>
      </c>
    </row>
    <row r="53" spans="1:14" x14ac:dyDescent="0.3">
      <c r="A53" s="1">
        <v>704882</v>
      </c>
      <c r="B53" s="1" t="s">
        <v>133</v>
      </c>
      <c r="C53" s="5" t="s">
        <v>92</v>
      </c>
      <c r="D53" s="2">
        <v>45586</v>
      </c>
      <c r="E53" s="1" t="s">
        <v>77</v>
      </c>
      <c r="F53" s="1">
        <v>38107</v>
      </c>
      <c r="G53" s="1" t="s">
        <v>1503</v>
      </c>
      <c r="H53" s="1" t="s">
        <v>18</v>
      </c>
      <c r="I53" s="2">
        <v>46092</v>
      </c>
      <c r="J53" s="1" t="s">
        <v>78</v>
      </c>
      <c r="K53" s="1" t="s">
        <v>1372</v>
      </c>
      <c r="N53" s="1" t="str">
        <f t="shared" si="0"/>
        <v xml:space="preserve">LEIDJANE MARTINS </v>
      </c>
    </row>
    <row r="54" spans="1:14" x14ac:dyDescent="0.3">
      <c r="A54" s="1">
        <v>705544</v>
      </c>
      <c r="B54" s="1" t="s">
        <v>1311</v>
      </c>
      <c r="C54" s="5" t="s">
        <v>15</v>
      </c>
      <c r="D54" s="2">
        <v>45874</v>
      </c>
      <c r="E54" s="1" t="s">
        <v>508</v>
      </c>
      <c r="F54" s="1">
        <v>33301</v>
      </c>
      <c r="G54" s="1" t="s">
        <v>64</v>
      </c>
      <c r="H54" s="1" t="s">
        <v>18</v>
      </c>
      <c r="J54" s="1" t="s">
        <v>65</v>
      </c>
      <c r="K54" s="1" t="s">
        <v>25</v>
      </c>
      <c r="L54" s="1" t="s">
        <v>1375</v>
      </c>
      <c r="N54" s="1" t="str">
        <f t="shared" si="0"/>
        <v>ANDRÉ CUBA</v>
      </c>
    </row>
    <row r="55" spans="1:14" x14ac:dyDescent="0.3">
      <c r="A55" s="1">
        <v>101125</v>
      </c>
      <c r="B55" s="1" t="s">
        <v>134</v>
      </c>
      <c r="C55" s="5" t="s">
        <v>15</v>
      </c>
      <c r="D55" s="2">
        <v>42692</v>
      </c>
      <c r="E55" s="1" t="s">
        <v>1122</v>
      </c>
      <c r="F55" s="1">
        <v>39201</v>
      </c>
      <c r="G55" s="1" t="s">
        <v>153</v>
      </c>
      <c r="H55" s="1" t="s">
        <v>18</v>
      </c>
      <c r="J55" s="1" t="s">
        <v>154</v>
      </c>
      <c r="K55" s="1" t="s">
        <v>50</v>
      </c>
      <c r="L55" s="1" t="s">
        <v>1382</v>
      </c>
      <c r="M55" s="1" t="s">
        <v>1382</v>
      </c>
      <c r="N55" s="1" t="str">
        <f t="shared" si="0"/>
        <v>ADENILTON RODRIGUES</v>
      </c>
    </row>
    <row r="56" spans="1:14" x14ac:dyDescent="0.3">
      <c r="A56" s="1">
        <v>705639</v>
      </c>
      <c r="B56" s="1" t="s">
        <v>1395</v>
      </c>
      <c r="C56" s="5" t="s">
        <v>15</v>
      </c>
      <c r="D56" s="2">
        <v>45937</v>
      </c>
      <c r="E56" s="1" t="s">
        <v>282</v>
      </c>
      <c r="F56" s="1">
        <v>32101</v>
      </c>
      <c r="G56" s="1" t="s">
        <v>23</v>
      </c>
      <c r="H56" s="1" t="s">
        <v>18</v>
      </c>
      <c r="J56" s="1" t="s">
        <v>24</v>
      </c>
      <c r="K56" s="1" t="s">
        <v>25</v>
      </c>
      <c r="L56" s="1" t="s">
        <v>1369</v>
      </c>
      <c r="M56" s="1" t="s">
        <v>1370</v>
      </c>
      <c r="N56" s="1" t="str">
        <f t="shared" si="0"/>
        <v>JUNIO COSTA</v>
      </c>
    </row>
    <row r="57" spans="1:14" x14ac:dyDescent="0.3">
      <c r="A57" s="1">
        <v>101790</v>
      </c>
      <c r="B57" s="1" t="s">
        <v>137</v>
      </c>
      <c r="C57" s="5" t="s">
        <v>15</v>
      </c>
      <c r="D57" s="2">
        <v>43080</v>
      </c>
      <c r="E57" s="1" t="s">
        <v>60</v>
      </c>
      <c r="F57" s="1">
        <v>52104</v>
      </c>
      <c r="G57" s="1" t="s">
        <v>17</v>
      </c>
      <c r="H57" s="1" t="s">
        <v>18</v>
      </c>
      <c r="J57" s="1" t="s">
        <v>19</v>
      </c>
      <c r="K57" s="1" t="s">
        <v>1368</v>
      </c>
      <c r="L57" s="1" t="s">
        <v>20</v>
      </c>
      <c r="M57" s="1" t="s">
        <v>1632</v>
      </c>
      <c r="N57" s="1" t="str">
        <f t="shared" si="0"/>
        <v>THIAGO MARCOS</v>
      </c>
    </row>
    <row r="58" spans="1:14" x14ac:dyDescent="0.3">
      <c r="A58" s="1">
        <v>704157</v>
      </c>
      <c r="B58" s="1" t="s">
        <v>139</v>
      </c>
      <c r="C58" s="5" t="s">
        <v>15</v>
      </c>
      <c r="D58" s="2">
        <v>45264</v>
      </c>
      <c r="E58" s="1" t="s">
        <v>40</v>
      </c>
      <c r="F58" s="1">
        <v>51219</v>
      </c>
      <c r="G58" s="1" t="s">
        <v>61</v>
      </c>
      <c r="H58" s="1" t="s">
        <v>18</v>
      </c>
      <c r="J58" s="1" t="s">
        <v>19</v>
      </c>
      <c r="K58" s="1" t="s">
        <v>1368</v>
      </c>
      <c r="L58" s="1" t="s">
        <v>20</v>
      </c>
      <c r="M58" s="1" t="s">
        <v>1632</v>
      </c>
      <c r="N58" s="1" t="str">
        <f t="shared" si="0"/>
        <v>THIAGO MARCOS</v>
      </c>
    </row>
    <row r="59" spans="1:14" x14ac:dyDescent="0.3">
      <c r="A59" s="1">
        <v>702156</v>
      </c>
      <c r="B59" s="1" t="s">
        <v>140</v>
      </c>
      <c r="C59" s="5" t="s">
        <v>15</v>
      </c>
      <c r="D59" s="2">
        <v>44299</v>
      </c>
      <c r="E59" s="1" t="s">
        <v>141</v>
      </c>
      <c r="F59" s="1">
        <v>22102</v>
      </c>
      <c r="G59" s="1" t="s">
        <v>68</v>
      </c>
      <c r="H59" s="1" t="s">
        <v>18</v>
      </c>
      <c r="J59" s="1" t="s">
        <v>142</v>
      </c>
      <c r="K59" s="1" t="s">
        <v>1371</v>
      </c>
      <c r="L59" s="1" t="s">
        <v>1509</v>
      </c>
      <c r="M59" s="1" t="s">
        <v>1633</v>
      </c>
      <c r="N59" s="1" t="str">
        <f t="shared" si="0"/>
        <v>CRISTIANO BARBOSA</v>
      </c>
    </row>
    <row r="60" spans="1:14" x14ac:dyDescent="0.3">
      <c r="A60" s="1">
        <v>705809</v>
      </c>
      <c r="B60" s="1" t="s">
        <v>1513</v>
      </c>
      <c r="C60" s="5" t="s">
        <v>15</v>
      </c>
      <c r="D60" s="2">
        <v>46035</v>
      </c>
      <c r="E60" s="1" t="s">
        <v>31</v>
      </c>
      <c r="F60" s="1">
        <v>51219</v>
      </c>
      <c r="G60" s="1" t="s">
        <v>61</v>
      </c>
      <c r="H60" s="1" t="s">
        <v>18</v>
      </c>
      <c r="J60" s="1" t="s">
        <v>19</v>
      </c>
      <c r="K60" s="1" t="s">
        <v>1368</v>
      </c>
      <c r="L60" s="1" t="s">
        <v>20</v>
      </c>
      <c r="M60" s="1" t="s">
        <v>1632</v>
      </c>
      <c r="N60" s="1" t="str">
        <f t="shared" si="0"/>
        <v>THIAGO MARCOS</v>
      </c>
    </row>
    <row r="61" spans="1:14" x14ac:dyDescent="0.3">
      <c r="A61" s="1">
        <v>705643</v>
      </c>
      <c r="B61" s="1" t="s">
        <v>144</v>
      </c>
      <c r="C61" s="5" t="s">
        <v>15</v>
      </c>
      <c r="D61" s="2">
        <v>45944</v>
      </c>
      <c r="E61" s="1" t="s">
        <v>31</v>
      </c>
      <c r="F61" s="1">
        <v>51219</v>
      </c>
      <c r="G61" s="1" t="s">
        <v>61</v>
      </c>
      <c r="H61" s="1" t="s">
        <v>18</v>
      </c>
      <c r="J61" s="1" t="s">
        <v>19</v>
      </c>
      <c r="K61" s="1" t="s">
        <v>1368</v>
      </c>
      <c r="L61" s="1" t="s">
        <v>20</v>
      </c>
      <c r="M61" s="1" t="s">
        <v>1632</v>
      </c>
      <c r="N61" s="1" t="str">
        <f t="shared" si="0"/>
        <v>THIAGO MARCOS</v>
      </c>
    </row>
    <row r="62" spans="1:14" x14ac:dyDescent="0.3">
      <c r="A62" s="1">
        <v>703625</v>
      </c>
      <c r="B62" s="1" t="s">
        <v>145</v>
      </c>
      <c r="C62" s="5" t="s">
        <v>15</v>
      </c>
      <c r="D62" s="2">
        <v>44991</v>
      </c>
      <c r="E62" s="1" t="s">
        <v>255</v>
      </c>
      <c r="F62" s="1">
        <v>52104</v>
      </c>
      <c r="G62" s="1" t="s">
        <v>17</v>
      </c>
      <c r="H62" s="1" t="s">
        <v>18</v>
      </c>
      <c r="J62" s="1" t="s">
        <v>19</v>
      </c>
      <c r="K62" s="1" t="s">
        <v>1368</v>
      </c>
      <c r="L62" s="1" t="s">
        <v>20</v>
      </c>
      <c r="M62" s="1" t="s">
        <v>1632</v>
      </c>
      <c r="N62" s="1" t="str">
        <f t="shared" si="0"/>
        <v>THIAGO MARCOS</v>
      </c>
    </row>
    <row r="63" spans="1:14" x14ac:dyDescent="0.3">
      <c r="A63" s="1">
        <v>704967</v>
      </c>
      <c r="B63" s="1" t="s">
        <v>147</v>
      </c>
      <c r="C63" s="5" t="s">
        <v>15</v>
      </c>
      <c r="D63" s="2">
        <v>45629</v>
      </c>
      <c r="E63" s="1" t="s">
        <v>91</v>
      </c>
      <c r="F63" s="1">
        <v>34201</v>
      </c>
      <c r="G63" s="1" t="s">
        <v>84</v>
      </c>
      <c r="H63" s="1" t="s">
        <v>18</v>
      </c>
      <c r="J63" s="1" t="s">
        <v>85</v>
      </c>
      <c r="K63" s="1" t="s">
        <v>1371</v>
      </c>
      <c r="L63" s="1" t="s">
        <v>1380</v>
      </c>
      <c r="M63" s="1" t="s">
        <v>1380</v>
      </c>
      <c r="N63" s="1" t="str">
        <f t="shared" si="0"/>
        <v xml:space="preserve">LEONARDO SANTOS </v>
      </c>
    </row>
    <row r="64" spans="1:14" x14ac:dyDescent="0.3">
      <c r="A64" s="1">
        <v>2006</v>
      </c>
      <c r="B64" s="1" t="s">
        <v>148</v>
      </c>
      <c r="C64" s="5" t="s">
        <v>15</v>
      </c>
      <c r="D64" s="2">
        <v>40665</v>
      </c>
      <c r="E64" s="1" t="s">
        <v>149</v>
      </c>
      <c r="F64" s="1">
        <v>39302</v>
      </c>
      <c r="G64" s="1" t="s">
        <v>102</v>
      </c>
      <c r="H64" s="1" t="s">
        <v>18</v>
      </c>
      <c r="J64" s="1" t="s">
        <v>57</v>
      </c>
      <c r="K64" s="1" t="s">
        <v>1371</v>
      </c>
      <c r="L64" s="1" t="s">
        <v>1376</v>
      </c>
      <c r="M64" s="1" t="s">
        <v>1635</v>
      </c>
      <c r="N64" s="1" t="str">
        <f t="shared" si="0"/>
        <v>WARLEY RIBEIRO / EUDES FERNANDES</v>
      </c>
    </row>
    <row r="65" spans="1:14" x14ac:dyDescent="0.3">
      <c r="A65" s="1">
        <v>705158</v>
      </c>
      <c r="B65" s="1" t="s">
        <v>1154</v>
      </c>
      <c r="C65" s="5" t="s">
        <v>15</v>
      </c>
      <c r="D65" s="2">
        <v>45720</v>
      </c>
      <c r="E65" s="1" t="s">
        <v>282</v>
      </c>
      <c r="F65" s="1">
        <v>32101</v>
      </c>
      <c r="G65" s="1" t="s">
        <v>23</v>
      </c>
      <c r="H65" s="1" t="s">
        <v>18</v>
      </c>
      <c r="J65" s="1" t="s">
        <v>24</v>
      </c>
      <c r="K65" s="1" t="s">
        <v>25</v>
      </c>
      <c r="L65" s="1" t="s">
        <v>1369</v>
      </c>
      <c r="M65" s="1" t="s">
        <v>1370</v>
      </c>
      <c r="N65" s="1" t="str">
        <f t="shared" si="0"/>
        <v>JUNIO COSTA</v>
      </c>
    </row>
    <row r="66" spans="1:14" x14ac:dyDescent="0.3">
      <c r="A66" s="1">
        <v>701822</v>
      </c>
      <c r="B66" s="1" t="s">
        <v>150</v>
      </c>
      <c r="C66" s="5" t="s">
        <v>15</v>
      </c>
      <c r="D66" s="2">
        <v>44088</v>
      </c>
      <c r="E66" s="1" t="s">
        <v>127</v>
      </c>
      <c r="F66" s="1">
        <v>22102</v>
      </c>
      <c r="G66" s="1" t="s">
        <v>68</v>
      </c>
      <c r="H66" s="1" t="s">
        <v>18</v>
      </c>
      <c r="J66" s="1" t="s">
        <v>94</v>
      </c>
      <c r="K66" s="1" t="s">
        <v>1371</v>
      </c>
      <c r="L66" s="1" t="s">
        <v>1378</v>
      </c>
      <c r="M66" s="1" t="s">
        <v>95</v>
      </c>
      <c r="N66" s="1" t="str">
        <f t="shared" si="0"/>
        <v>LUAN ABADIA</v>
      </c>
    </row>
    <row r="67" spans="1:14" x14ac:dyDescent="0.3">
      <c r="A67" s="1">
        <v>704879</v>
      </c>
      <c r="B67" s="1" t="s">
        <v>151</v>
      </c>
      <c r="C67" s="5" t="s">
        <v>92</v>
      </c>
      <c r="D67" s="2">
        <v>45586</v>
      </c>
      <c r="E67" s="1" t="s">
        <v>77</v>
      </c>
      <c r="F67" s="1">
        <v>38107</v>
      </c>
      <c r="G67" s="1" t="s">
        <v>1503</v>
      </c>
      <c r="H67" s="1" t="s">
        <v>18</v>
      </c>
      <c r="I67" s="2">
        <v>46092</v>
      </c>
      <c r="J67" s="1" t="s">
        <v>78</v>
      </c>
      <c r="K67" s="1" t="s">
        <v>1372</v>
      </c>
      <c r="N67" s="1" t="str">
        <f t="shared" ref="N67:N130" si="1">IF(M67&lt;&gt;"", M67, IF(L67&lt;&gt;"", L67, K67))</f>
        <v xml:space="preserve">LEIDJANE MARTINS </v>
      </c>
    </row>
    <row r="68" spans="1:14" x14ac:dyDescent="0.3">
      <c r="A68" s="1">
        <v>704115</v>
      </c>
      <c r="B68" s="1" t="s">
        <v>155</v>
      </c>
      <c r="C68" s="5" t="s">
        <v>15</v>
      </c>
      <c r="D68" s="2">
        <v>45224</v>
      </c>
      <c r="E68" s="1" t="s">
        <v>156</v>
      </c>
      <c r="F68" s="1">
        <v>38101</v>
      </c>
      <c r="G68" s="1" t="s">
        <v>35</v>
      </c>
      <c r="H68" s="1" t="s">
        <v>18</v>
      </c>
      <c r="J68" s="1" t="s">
        <v>36</v>
      </c>
      <c r="K68" s="1" t="s">
        <v>1372</v>
      </c>
      <c r="L68" s="1" t="s">
        <v>1373</v>
      </c>
      <c r="M68" s="1" t="s">
        <v>1373</v>
      </c>
      <c r="N68" s="1" t="str">
        <f t="shared" si="1"/>
        <v>DENIS ACASSIO</v>
      </c>
    </row>
    <row r="69" spans="1:14" x14ac:dyDescent="0.3">
      <c r="A69" s="1">
        <v>705828</v>
      </c>
      <c r="B69" s="1" t="s">
        <v>1536</v>
      </c>
      <c r="C69" s="5" t="s">
        <v>15</v>
      </c>
      <c r="D69" s="2">
        <v>46063</v>
      </c>
      <c r="E69" s="1" t="s">
        <v>31</v>
      </c>
      <c r="F69" s="1">
        <v>51219</v>
      </c>
      <c r="G69" s="1" t="s">
        <v>61</v>
      </c>
      <c r="H69" s="1" t="s">
        <v>18</v>
      </c>
      <c r="J69" s="1" t="s">
        <v>19</v>
      </c>
      <c r="K69" s="1" t="s">
        <v>1368</v>
      </c>
      <c r="L69" s="1" t="s">
        <v>20</v>
      </c>
      <c r="M69" s="1" t="s">
        <v>1632</v>
      </c>
      <c r="N69" s="1" t="str">
        <f t="shared" si="1"/>
        <v>THIAGO MARCOS</v>
      </c>
    </row>
    <row r="70" spans="1:14" x14ac:dyDescent="0.3">
      <c r="A70" s="1">
        <v>700068</v>
      </c>
      <c r="B70" s="1" t="s">
        <v>157</v>
      </c>
      <c r="C70" s="5" t="s">
        <v>15</v>
      </c>
      <c r="D70" s="2">
        <v>40637</v>
      </c>
      <c r="E70" s="1" t="s">
        <v>158</v>
      </c>
      <c r="F70" s="1">
        <v>15101</v>
      </c>
      <c r="G70" s="1" t="s">
        <v>447</v>
      </c>
      <c r="H70" s="1" t="s">
        <v>18</v>
      </c>
      <c r="J70" s="1" t="s">
        <v>448</v>
      </c>
      <c r="K70" s="1" t="s">
        <v>449</v>
      </c>
      <c r="N70" s="1" t="str">
        <f t="shared" si="1"/>
        <v xml:space="preserve">RAFAEL VIRGENS </v>
      </c>
    </row>
    <row r="71" spans="1:14" x14ac:dyDescent="0.3">
      <c r="A71" s="1">
        <v>705904</v>
      </c>
      <c r="B71" s="1" t="s">
        <v>1603</v>
      </c>
      <c r="C71" s="5" t="s">
        <v>15</v>
      </c>
      <c r="D71" s="2">
        <v>46091</v>
      </c>
      <c r="E71" s="1" t="s">
        <v>31</v>
      </c>
      <c r="F71" s="1">
        <v>25201</v>
      </c>
      <c r="G71" s="1" t="s">
        <v>89</v>
      </c>
      <c r="H71" s="1" t="s">
        <v>18</v>
      </c>
      <c r="J71" s="1" t="s">
        <v>19</v>
      </c>
      <c r="K71" s="1" t="s">
        <v>1368</v>
      </c>
      <c r="L71" s="1" t="s">
        <v>20</v>
      </c>
      <c r="M71" s="1" t="s">
        <v>1632</v>
      </c>
      <c r="N71" s="1" t="str">
        <f t="shared" si="1"/>
        <v>THIAGO MARCOS</v>
      </c>
    </row>
    <row r="72" spans="1:14" x14ac:dyDescent="0.3">
      <c r="A72" s="1">
        <v>101079</v>
      </c>
      <c r="B72" s="1" t="s">
        <v>159</v>
      </c>
      <c r="C72" s="5" t="s">
        <v>15</v>
      </c>
      <c r="D72" s="2">
        <v>42667</v>
      </c>
      <c r="E72" s="1" t="s">
        <v>160</v>
      </c>
      <c r="F72" s="1">
        <v>32101</v>
      </c>
      <c r="G72" s="1" t="s">
        <v>23</v>
      </c>
      <c r="H72" s="1" t="s">
        <v>18</v>
      </c>
      <c r="J72" s="1" t="s">
        <v>24</v>
      </c>
      <c r="K72" s="1" t="s">
        <v>25</v>
      </c>
      <c r="L72" s="1" t="s">
        <v>1369</v>
      </c>
      <c r="M72" s="1" t="s">
        <v>1370</v>
      </c>
      <c r="N72" s="1" t="str">
        <f t="shared" si="1"/>
        <v>JUNIO COSTA</v>
      </c>
    </row>
    <row r="73" spans="1:14" x14ac:dyDescent="0.3">
      <c r="A73" s="1">
        <v>705100</v>
      </c>
      <c r="B73" s="1" t="s">
        <v>740</v>
      </c>
      <c r="C73" s="5" t="s">
        <v>15</v>
      </c>
      <c r="D73" s="2">
        <v>45670</v>
      </c>
      <c r="E73" s="1" t="s">
        <v>22</v>
      </c>
      <c r="F73" s="1">
        <v>34101</v>
      </c>
      <c r="G73" s="1" t="s">
        <v>43</v>
      </c>
      <c r="H73" s="1" t="s">
        <v>18</v>
      </c>
      <c r="J73" s="1" t="s">
        <v>237</v>
      </c>
      <c r="K73" s="1" t="s">
        <v>25</v>
      </c>
      <c r="L73" s="1" t="s">
        <v>1384</v>
      </c>
      <c r="N73" s="1" t="str">
        <f t="shared" si="1"/>
        <v xml:space="preserve">MARCOS VINICIUS </v>
      </c>
    </row>
    <row r="74" spans="1:14" x14ac:dyDescent="0.3">
      <c r="A74" s="1">
        <v>702683</v>
      </c>
      <c r="B74" s="1" t="s">
        <v>161</v>
      </c>
      <c r="C74" s="5" t="s">
        <v>15</v>
      </c>
      <c r="D74" s="2">
        <v>44517</v>
      </c>
      <c r="E74" s="1" t="s">
        <v>162</v>
      </c>
      <c r="F74" s="1">
        <v>32101</v>
      </c>
      <c r="G74" s="1" t="s">
        <v>23</v>
      </c>
      <c r="H74" s="1" t="s">
        <v>18</v>
      </c>
      <c r="J74" s="1" t="s">
        <v>24</v>
      </c>
      <c r="K74" s="1" t="s">
        <v>25</v>
      </c>
      <c r="L74" s="1" t="s">
        <v>1369</v>
      </c>
      <c r="M74" s="1" t="s">
        <v>1370</v>
      </c>
      <c r="N74" s="1" t="str">
        <f t="shared" si="1"/>
        <v>JUNIO COSTA</v>
      </c>
    </row>
    <row r="75" spans="1:14" x14ac:dyDescent="0.3">
      <c r="A75" s="1">
        <v>705754</v>
      </c>
      <c r="B75" s="1" t="s">
        <v>1477</v>
      </c>
      <c r="C75" s="5" t="s">
        <v>15</v>
      </c>
      <c r="D75" s="2">
        <v>45993</v>
      </c>
      <c r="E75" s="1" t="s">
        <v>31</v>
      </c>
      <c r="F75" s="1">
        <v>51219</v>
      </c>
      <c r="G75" s="1" t="s">
        <v>61</v>
      </c>
      <c r="H75" s="1" t="s">
        <v>18</v>
      </c>
      <c r="J75" s="1" t="s">
        <v>19</v>
      </c>
      <c r="K75" s="1" t="s">
        <v>1368</v>
      </c>
      <c r="L75" s="1" t="s">
        <v>20</v>
      </c>
      <c r="M75" s="1" t="s">
        <v>1632</v>
      </c>
      <c r="N75" s="1" t="str">
        <f t="shared" si="1"/>
        <v>THIAGO MARCOS</v>
      </c>
    </row>
    <row r="76" spans="1:14" x14ac:dyDescent="0.3">
      <c r="A76" s="1">
        <v>703848</v>
      </c>
      <c r="B76" s="1" t="s">
        <v>163</v>
      </c>
      <c r="C76" s="5" t="s">
        <v>15</v>
      </c>
      <c r="D76" s="2">
        <v>45054</v>
      </c>
      <c r="E76" s="1" t="s">
        <v>164</v>
      </c>
      <c r="F76" s="1">
        <v>39301</v>
      </c>
      <c r="G76" s="1" t="s">
        <v>73</v>
      </c>
      <c r="H76" s="1" t="s">
        <v>18</v>
      </c>
      <c r="J76" s="1" t="s">
        <v>74</v>
      </c>
      <c r="K76" s="1" t="s">
        <v>1371</v>
      </c>
      <c r="L76" s="1" t="s">
        <v>1376</v>
      </c>
      <c r="M76" s="1" t="s">
        <v>75</v>
      </c>
      <c r="N76" s="1" t="str">
        <f t="shared" si="1"/>
        <v>ISAC NONATO</v>
      </c>
    </row>
    <row r="77" spans="1:14" x14ac:dyDescent="0.3">
      <c r="A77" s="1">
        <v>702913</v>
      </c>
      <c r="B77" s="1" t="s">
        <v>165</v>
      </c>
      <c r="C77" s="5" t="s">
        <v>15</v>
      </c>
      <c r="D77" s="2">
        <v>44656</v>
      </c>
      <c r="E77" s="1" t="s">
        <v>166</v>
      </c>
      <c r="F77" s="1">
        <v>22102</v>
      </c>
      <c r="G77" s="1" t="s">
        <v>68</v>
      </c>
      <c r="H77" s="1" t="s">
        <v>18</v>
      </c>
      <c r="J77" s="1" t="s">
        <v>167</v>
      </c>
      <c r="K77" s="1" t="s">
        <v>1371</v>
      </c>
      <c r="L77" s="1" t="s">
        <v>1509</v>
      </c>
      <c r="M77" s="1" t="s">
        <v>1636</v>
      </c>
      <c r="N77" s="1" t="str">
        <f t="shared" si="1"/>
        <v>FABIANO DIAS</v>
      </c>
    </row>
    <row r="78" spans="1:14" x14ac:dyDescent="0.3">
      <c r="A78" s="1">
        <v>705919</v>
      </c>
      <c r="B78" s="1" t="s">
        <v>1604</v>
      </c>
      <c r="C78" s="5" t="s">
        <v>15</v>
      </c>
      <c r="D78" s="2">
        <v>46091</v>
      </c>
      <c r="E78" s="1" t="s">
        <v>31</v>
      </c>
      <c r="F78" s="1">
        <v>52104</v>
      </c>
      <c r="G78" s="1" t="s">
        <v>17</v>
      </c>
      <c r="H78" s="1" t="s">
        <v>18</v>
      </c>
      <c r="J78" s="1" t="s">
        <v>19</v>
      </c>
      <c r="K78" s="1" t="s">
        <v>1368</v>
      </c>
      <c r="L78" s="1" t="s">
        <v>20</v>
      </c>
      <c r="M78" s="1" t="s">
        <v>1632</v>
      </c>
      <c r="N78" s="1" t="str">
        <f t="shared" si="1"/>
        <v>THIAGO MARCOS</v>
      </c>
    </row>
    <row r="79" spans="1:14" x14ac:dyDescent="0.3">
      <c r="A79" s="1">
        <v>705088</v>
      </c>
      <c r="B79" s="1" t="s">
        <v>168</v>
      </c>
      <c r="C79" s="5" t="s">
        <v>15</v>
      </c>
      <c r="D79" s="2">
        <v>45670</v>
      </c>
      <c r="E79" s="1" t="s">
        <v>31</v>
      </c>
      <c r="F79" s="1">
        <v>52104</v>
      </c>
      <c r="G79" s="1" t="s">
        <v>17</v>
      </c>
      <c r="H79" s="1" t="s">
        <v>18</v>
      </c>
      <c r="J79" s="1" t="s">
        <v>19</v>
      </c>
      <c r="K79" s="1" t="s">
        <v>1368</v>
      </c>
      <c r="L79" s="1" t="s">
        <v>20</v>
      </c>
      <c r="M79" s="1" t="s">
        <v>1632</v>
      </c>
      <c r="N79" s="1" t="str">
        <f t="shared" si="1"/>
        <v>THIAGO MARCOS</v>
      </c>
    </row>
    <row r="80" spans="1:14" x14ac:dyDescent="0.3">
      <c r="A80" s="1">
        <v>702920</v>
      </c>
      <c r="B80" s="1" t="s">
        <v>169</v>
      </c>
      <c r="C80" s="5" t="s">
        <v>15</v>
      </c>
      <c r="D80" s="2">
        <v>44656</v>
      </c>
      <c r="E80" s="1" t="s">
        <v>121</v>
      </c>
      <c r="F80" s="1">
        <v>22102</v>
      </c>
      <c r="G80" s="1" t="s">
        <v>68</v>
      </c>
      <c r="H80" s="1" t="s">
        <v>18</v>
      </c>
      <c r="J80" s="1" t="s">
        <v>94</v>
      </c>
      <c r="K80" s="1" t="s">
        <v>1371</v>
      </c>
      <c r="L80" s="1" t="s">
        <v>1378</v>
      </c>
      <c r="M80" s="1" t="s">
        <v>95</v>
      </c>
      <c r="N80" s="1" t="str">
        <f t="shared" si="1"/>
        <v>LUAN ABADIA</v>
      </c>
    </row>
    <row r="81" spans="1:14" x14ac:dyDescent="0.3">
      <c r="A81" s="1">
        <v>705125</v>
      </c>
      <c r="B81" s="1" t="s">
        <v>1140</v>
      </c>
      <c r="C81" s="5" t="s">
        <v>15</v>
      </c>
      <c r="D81" s="2">
        <v>45698</v>
      </c>
      <c r="E81" s="1" t="s">
        <v>268</v>
      </c>
      <c r="F81" s="1">
        <v>33101</v>
      </c>
      <c r="G81" s="1" t="s">
        <v>186</v>
      </c>
      <c r="H81" s="1" t="s">
        <v>18</v>
      </c>
      <c r="J81" s="1" t="s">
        <v>44</v>
      </c>
      <c r="K81" s="1" t="s">
        <v>25</v>
      </c>
      <c r="L81" s="1" t="s">
        <v>1385</v>
      </c>
      <c r="N81" s="1" t="str">
        <f t="shared" si="1"/>
        <v>TALLES RYAN</v>
      </c>
    </row>
    <row r="82" spans="1:14" x14ac:dyDescent="0.3">
      <c r="A82" s="1">
        <v>701112</v>
      </c>
      <c r="B82" s="1" t="s">
        <v>170</v>
      </c>
      <c r="C82" s="5" t="s">
        <v>15</v>
      </c>
      <c r="D82" s="2">
        <v>43641</v>
      </c>
      <c r="E82" s="1" t="s">
        <v>80</v>
      </c>
      <c r="F82" s="1">
        <v>22102</v>
      </c>
      <c r="G82" s="1" t="s">
        <v>68</v>
      </c>
      <c r="H82" s="1" t="s">
        <v>18</v>
      </c>
      <c r="J82" s="1" t="s">
        <v>167</v>
      </c>
      <c r="K82" s="1" t="s">
        <v>1371</v>
      </c>
      <c r="L82" s="1" t="s">
        <v>1509</v>
      </c>
      <c r="M82" s="1" t="s">
        <v>1636</v>
      </c>
      <c r="N82" s="1" t="str">
        <f t="shared" si="1"/>
        <v>FABIANO DIAS</v>
      </c>
    </row>
    <row r="83" spans="1:14" x14ac:dyDescent="0.3">
      <c r="A83" s="1">
        <v>703544</v>
      </c>
      <c r="B83" s="1" t="s">
        <v>171</v>
      </c>
      <c r="C83" s="5" t="s">
        <v>15</v>
      </c>
      <c r="D83" s="2">
        <v>44935</v>
      </c>
      <c r="E83" s="1" t="s">
        <v>1312</v>
      </c>
      <c r="F83" s="1">
        <v>22101</v>
      </c>
      <c r="G83" s="1" t="s">
        <v>122</v>
      </c>
      <c r="H83" s="1" t="s">
        <v>18</v>
      </c>
      <c r="J83" s="1" t="s">
        <v>123</v>
      </c>
      <c r="K83" s="1" t="s">
        <v>124</v>
      </c>
      <c r="N83" s="1" t="str">
        <f t="shared" si="1"/>
        <v>MATHEUS FERNANDES</v>
      </c>
    </row>
    <row r="84" spans="1:14" x14ac:dyDescent="0.3">
      <c r="A84" s="1">
        <v>704415</v>
      </c>
      <c r="B84" s="1" t="s">
        <v>172</v>
      </c>
      <c r="C84" s="5" t="s">
        <v>15</v>
      </c>
      <c r="D84" s="2">
        <v>45391</v>
      </c>
      <c r="E84" s="1" t="s">
        <v>173</v>
      </c>
      <c r="F84" s="1">
        <v>32101</v>
      </c>
      <c r="G84" s="1" t="s">
        <v>23</v>
      </c>
      <c r="H84" s="1" t="s">
        <v>18</v>
      </c>
      <c r="J84" s="1" t="s">
        <v>24</v>
      </c>
      <c r="K84" s="1" t="s">
        <v>25</v>
      </c>
      <c r="L84" s="1" t="s">
        <v>1369</v>
      </c>
      <c r="M84" s="1" t="s">
        <v>1370</v>
      </c>
      <c r="N84" s="1" t="str">
        <f t="shared" si="1"/>
        <v>JUNIO COSTA</v>
      </c>
    </row>
    <row r="85" spans="1:14" x14ac:dyDescent="0.3">
      <c r="A85" s="1">
        <v>704774</v>
      </c>
      <c r="B85" s="1" t="s">
        <v>174</v>
      </c>
      <c r="C85" s="5" t="s">
        <v>15</v>
      </c>
      <c r="D85" s="2">
        <v>45552</v>
      </c>
      <c r="E85" s="1" t="s">
        <v>1346</v>
      </c>
      <c r="F85" s="1">
        <v>39201</v>
      </c>
      <c r="G85" s="1" t="s">
        <v>153</v>
      </c>
      <c r="H85" s="1" t="s">
        <v>18</v>
      </c>
      <c r="J85" s="1" t="s">
        <v>154</v>
      </c>
      <c r="K85" s="1" t="s">
        <v>50</v>
      </c>
      <c r="L85" s="1" t="s">
        <v>1382</v>
      </c>
      <c r="M85" s="1" t="s">
        <v>1382</v>
      </c>
      <c r="N85" s="1" t="str">
        <f t="shared" si="1"/>
        <v>ADENILTON RODRIGUES</v>
      </c>
    </row>
    <row r="86" spans="1:14" x14ac:dyDescent="0.3">
      <c r="A86" s="1">
        <v>702543</v>
      </c>
      <c r="B86" s="1" t="s">
        <v>176</v>
      </c>
      <c r="C86" s="5" t="s">
        <v>15</v>
      </c>
      <c r="D86" s="2">
        <v>44452</v>
      </c>
      <c r="E86" s="1" t="s">
        <v>111</v>
      </c>
      <c r="F86" s="1">
        <v>31104</v>
      </c>
      <c r="G86" s="1" t="s">
        <v>130</v>
      </c>
      <c r="H86" s="1" t="s">
        <v>18</v>
      </c>
      <c r="J86" s="1" t="s">
        <v>131</v>
      </c>
      <c r="K86" s="1" t="s">
        <v>1381</v>
      </c>
      <c r="N86" s="1" t="str">
        <f t="shared" si="1"/>
        <v>MARCOS OLIVEIRA</v>
      </c>
    </row>
    <row r="87" spans="1:14" x14ac:dyDescent="0.3">
      <c r="A87" s="1">
        <v>705513</v>
      </c>
      <c r="B87" s="1" t="s">
        <v>1289</v>
      </c>
      <c r="C87" s="5" t="s">
        <v>15</v>
      </c>
      <c r="D87" s="2">
        <v>45847</v>
      </c>
      <c r="E87" s="1" t="s">
        <v>91</v>
      </c>
      <c r="F87" s="1">
        <v>34201</v>
      </c>
      <c r="G87" s="1" t="s">
        <v>84</v>
      </c>
      <c r="H87" s="1" t="s">
        <v>18</v>
      </c>
      <c r="J87" s="1" t="s">
        <v>85</v>
      </c>
      <c r="K87" s="1" t="s">
        <v>1371</v>
      </c>
      <c r="L87" s="1" t="s">
        <v>1380</v>
      </c>
      <c r="M87" s="1" t="s">
        <v>1380</v>
      </c>
      <c r="N87" s="1" t="str">
        <f t="shared" si="1"/>
        <v xml:space="preserve">LEONARDO SANTOS </v>
      </c>
    </row>
    <row r="88" spans="1:14" x14ac:dyDescent="0.3">
      <c r="A88" s="1">
        <v>705695</v>
      </c>
      <c r="B88" s="1" t="s">
        <v>1444</v>
      </c>
      <c r="C88" s="5" t="s">
        <v>15</v>
      </c>
      <c r="D88" s="2">
        <v>45971</v>
      </c>
      <c r="E88" s="1" t="s">
        <v>1345</v>
      </c>
      <c r="F88" s="1">
        <v>32101</v>
      </c>
      <c r="G88" s="1" t="s">
        <v>23</v>
      </c>
      <c r="H88" s="1" t="s">
        <v>18</v>
      </c>
      <c r="J88" s="1" t="s">
        <v>24</v>
      </c>
      <c r="K88" s="1" t="s">
        <v>25</v>
      </c>
      <c r="L88" s="1" t="s">
        <v>1369</v>
      </c>
      <c r="M88" s="1" t="s">
        <v>1370</v>
      </c>
      <c r="N88" s="1" t="str">
        <f t="shared" si="1"/>
        <v>JUNIO COSTA</v>
      </c>
    </row>
    <row r="89" spans="1:14" x14ac:dyDescent="0.3">
      <c r="A89" s="1">
        <v>705044</v>
      </c>
      <c r="B89" s="1" t="s">
        <v>177</v>
      </c>
      <c r="C89" s="5" t="s">
        <v>15</v>
      </c>
      <c r="D89" s="2">
        <v>45636</v>
      </c>
      <c r="E89" s="1" t="s">
        <v>1347</v>
      </c>
      <c r="F89" s="1">
        <v>32101</v>
      </c>
      <c r="G89" s="1" t="s">
        <v>23</v>
      </c>
      <c r="H89" s="1" t="s">
        <v>18</v>
      </c>
      <c r="J89" s="1" t="s">
        <v>24</v>
      </c>
      <c r="K89" s="1" t="s">
        <v>25</v>
      </c>
      <c r="L89" s="1" t="s">
        <v>1369</v>
      </c>
      <c r="M89" s="1" t="s">
        <v>1370</v>
      </c>
      <c r="N89" s="1" t="str">
        <f t="shared" si="1"/>
        <v>JUNIO COSTA</v>
      </c>
    </row>
    <row r="90" spans="1:14" x14ac:dyDescent="0.3">
      <c r="A90" s="1">
        <v>703054</v>
      </c>
      <c r="B90" s="1" t="s">
        <v>178</v>
      </c>
      <c r="C90" s="5" t="s">
        <v>15</v>
      </c>
      <c r="D90" s="2">
        <v>44699</v>
      </c>
      <c r="E90" s="1" t="s">
        <v>179</v>
      </c>
      <c r="F90" s="1">
        <v>32101</v>
      </c>
      <c r="G90" s="1" t="s">
        <v>23</v>
      </c>
      <c r="H90" s="1" t="s">
        <v>18</v>
      </c>
      <c r="J90" s="1" t="s">
        <v>24</v>
      </c>
      <c r="K90" s="1" t="s">
        <v>25</v>
      </c>
      <c r="L90" s="1" t="s">
        <v>1369</v>
      </c>
      <c r="M90" s="1" t="s">
        <v>1370</v>
      </c>
      <c r="N90" s="1" t="str">
        <f t="shared" si="1"/>
        <v>JUNIO COSTA</v>
      </c>
    </row>
    <row r="91" spans="1:14" x14ac:dyDescent="0.3">
      <c r="A91" s="1">
        <v>702900</v>
      </c>
      <c r="B91" s="1" t="s">
        <v>180</v>
      </c>
      <c r="C91" s="5" t="s">
        <v>15</v>
      </c>
      <c r="D91" s="2">
        <v>44642</v>
      </c>
      <c r="E91" s="1" t="s">
        <v>83</v>
      </c>
      <c r="F91" s="1">
        <v>34201</v>
      </c>
      <c r="G91" s="1" t="s">
        <v>84</v>
      </c>
      <c r="H91" s="1" t="s">
        <v>18</v>
      </c>
      <c r="J91" s="1" t="s">
        <v>85</v>
      </c>
      <c r="K91" s="1" t="s">
        <v>1371</v>
      </c>
      <c r="L91" s="1" t="s">
        <v>1380</v>
      </c>
      <c r="M91" s="1" t="s">
        <v>1380</v>
      </c>
      <c r="N91" s="1" t="str">
        <f t="shared" si="1"/>
        <v xml:space="preserve">LEONARDO SANTOS </v>
      </c>
    </row>
    <row r="92" spans="1:14" x14ac:dyDescent="0.3">
      <c r="A92" s="1">
        <v>703926</v>
      </c>
      <c r="B92" s="1" t="s">
        <v>181</v>
      </c>
      <c r="C92" s="5" t="s">
        <v>15</v>
      </c>
      <c r="D92" s="2">
        <v>45083</v>
      </c>
      <c r="E92" s="1" t="s">
        <v>16</v>
      </c>
      <c r="F92" s="1">
        <v>22102</v>
      </c>
      <c r="G92" s="1" t="s">
        <v>68</v>
      </c>
      <c r="H92" s="1" t="s">
        <v>18</v>
      </c>
      <c r="J92" s="1" t="s">
        <v>94</v>
      </c>
      <c r="K92" s="1" t="s">
        <v>1371</v>
      </c>
      <c r="L92" s="1" t="s">
        <v>1378</v>
      </c>
      <c r="M92" s="1" t="s">
        <v>95</v>
      </c>
      <c r="N92" s="1" t="str">
        <f t="shared" si="1"/>
        <v>LUAN ABADIA</v>
      </c>
    </row>
    <row r="93" spans="1:14" x14ac:dyDescent="0.3">
      <c r="A93" s="1">
        <v>705484</v>
      </c>
      <c r="B93" s="1" t="s">
        <v>1304</v>
      </c>
      <c r="C93" s="5" t="s">
        <v>15</v>
      </c>
      <c r="D93" s="2">
        <v>45839</v>
      </c>
      <c r="E93" s="1" t="s">
        <v>31</v>
      </c>
      <c r="F93" s="1">
        <v>22102</v>
      </c>
      <c r="G93" s="1" t="s">
        <v>68</v>
      </c>
      <c r="H93" s="1" t="s">
        <v>18</v>
      </c>
      <c r="J93" s="1" t="s">
        <v>81</v>
      </c>
      <c r="K93" s="1" t="s">
        <v>1371</v>
      </c>
      <c r="L93" s="1" t="s">
        <v>1509</v>
      </c>
      <c r="M93" s="1" t="s">
        <v>1379</v>
      </c>
      <c r="N93" s="1" t="str">
        <f t="shared" si="1"/>
        <v xml:space="preserve">EDSON/MARCELO LIMA </v>
      </c>
    </row>
    <row r="94" spans="1:14" x14ac:dyDescent="0.3">
      <c r="A94" s="1">
        <v>705121</v>
      </c>
      <c r="B94" s="1" t="s">
        <v>747</v>
      </c>
      <c r="C94" s="5" t="s">
        <v>15</v>
      </c>
      <c r="D94" s="2">
        <v>45678</v>
      </c>
      <c r="E94" s="1" t="s">
        <v>1086</v>
      </c>
      <c r="F94" s="1">
        <v>31104</v>
      </c>
      <c r="G94" s="1" t="s">
        <v>130</v>
      </c>
      <c r="H94" s="1" t="s">
        <v>18</v>
      </c>
      <c r="J94" s="1" t="s">
        <v>131</v>
      </c>
      <c r="K94" s="1" t="s">
        <v>1381</v>
      </c>
      <c r="N94" s="1" t="str">
        <f t="shared" si="1"/>
        <v>MARCOS OLIVEIRA</v>
      </c>
    </row>
    <row r="95" spans="1:14" x14ac:dyDescent="0.3">
      <c r="A95" s="1">
        <v>704701</v>
      </c>
      <c r="B95" s="1" t="s">
        <v>182</v>
      </c>
      <c r="C95" s="5" t="s">
        <v>15</v>
      </c>
      <c r="D95" s="2">
        <v>45509</v>
      </c>
      <c r="E95" s="1" t="s">
        <v>22</v>
      </c>
      <c r="F95" s="1">
        <v>34101</v>
      </c>
      <c r="G95" s="1" t="s">
        <v>43</v>
      </c>
      <c r="H95" s="1" t="s">
        <v>18</v>
      </c>
      <c r="J95" s="1" t="s">
        <v>65</v>
      </c>
      <c r="K95" s="1" t="s">
        <v>25</v>
      </c>
      <c r="L95" s="1" t="s">
        <v>1375</v>
      </c>
      <c r="N95" s="1" t="str">
        <f t="shared" si="1"/>
        <v>ANDRÉ CUBA</v>
      </c>
    </row>
    <row r="96" spans="1:14" x14ac:dyDescent="0.3">
      <c r="A96" s="1">
        <v>701723</v>
      </c>
      <c r="B96" s="1" t="s">
        <v>183</v>
      </c>
      <c r="C96" s="5" t="s">
        <v>15</v>
      </c>
      <c r="D96" s="2">
        <v>44025</v>
      </c>
      <c r="E96" s="1" t="s">
        <v>127</v>
      </c>
      <c r="F96" s="1">
        <v>22102</v>
      </c>
      <c r="G96" s="1" t="s">
        <v>68</v>
      </c>
      <c r="H96" s="1" t="s">
        <v>18</v>
      </c>
      <c r="J96" s="1" t="s">
        <v>94</v>
      </c>
      <c r="K96" s="1" t="s">
        <v>1371</v>
      </c>
      <c r="L96" s="1" t="s">
        <v>1378</v>
      </c>
      <c r="M96" s="1" t="s">
        <v>95</v>
      </c>
      <c r="N96" s="1" t="str">
        <f t="shared" si="1"/>
        <v>LUAN ABADIA</v>
      </c>
    </row>
    <row r="97" spans="1:14" x14ac:dyDescent="0.3">
      <c r="A97" s="1">
        <v>704917</v>
      </c>
      <c r="B97" s="1" t="s">
        <v>750</v>
      </c>
      <c r="C97" s="5" t="s">
        <v>15</v>
      </c>
      <c r="D97" s="2">
        <v>45601</v>
      </c>
      <c r="E97" s="1" t="s">
        <v>93</v>
      </c>
      <c r="F97" s="1">
        <v>22102</v>
      </c>
      <c r="G97" s="1" t="s">
        <v>68</v>
      </c>
      <c r="H97" s="1" t="s">
        <v>18</v>
      </c>
      <c r="J97" s="1" t="s">
        <v>94</v>
      </c>
      <c r="K97" s="1" t="s">
        <v>1371</v>
      </c>
      <c r="L97" s="1" t="s">
        <v>1378</v>
      </c>
      <c r="M97" s="1" t="s">
        <v>95</v>
      </c>
      <c r="N97" s="1" t="str">
        <f t="shared" si="1"/>
        <v>LUAN ABADIA</v>
      </c>
    </row>
    <row r="98" spans="1:14" x14ac:dyDescent="0.3">
      <c r="A98" s="1">
        <v>705756</v>
      </c>
      <c r="B98" s="1" t="s">
        <v>1478</v>
      </c>
      <c r="C98" s="5" t="s">
        <v>15</v>
      </c>
      <c r="D98" s="2">
        <v>45993</v>
      </c>
      <c r="E98" s="1" t="s">
        <v>31</v>
      </c>
      <c r="F98" s="1">
        <v>51219</v>
      </c>
      <c r="G98" s="1" t="s">
        <v>61</v>
      </c>
      <c r="H98" s="1" t="s">
        <v>18</v>
      </c>
      <c r="J98" s="1" t="s">
        <v>19</v>
      </c>
      <c r="K98" s="1" t="s">
        <v>1368</v>
      </c>
      <c r="L98" s="1" t="s">
        <v>20</v>
      </c>
      <c r="M98" s="1" t="s">
        <v>1632</v>
      </c>
      <c r="N98" s="1" t="str">
        <f t="shared" si="1"/>
        <v>THIAGO MARCOS</v>
      </c>
    </row>
    <row r="99" spans="1:14" x14ac:dyDescent="0.3">
      <c r="A99" s="1">
        <v>700218</v>
      </c>
      <c r="B99" s="1" t="s">
        <v>184</v>
      </c>
      <c r="C99" s="5" t="s">
        <v>15</v>
      </c>
      <c r="D99" s="2">
        <v>43255</v>
      </c>
      <c r="E99" s="1" t="s">
        <v>185</v>
      </c>
      <c r="F99" s="1">
        <v>33101</v>
      </c>
      <c r="G99" s="1" t="s">
        <v>186</v>
      </c>
      <c r="H99" s="1" t="s">
        <v>18</v>
      </c>
      <c r="J99" s="1" t="s">
        <v>44</v>
      </c>
      <c r="K99" s="1" t="s">
        <v>25</v>
      </c>
      <c r="L99" s="1" t="s">
        <v>1385</v>
      </c>
      <c r="N99" s="1" t="str">
        <f t="shared" si="1"/>
        <v>TALLES RYAN</v>
      </c>
    </row>
    <row r="100" spans="1:14" x14ac:dyDescent="0.3">
      <c r="A100" s="1">
        <v>705330</v>
      </c>
      <c r="B100" s="1" t="s">
        <v>1242</v>
      </c>
      <c r="C100" s="5" t="s">
        <v>15</v>
      </c>
      <c r="D100" s="2">
        <v>45784</v>
      </c>
      <c r="E100" s="1" t="s">
        <v>93</v>
      </c>
      <c r="F100" s="1">
        <v>34201</v>
      </c>
      <c r="G100" s="1" t="s">
        <v>84</v>
      </c>
      <c r="H100" s="1" t="s">
        <v>18</v>
      </c>
      <c r="J100" s="1" t="s">
        <v>94</v>
      </c>
      <c r="K100" s="1" t="s">
        <v>1371</v>
      </c>
      <c r="L100" s="1" t="s">
        <v>1378</v>
      </c>
      <c r="M100" s="1" t="s">
        <v>95</v>
      </c>
      <c r="N100" s="1" t="str">
        <f t="shared" si="1"/>
        <v>LUAN ABADIA</v>
      </c>
    </row>
    <row r="101" spans="1:14" x14ac:dyDescent="0.3">
      <c r="A101" s="1">
        <v>703535</v>
      </c>
      <c r="B101" s="1" t="s">
        <v>187</v>
      </c>
      <c r="C101" s="5" t="s">
        <v>15</v>
      </c>
      <c r="D101" s="2">
        <v>44907</v>
      </c>
      <c r="E101" s="1" t="s">
        <v>188</v>
      </c>
      <c r="F101" s="1">
        <v>22102</v>
      </c>
      <c r="G101" s="1" t="s">
        <v>68</v>
      </c>
      <c r="H101" s="1" t="s">
        <v>18</v>
      </c>
      <c r="J101" s="1" t="s">
        <v>94</v>
      </c>
      <c r="K101" s="1" t="s">
        <v>1371</v>
      </c>
      <c r="L101" s="1" t="s">
        <v>1378</v>
      </c>
      <c r="M101" s="1" t="s">
        <v>95</v>
      </c>
      <c r="N101" s="1" t="str">
        <f t="shared" si="1"/>
        <v>LUAN ABADIA</v>
      </c>
    </row>
    <row r="102" spans="1:14" x14ac:dyDescent="0.3">
      <c r="A102" s="1">
        <v>703492</v>
      </c>
      <c r="B102" s="1" t="s">
        <v>189</v>
      </c>
      <c r="C102" s="5" t="s">
        <v>15</v>
      </c>
      <c r="D102" s="2">
        <v>44887</v>
      </c>
      <c r="E102" s="1" t="s">
        <v>138</v>
      </c>
      <c r="F102" s="1">
        <v>22102</v>
      </c>
      <c r="G102" s="1" t="s">
        <v>68</v>
      </c>
      <c r="H102" s="1" t="s">
        <v>18</v>
      </c>
      <c r="J102" s="1" t="s">
        <v>69</v>
      </c>
      <c r="K102" s="1" t="s">
        <v>1371</v>
      </c>
      <c r="L102" s="1" t="s">
        <v>1378</v>
      </c>
      <c r="N102" s="1" t="str">
        <f t="shared" si="1"/>
        <v xml:space="preserve">JOÃO KOMURA </v>
      </c>
    </row>
    <row r="103" spans="1:14" x14ac:dyDescent="0.3">
      <c r="A103" s="1">
        <v>701012</v>
      </c>
      <c r="B103" s="1" t="s">
        <v>190</v>
      </c>
      <c r="C103" s="5" t="s">
        <v>15</v>
      </c>
      <c r="D103" s="2">
        <v>43598</v>
      </c>
      <c r="E103" s="1" t="s">
        <v>83</v>
      </c>
      <c r="F103" s="1">
        <v>34201</v>
      </c>
      <c r="G103" s="1" t="s">
        <v>84</v>
      </c>
      <c r="H103" s="1" t="s">
        <v>18</v>
      </c>
      <c r="J103" s="1" t="s">
        <v>85</v>
      </c>
      <c r="K103" s="1" t="s">
        <v>1371</v>
      </c>
      <c r="L103" s="1" t="s">
        <v>1380</v>
      </c>
      <c r="M103" s="1" t="s">
        <v>1380</v>
      </c>
      <c r="N103" s="1" t="str">
        <f t="shared" si="1"/>
        <v xml:space="preserve">LEONARDO SANTOS </v>
      </c>
    </row>
    <row r="104" spans="1:14" x14ac:dyDescent="0.3">
      <c r="A104" s="1">
        <v>703294</v>
      </c>
      <c r="B104" s="1" t="s">
        <v>191</v>
      </c>
      <c r="C104" s="5" t="s">
        <v>15</v>
      </c>
      <c r="D104" s="2">
        <v>44810</v>
      </c>
      <c r="E104" s="1" t="s">
        <v>80</v>
      </c>
      <c r="F104" s="1">
        <v>22102</v>
      </c>
      <c r="G104" s="1" t="s">
        <v>68</v>
      </c>
      <c r="H104" s="1" t="s">
        <v>18</v>
      </c>
      <c r="J104" s="1" t="s">
        <v>81</v>
      </c>
      <c r="K104" s="1" t="s">
        <v>1371</v>
      </c>
      <c r="L104" s="1" t="s">
        <v>1509</v>
      </c>
      <c r="M104" s="1" t="s">
        <v>1379</v>
      </c>
      <c r="N104" s="1" t="str">
        <f t="shared" si="1"/>
        <v xml:space="preserve">EDSON/MARCELO LIMA </v>
      </c>
    </row>
    <row r="105" spans="1:14" x14ac:dyDescent="0.3">
      <c r="A105" s="1">
        <v>705042</v>
      </c>
      <c r="B105" s="1" t="s">
        <v>192</v>
      </c>
      <c r="C105" s="5" t="s">
        <v>15</v>
      </c>
      <c r="D105" s="2">
        <v>45635</v>
      </c>
      <c r="E105" s="1" t="s">
        <v>31</v>
      </c>
      <c r="F105" s="1">
        <v>52104</v>
      </c>
      <c r="G105" s="1" t="s">
        <v>17</v>
      </c>
      <c r="H105" s="1" t="s">
        <v>18</v>
      </c>
      <c r="J105" s="1" t="s">
        <v>19</v>
      </c>
      <c r="K105" s="1" t="s">
        <v>1368</v>
      </c>
      <c r="L105" s="1" t="s">
        <v>20</v>
      </c>
      <c r="M105" s="1" t="s">
        <v>1632</v>
      </c>
      <c r="N105" s="1" t="str">
        <f t="shared" si="1"/>
        <v>THIAGO MARCOS</v>
      </c>
    </row>
    <row r="106" spans="1:14" x14ac:dyDescent="0.3">
      <c r="A106" s="1">
        <v>702160</v>
      </c>
      <c r="B106" s="1" t="s">
        <v>193</v>
      </c>
      <c r="C106" s="5" t="s">
        <v>15</v>
      </c>
      <c r="D106" s="2">
        <v>44299</v>
      </c>
      <c r="E106" s="1" t="s">
        <v>83</v>
      </c>
      <c r="F106" s="1">
        <v>34201</v>
      </c>
      <c r="G106" s="1" t="s">
        <v>84</v>
      </c>
      <c r="H106" s="1" t="s">
        <v>18</v>
      </c>
      <c r="J106" s="1" t="s">
        <v>85</v>
      </c>
      <c r="K106" s="1" t="s">
        <v>1371</v>
      </c>
      <c r="L106" s="1" t="s">
        <v>1380</v>
      </c>
      <c r="M106" s="1" t="s">
        <v>1380</v>
      </c>
      <c r="N106" s="1" t="str">
        <f t="shared" si="1"/>
        <v xml:space="preserve">LEONARDO SANTOS </v>
      </c>
    </row>
    <row r="107" spans="1:14" x14ac:dyDescent="0.3">
      <c r="A107" s="1">
        <v>704200</v>
      </c>
      <c r="B107" s="1" t="s">
        <v>194</v>
      </c>
      <c r="C107" s="5" t="s">
        <v>15</v>
      </c>
      <c r="D107" s="2">
        <v>45300</v>
      </c>
      <c r="E107" s="1" t="s">
        <v>138</v>
      </c>
      <c r="F107" s="1">
        <v>22102</v>
      </c>
      <c r="G107" s="1" t="s">
        <v>68</v>
      </c>
      <c r="H107" s="1" t="s">
        <v>18</v>
      </c>
      <c r="J107" s="1" t="s">
        <v>81</v>
      </c>
      <c r="K107" s="1" t="s">
        <v>1371</v>
      </c>
      <c r="L107" s="1" t="s">
        <v>1509</v>
      </c>
      <c r="M107" s="1" t="s">
        <v>1379</v>
      </c>
      <c r="N107" s="1" t="str">
        <f t="shared" si="1"/>
        <v xml:space="preserve">EDSON/MARCELO LIMA </v>
      </c>
    </row>
    <row r="108" spans="1:14" x14ac:dyDescent="0.3">
      <c r="A108" s="1">
        <v>703636</v>
      </c>
      <c r="B108" s="1" t="s">
        <v>757</v>
      </c>
      <c r="C108" s="5" t="s">
        <v>15</v>
      </c>
      <c r="D108" s="2">
        <v>44998</v>
      </c>
      <c r="E108" s="1" t="s">
        <v>152</v>
      </c>
      <c r="F108" s="1">
        <v>39201</v>
      </c>
      <c r="G108" s="1" t="s">
        <v>153</v>
      </c>
      <c r="H108" s="1" t="s">
        <v>18</v>
      </c>
      <c r="J108" s="1" t="s">
        <v>154</v>
      </c>
      <c r="K108" s="1" t="s">
        <v>50</v>
      </c>
      <c r="L108" s="1" t="s">
        <v>1382</v>
      </c>
      <c r="M108" s="1" t="s">
        <v>1382</v>
      </c>
      <c r="N108" s="1" t="str">
        <f t="shared" si="1"/>
        <v>ADENILTON RODRIGUES</v>
      </c>
    </row>
    <row r="109" spans="1:14" x14ac:dyDescent="0.3">
      <c r="A109" s="1">
        <v>705463</v>
      </c>
      <c r="B109" s="1" t="s">
        <v>1274</v>
      </c>
      <c r="C109" s="5" t="s">
        <v>15</v>
      </c>
      <c r="D109" s="2">
        <v>45812</v>
      </c>
      <c r="E109" s="1" t="s">
        <v>31</v>
      </c>
      <c r="F109" s="1">
        <v>51219</v>
      </c>
      <c r="G109" s="1" t="s">
        <v>61</v>
      </c>
      <c r="H109" s="1" t="s">
        <v>18</v>
      </c>
      <c r="J109" s="1" t="s">
        <v>19</v>
      </c>
      <c r="K109" s="1" t="s">
        <v>1368</v>
      </c>
      <c r="L109" s="1" t="s">
        <v>20</v>
      </c>
      <c r="M109" s="1" t="s">
        <v>1632</v>
      </c>
      <c r="N109" s="1" t="str">
        <f t="shared" si="1"/>
        <v>THIAGO MARCOS</v>
      </c>
    </row>
    <row r="110" spans="1:14" x14ac:dyDescent="0.3">
      <c r="A110" s="1">
        <v>701946</v>
      </c>
      <c r="B110" s="1" t="s">
        <v>198</v>
      </c>
      <c r="C110" s="5" t="s">
        <v>15</v>
      </c>
      <c r="D110" s="2">
        <v>44151</v>
      </c>
      <c r="E110" s="1" t="s">
        <v>457</v>
      </c>
      <c r="F110" s="1">
        <v>22102</v>
      </c>
      <c r="G110" s="1" t="s">
        <v>68</v>
      </c>
      <c r="H110" s="1" t="s">
        <v>18</v>
      </c>
      <c r="J110" s="1" t="s">
        <v>142</v>
      </c>
      <c r="K110" s="1" t="s">
        <v>1371</v>
      </c>
      <c r="L110" s="1" t="s">
        <v>1509</v>
      </c>
      <c r="M110" s="1" t="s">
        <v>1633</v>
      </c>
      <c r="N110" s="1" t="str">
        <f t="shared" si="1"/>
        <v>CRISTIANO BARBOSA</v>
      </c>
    </row>
    <row r="111" spans="1:14" x14ac:dyDescent="0.3">
      <c r="A111" s="1">
        <v>704794</v>
      </c>
      <c r="B111" s="1" t="s">
        <v>200</v>
      </c>
      <c r="C111" s="5" t="s">
        <v>15</v>
      </c>
      <c r="D111" s="2">
        <v>45566</v>
      </c>
      <c r="E111" s="1" t="s">
        <v>336</v>
      </c>
      <c r="F111" s="1">
        <v>52104</v>
      </c>
      <c r="G111" s="1" t="s">
        <v>17</v>
      </c>
      <c r="H111" s="1" t="s">
        <v>18</v>
      </c>
      <c r="J111" s="1" t="s">
        <v>19</v>
      </c>
      <c r="K111" s="1" t="s">
        <v>1368</v>
      </c>
      <c r="L111" s="1" t="s">
        <v>20</v>
      </c>
      <c r="M111" s="1" t="s">
        <v>1632</v>
      </c>
      <c r="N111" s="1" t="str">
        <f t="shared" si="1"/>
        <v>THIAGO MARCOS</v>
      </c>
    </row>
    <row r="112" spans="1:14" x14ac:dyDescent="0.3">
      <c r="A112" s="1">
        <v>703935</v>
      </c>
      <c r="B112" s="1" t="s">
        <v>201</v>
      </c>
      <c r="C112" s="5" t="s">
        <v>15</v>
      </c>
      <c r="D112" s="2">
        <v>45089</v>
      </c>
      <c r="E112" s="1" t="s">
        <v>31</v>
      </c>
      <c r="F112" s="1">
        <v>51219</v>
      </c>
      <c r="G112" s="1" t="s">
        <v>61</v>
      </c>
      <c r="H112" s="1" t="s">
        <v>18</v>
      </c>
      <c r="J112" s="1" t="s">
        <v>19</v>
      </c>
      <c r="K112" s="1" t="s">
        <v>1368</v>
      </c>
      <c r="L112" s="1" t="s">
        <v>20</v>
      </c>
      <c r="M112" s="1" t="s">
        <v>1632</v>
      </c>
      <c r="N112" s="1" t="str">
        <f t="shared" si="1"/>
        <v>THIAGO MARCOS</v>
      </c>
    </row>
    <row r="113" spans="1:14" x14ac:dyDescent="0.3">
      <c r="A113" s="1">
        <v>705888</v>
      </c>
      <c r="B113" s="1" t="s">
        <v>1537</v>
      </c>
      <c r="C113" s="5" t="s">
        <v>15</v>
      </c>
      <c r="D113" s="2">
        <v>46063</v>
      </c>
      <c r="E113" s="1" t="s">
        <v>31</v>
      </c>
      <c r="F113" s="1">
        <v>51219</v>
      </c>
      <c r="G113" s="1" t="s">
        <v>61</v>
      </c>
      <c r="H113" s="1" t="s">
        <v>18</v>
      </c>
      <c r="J113" s="1" t="s">
        <v>19</v>
      </c>
      <c r="K113" s="1" t="s">
        <v>1368</v>
      </c>
      <c r="L113" s="1" t="s">
        <v>20</v>
      </c>
      <c r="M113" s="1" t="s">
        <v>1632</v>
      </c>
      <c r="N113" s="1" t="str">
        <f t="shared" si="1"/>
        <v>THIAGO MARCOS</v>
      </c>
    </row>
    <row r="114" spans="1:14" x14ac:dyDescent="0.3">
      <c r="A114" s="1">
        <v>705745</v>
      </c>
      <c r="B114" s="1" t="s">
        <v>202</v>
      </c>
      <c r="C114" s="5" t="s">
        <v>15</v>
      </c>
      <c r="D114" s="2">
        <v>45993</v>
      </c>
      <c r="E114" s="1" t="s">
        <v>31</v>
      </c>
      <c r="F114" s="1">
        <v>22102</v>
      </c>
      <c r="G114" s="1" t="s">
        <v>68</v>
      </c>
      <c r="H114" s="1" t="s">
        <v>18</v>
      </c>
      <c r="J114" s="1" t="s">
        <v>81</v>
      </c>
      <c r="K114" s="1" t="s">
        <v>1371</v>
      </c>
      <c r="L114" s="1" t="s">
        <v>1509</v>
      </c>
      <c r="M114" s="1" t="s">
        <v>1379</v>
      </c>
      <c r="N114" s="1" t="str">
        <f t="shared" si="1"/>
        <v xml:space="preserve">EDSON/MARCELO LIMA </v>
      </c>
    </row>
    <row r="115" spans="1:14" x14ac:dyDescent="0.3">
      <c r="A115" s="1">
        <v>705910</v>
      </c>
      <c r="B115" s="1" t="s">
        <v>1605</v>
      </c>
      <c r="C115" s="5" t="s">
        <v>15</v>
      </c>
      <c r="D115" s="2">
        <v>46091</v>
      </c>
      <c r="E115" s="1" t="s">
        <v>31</v>
      </c>
      <c r="F115" s="1">
        <v>52104</v>
      </c>
      <c r="G115" s="1" t="s">
        <v>17</v>
      </c>
      <c r="H115" s="1" t="s">
        <v>18</v>
      </c>
      <c r="J115" s="1" t="s">
        <v>19</v>
      </c>
      <c r="K115" s="1" t="s">
        <v>1368</v>
      </c>
      <c r="L115" s="1" t="s">
        <v>20</v>
      </c>
      <c r="M115" s="1" t="s">
        <v>1632</v>
      </c>
      <c r="N115" s="1" t="str">
        <f t="shared" si="1"/>
        <v>THIAGO MARCOS</v>
      </c>
    </row>
    <row r="116" spans="1:14" x14ac:dyDescent="0.3">
      <c r="A116" s="1">
        <v>704263</v>
      </c>
      <c r="B116" s="1" t="s">
        <v>203</v>
      </c>
      <c r="C116" s="5" t="s">
        <v>15</v>
      </c>
      <c r="D116" s="2">
        <v>45342</v>
      </c>
      <c r="E116" s="1" t="s">
        <v>138</v>
      </c>
      <c r="F116" s="1">
        <v>22102</v>
      </c>
      <c r="G116" s="1" t="s">
        <v>68</v>
      </c>
      <c r="H116" s="1" t="s">
        <v>18</v>
      </c>
      <c r="J116" s="1" t="s">
        <v>81</v>
      </c>
      <c r="K116" s="1" t="s">
        <v>1371</v>
      </c>
      <c r="L116" s="1" t="s">
        <v>1509</v>
      </c>
      <c r="M116" s="1" t="s">
        <v>1379</v>
      </c>
      <c r="N116" s="1" t="str">
        <f t="shared" si="1"/>
        <v xml:space="preserve">EDSON/MARCELO LIMA </v>
      </c>
    </row>
    <row r="117" spans="1:14" x14ac:dyDescent="0.3">
      <c r="A117" s="1">
        <v>705516</v>
      </c>
      <c r="B117" s="1" t="s">
        <v>1290</v>
      </c>
      <c r="C117" s="5" t="s">
        <v>15</v>
      </c>
      <c r="D117" s="2">
        <v>45847</v>
      </c>
      <c r="E117" s="1" t="s">
        <v>31</v>
      </c>
      <c r="F117" s="1">
        <v>22102</v>
      </c>
      <c r="G117" s="1" t="s">
        <v>68</v>
      </c>
      <c r="H117" s="1" t="s">
        <v>18</v>
      </c>
      <c r="J117" s="1" t="s">
        <v>142</v>
      </c>
      <c r="K117" s="1" t="s">
        <v>1371</v>
      </c>
      <c r="L117" s="1" t="s">
        <v>1509</v>
      </c>
      <c r="M117" s="1" t="s">
        <v>1633</v>
      </c>
      <c r="N117" s="1" t="str">
        <f t="shared" si="1"/>
        <v>CRISTIANO BARBOSA</v>
      </c>
    </row>
    <row r="118" spans="1:14" x14ac:dyDescent="0.3">
      <c r="A118" s="1">
        <v>705636</v>
      </c>
      <c r="B118" s="1" t="s">
        <v>1398</v>
      </c>
      <c r="C118" s="5" t="s">
        <v>15</v>
      </c>
      <c r="D118" s="2">
        <v>45937</v>
      </c>
      <c r="E118" s="1" t="s">
        <v>31</v>
      </c>
      <c r="F118" s="1">
        <v>51219</v>
      </c>
      <c r="G118" s="1" t="s">
        <v>61</v>
      </c>
      <c r="H118" s="1" t="s">
        <v>18</v>
      </c>
      <c r="J118" s="1" t="s">
        <v>19</v>
      </c>
      <c r="K118" s="1" t="s">
        <v>1368</v>
      </c>
      <c r="L118" s="1" t="s">
        <v>20</v>
      </c>
      <c r="M118" s="1" t="s">
        <v>1632</v>
      </c>
      <c r="N118" s="1" t="str">
        <f t="shared" si="1"/>
        <v>THIAGO MARCOS</v>
      </c>
    </row>
    <row r="119" spans="1:14" x14ac:dyDescent="0.3">
      <c r="A119" s="1">
        <v>702814</v>
      </c>
      <c r="B119" s="1" t="s">
        <v>204</v>
      </c>
      <c r="C119" s="5" t="s">
        <v>15</v>
      </c>
      <c r="D119" s="2">
        <v>44613</v>
      </c>
      <c r="E119" s="1" t="s">
        <v>138</v>
      </c>
      <c r="F119" s="1">
        <v>51219</v>
      </c>
      <c r="G119" s="1" t="s">
        <v>61</v>
      </c>
      <c r="H119" s="1" t="s">
        <v>18</v>
      </c>
      <c r="J119" s="1" t="s">
        <v>19</v>
      </c>
      <c r="K119" s="1" t="s">
        <v>1368</v>
      </c>
      <c r="L119" s="1" t="s">
        <v>20</v>
      </c>
      <c r="M119" s="1" t="s">
        <v>1632</v>
      </c>
      <c r="N119" s="1" t="str">
        <f t="shared" si="1"/>
        <v>THIAGO MARCOS</v>
      </c>
    </row>
    <row r="120" spans="1:14" x14ac:dyDescent="0.3">
      <c r="A120" s="1">
        <v>704371</v>
      </c>
      <c r="B120" s="1" t="s">
        <v>768</v>
      </c>
      <c r="C120" s="5" t="s">
        <v>15</v>
      </c>
      <c r="D120" s="2">
        <v>45384</v>
      </c>
      <c r="E120" s="1" t="s">
        <v>16</v>
      </c>
      <c r="F120" s="1">
        <v>38101</v>
      </c>
      <c r="G120" s="1" t="s">
        <v>35</v>
      </c>
      <c r="H120" s="1" t="s">
        <v>18</v>
      </c>
      <c r="J120" s="1" t="s">
        <v>36</v>
      </c>
      <c r="K120" s="1" t="s">
        <v>1372</v>
      </c>
      <c r="L120" s="1" t="s">
        <v>1373</v>
      </c>
      <c r="M120" s="1" t="s">
        <v>1373</v>
      </c>
      <c r="N120" s="1" t="str">
        <f t="shared" si="1"/>
        <v>DENIS ACASSIO</v>
      </c>
    </row>
    <row r="121" spans="1:14" x14ac:dyDescent="0.3">
      <c r="A121" s="1">
        <v>705380</v>
      </c>
      <c r="B121" s="1" t="s">
        <v>1213</v>
      </c>
      <c r="C121" s="5" t="s">
        <v>15</v>
      </c>
      <c r="D121" s="2">
        <v>45784</v>
      </c>
      <c r="E121" s="1" t="s">
        <v>286</v>
      </c>
      <c r="F121" s="1">
        <v>32101</v>
      </c>
      <c r="G121" s="1" t="s">
        <v>23</v>
      </c>
      <c r="H121" s="1" t="s">
        <v>18</v>
      </c>
      <c r="I121" s="2"/>
      <c r="J121" s="1" t="s">
        <v>24</v>
      </c>
      <c r="K121" s="1" t="s">
        <v>25</v>
      </c>
      <c r="L121" s="1" t="s">
        <v>1369</v>
      </c>
      <c r="M121" s="1" t="s">
        <v>1370</v>
      </c>
      <c r="N121" s="1" t="str">
        <f t="shared" si="1"/>
        <v>JUNIO COSTA</v>
      </c>
    </row>
    <row r="122" spans="1:14" x14ac:dyDescent="0.3">
      <c r="A122" s="1">
        <v>705497</v>
      </c>
      <c r="B122" s="1" t="s">
        <v>1292</v>
      </c>
      <c r="C122" s="5" t="s">
        <v>15</v>
      </c>
      <c r="D122" s="2">
        <v>45839</v>
      </c>
      <c r="E122" s="1" t="s">
        <v>31</v>
      </c>
      <c r="F122" s="1">
        <v>25201</v>
      </c>
      <c r="G122" s="1" t="s">
        <v>89</v>
      </c>
      <c r="H122" s="1" t="s">
        <v>18</v>
      </c>
      <c r="J122" s="1" t="s">
        <v>19</v>
      </c>
      <c r="K122" s="1" t="s">
        <v>1368</v>
      </c>
      <c r="L122" s="1" t="s">
        <v>20</v>
      </c>
      <c r="M122" s="1" t="s">
        <v>1632</v>
      </c>
      <c r="N122" s="1" t="str">
        <f t="shared" si="1"/>
        <v>THIAGO MARCOS</v>
      </c>
    </row>
    <row r="123" spans="1:14" x14ac:dyDescent="0.3">
      <c r="A123" s="1">
        <v>100791</v>
      </c>
      <c r="B123" s="1" t="s">
        <v>205</v>
      </c>
      <c r="C123" s="5" t="s">
        <v>15</v>
      </c>
      <c r="D123" s="2">
        <v>42261</v>
      </c>
      <c r="E123" s="1" t="s">
        <v>206</v>
      </c>
      <c r="F123" s="1">
        <v>38101</v>
      </c>
      <c r="G123" s="1" t="s">
        <v>35</v>
      </c>
      <c r="H123" s="1" t="s">
        <v>18</v>
      </c>
      <c r="J123" s="1" t="s">
        <v>36</v>
      </c>
      <c r="K123" s="1" t="s">
        <v>1372</v>
      </c>
      <c r="L123" s="1" t="s">
        <v>1373</v>
      </c>
      <c r="M123" s="1" t="s">
        <v>1373</v>
      </c>
      <c r="N123" s="1" t="str">
        <f t="shared" si="1"/>
        <v>DENIS ACASSIO</v>
      </c>
    </row>
    <row r="124" spans="1:14" x14ac:dyDescent="0.3">
      <c r="A124" s="1">
        <v>705799</v>
      </c>
      <c r="B124" s="1" t="s">
        <v>1515</v>
      </c>
      <c r="C124" s="5" t="s">
        <v>15</v>
      </c>
      <c r="D124" s="2">
        <v>46029</v>
      </c>
      <c r="E124" s="1" t="s">
        <v>31</v>
      </c>
      <c r="F124" s="1">
        <v>52202</v>
      </c>
      <c r="G124" s="1" t="s">
        <v>32</v>
      </c>
      <c r="H124" s="1" t="s">
        <v>18</v>
      </c>
      <c r="J124" s="1" t="s">
        <v>33</v>
      </c>
      <c r="K124" s="1" t="s">
        <v>1368</v>
      </c>
      <c r="L124" s="1" t="s">
        <v>20</v>
      </c>
      <c r="M124" s="1" t="s">
        <v>1634</v>
      </c>
      <c r="N124" s="1" t="str">
        <f t="shared" si="1"/>
        <v>IRON SANTOS</v>
      </c>
    </row>
    <row r="125" spans="1:14" x14ac:dyDescent="0.3">
      <c r="A125" s="1">
        <v>702668</v>
      </c>
      <c r="B125" s="1" t="s">
        <v>207</v>
      </c>
      <c r="C125" s="5" t="s">
        <v>15</v>
      </c>
      <c r="D125" s="2">
        <v>44510</v>
      </c>
      <c r="E125" s="1" t="s">
        <v>208</v>
      </c>
      <c r="F125" s="1">
        <v>38101</v>
      </c>
      <c r="G125" s="1" t="s">
        <v>35</v>
      </c>
      <c r="H125" s="1" t="s">
        <v>18</v>
      </c>
      <c r="J125" s="1" t="s">
        <v>36</v>
      </c>
      <c r="K125" s="1" t="s">
        <v>1372</v>
      </c>
      <c r="L125" s="1" t="s">
        <v>1373</v>
      </c>
      <c r="M125" s="1" t="s">
        <v>1373</v>
      </c>
      <c r="N125" s="1" t="str">
        <f t="shared" si="1"/>
        <v>DENIS ACASSIO</v>
      </c>
    </row>
    <row r="126" spans="1:14" x14ac:dyDescent="0.3">
      <c r="A126" s="1">
        <v>705684</v>
      </c>
      <c r="B126" s="1" t="s">
        <v>1399</v>
      </c>
      <c r="C126" s="5" t="s">
        <v>15</v>
      </c>
      <c r="D126" s="2">
        <v>45944</v>
      </c>
      <c r="E126" s="1" t="s">
        <v>31</v>
      </c>
      <c r="F126" s="1">
        <v>51219</v>
      </c>
      <c r="G126" s="1" t="s">
        <v>61</v>
      </c>
      <c r="H126" s="1" t="s">
        <v>18</v>
      </c>
      <c r="J126" s="1" t="s">
        <v>29</v>
      </c>
      <c r="K126" s="1" t="s">
        <v>1368</v>
      </c>
      <c r="L126" s="1" t="s">
        <v>20</v>
      </c>
      <c r="M126" s="1" t="s">
        <v>1634</v>
      </c>
      <c r="N126" s="1" t="str">
        <f t="shared" si="1"/>
        <v>IRON SANTOS</v>
      </c>
    </row>
    <row r="127" spans="1:14" x14ac:dyDescent="0.3">
      <c r="A127" s="1">
        <v>702120</v>
      </c>
      <c r="B127" s="1" t="s">
        <v>209</v>
      </c>
      <c r="C127" s="5" t="s">
        <v>15</v>
      </c>
      <c r="D127" s="2">
        <v>44298</v>
      </c>
      <c r="E127" s="1" t="s">
        <v>138</v>
      </c>
      <c r="F127" s="1">
        <v>51219</v>
      </c>
      <c r="G127" s="1" t="s">
        <v>61</v>
      </c>
      <c r="H127" s="1" t="s">
        <v>18</v>
      </c>
      <c r="J127" s="1" t="s">
        <v>37</v>
      </c>
      <c r="K127" s="1" t="s">
        <v>1368</v>
      </c>
      <c r="L127" s="1" t="s">
        <v>20</v>
      </c>
      <c r="M127" s="1" t="s">
        <v>1634</v>
      </c>
      <c r="N127" s="1" t="str">
        <f t="shared" si="1"/>
        <v>IRON SANTOS</v>
      </c>
    </row>
    <row r="128" spans="1:14" x14ac:dyDescent="0.3">
      <c r="A128" s="1">
        <v>704665</v>
      </c>
      <c r="B128" s="1" t="s">
        <v>210</v>
      </c>
      <c r="C128" s="5" t="s">
        <v>15</v>
      </c>
      <c r="D128" s="2">
        <v>45482</v>
      </c>
      <c r="E128" s="1" t="s">
        <v>27</v>
      </c>
      <c r="F128" s="1">
        <v>39501</v>
      </c>
      <c r="G128" s="1" t="s">
        <v>28</v>
      </c>
      <c r="H128" s="1" t="s">
        <v>18</v>
      </c>
      <c r="J128" s="1" t="s">
        <v>29</v>
      </c>
      <c r="K128" s="1" t="s">
        <v>1368</v>
      </c>
      <c r="L128" s="1" t="s">
        <v>20</v>
      </c>
      <c r="M128" s="1" t="s">
        <v>1634</v>
      </c>
      <c r="N128" s="1" t="str">
        <f t="shared" si="1"/>
        <v>IRON SANTOS</v>
      </c>
    </row>
    <row r="129" spans="1:14" x14ac:dyDescent="0.3">
      <c r="A129" s="1">
        <v>702390</v>
      </c>
      <c r="B129" s="1" t="s">
        <v>211</v>
      </c>
      <c r="C129" s="5" t="s">
        <v>15</v>
      </c>
      <c r="D129" s="2">
        <v>44369</v>
      </c>
      <c r="E129" s="1" t="s">
        <v>166</v>
      </c>
      <c r="F129" s="1">
        <v>22102</v>
      </c>
      <c r="G129" s="1" t="s">
        <v>68</v>
      </c>
      <c r="H129" s="1" t="s">
        <v>18</v>
      </c>
      <c r="J129" s="1" t="s">
        <v>167</v>
      </c>
      <c r="K129" s="1" t="s">
        <v>1371</v>
      </c>
      <c r="L129" s="1" t="s">
        <v>1509</v>
      </c>
      <c r="M129" s="1" t="s">
        <v>1636</v>
      </c>
      <c r="N129" s="1" t="str">
        <f t="shared" si="1"/>
        <v>FABIANO DIAS</v>
      </c>
    </row>
    <row r="130" spans="1:14" x14ac:dyDescent="0.3">
      <c r="A130" s="1">
        <v>705061</v>
      </c>
      <c r="B130" s="1" t="s">
        <v>212</v>
      </c>
      <c r="C130" s="5" t="s">
        <v>92</v>
      </c>
      <c r="D130" s="2">
        <v>45664</v>
      </c>
      <c r="E130" s="1" t="s">
        <v>213</v>
      </c>
      <c r="F130" s="1">
        <v>41504</v>
      </c>
      <c r="G130" s="1" t="s">
        <v>1275</v>
      </c>
      <c r="H130" s="1" t="s">
        <v>18</v>
      </c>
      <c r="I130" s="2">
        <v>46083</v>
      </c>
      <c r="J130" s="1" t="s">
        <v>112</v>
      </c>
      <c r="K130" s="1" t="s">
        <v>1368</v>
      </c>
      <c r="N130" s="1" t="str">
        <f t="shared" si="1"/>
        <v>JOSÉ GOUVEA</v>
      </c>
    </row>
    <row r="131" spans="1:14" x14ac:dyDescent="0.3">
      <c r="A131" s="1">
        <v>101249</v>
      </c>
      <c r="B131" s="1" t="s">
        <v>218</v>
      </c>
      <c r="C131" s="5" t="s">
        <v>15</v>
      </c>
      <c r="D131" s="2">
        <v>42786</v>
      </c>
      <c r="E131" s="1" t="s">
        <v>219</v>
      </c>
      <c r="F131" s="1">
        <v>32101</v>
      </c>
      <c r="G131" s="1" t="s">
        <v>23</v>
      </c>
      <c r="H131" s="1" t="s">
        <v>18</v>
      </c>
      <c r="J131" s="1" t="s">
        <v>24</v>
      </c>
      <c r="K131" s="1" t="s">
        <v>25</v>
      </c>
      <c r="L131" s="1" t="s">
        <v>1369</v>
      </c>
      <c r="M131" s="1" t="s">
        <v>1370</v>
      </c>
      <c r="N131" s="1" t="str">
        <f t="shared" ref="N131:N194" si="2">IF(M131&lt;&gt;"", M131, IF(L131&lt;&gt;"", L131, K131))</f>
        <v>JUNIO COSTA</v>
      </c>
    </row>
    <row r="132" spans="1:14" x14ac:dyDescent="0.3">
      <c r="A132" s="1">
        <v>704754</v>
      </c>
      <c r="B132" s="1" t="s">
        <v>220</v>
      </c>
      <c r="C132" s="5" t="s">
        <v>15</v>
      </c>
      <c r="D132" s="2">
        <v>45545</v>
      </c>
      <c r="E132" s="1" t="s">
        <v>27</v>
      </c>
      <c r="F132" s="1">
        <v>39304</v>
      </c>
      <c r="G132" s="1" t="s">
        <v>56</v>
      </c>
      <c r="H132" s="1" t="s">
        <v>18</v>
      </c>
      <c r="J132" s="1" t="s">
        <v>57</v>
      </c>
      <c r="K132" s="1" t="s">
        <v>1371</v>
      </c>
      <c r="L132" s="1" t="s">
        <v>1376</v>
      </c>
      <c r="M132" s="1" t="s">
        <v>1635</v>
      </c>
      <c r="N132" s="1" t="str">
        <f t="shared" si="2"/>
        <v>WARLEY RIBEIRO / EUDES FERNANDES</v>
      </c>
    </row>
    <row r="133" spans="1:14" x14ac:dyDescent="0.3">
      <c r="A133" s="1">
        <v>100883</v>
      </c>
      <c r="B133" s="1" t="s">
        <v>221</v>
      </c>
      <c r="C133" s="5" t="s">
        <v>15</v>
      </c>
      <c r="D133" s="2">
        <v>42445</v>
      </c>
      <c r="E133" s="1" t="s">
        <v>16</v>
      </c>
      <c r="F133" s="1">
        <v>11101</v>
      </c>
      <c r="G133" s="1" t="s">
        <v>595</v>
      </c>
      <c r="H133" s="1" t="s">
        <v>18</v>
      </c>
      <c r="J133" s="1" t="s">
        <v>36</v>
      </c>
      <c r="K133" s="1" t="s">
        <v>1372</v>
      </c>
      <c r="L133" s="1" t="s">
        <v>1373</v>
      </c>
      <c r="M133" s="1" t="s">
        <v>1373</v>
      </c>
      <c r="N133" s="1" t="str">
        <f t="shared" si="2"/>
        <v>DENIS ACASSIO</v>
      </c>
    </row>
    <row r="134" spans="1:14" x14ac:dyDescent="0.3">
      <c r="A134" s="1">
        <v>702312</v>
      </c>
      <c r="B134" s="1" t="s">
        <v>223</v>
      </c>
      <c r="C134" s="5" t="s">
        <v>15</v>
      </c>
      <c r="D134" s="2">
        <v>44334</v>
      </c>
      <c r="E134" s="1" t="s">
        <v>185</v>
      </c>
      <c r="F134" s="1">
        <v>33101</v>
      </c>
      <c r="G134" s="1" t="s">
        <v>186</v>
      </c>
      <c r="H134" s="1" t="s">
        <v>18</v>
      </c>
      <c r="J134" s="1" t="s">
        <v>44</v>
      </c>
      <c r="K134" s="1" t="s">
        <v>25</v>
      </c>
      <c r="L134" s="1" t="s">
        <v>1385</v>
      </c>
      <c r="N134" s="1" t="str">
        <f t="shared" si="2"/>
        <v>TALLES RYAN</v>
      </c>
    </row>
    <row r="135" spans="1:14" x14ac:dyDescent="0.3">
      <c r="A135" s="1">
        <v>705897</v>
      </c>
      <c r="B135" s="1" t="s">
        <v>1606</v>
      </c>
      <c r="C135" s="5" t="s">
        <v>15</v>
      </c>
      <c r="D135" s="2">
        <v>46091</v>
      </c>
      <c r="E135" s="1" t="s">
        <v>146</v>
      </c>
      <c r="F135" s="1">
        <v>25201</v>
      </c>
      <c r="G135" s="1" t="s">
        <v>89</v>
      </c>
      <c r="H135" s="1" t="s">
        <v>18</v>
      </c>
      <c r="J135" s="1" t="s">
        <v>19</v>
      </c>
      <c r="K135" s="1" t="s">
        <v>1368</v>
      </c>
      <c r="L135" s="1" t="s">
        <v>20</v>
      </c>
      <c r="M135" s="1" t="s">
        <v>1632</v>
      </c>
      <c r="N135" s="1" t="str">
        <f t="shared" si="2"/>
        <v>THIAGO MARCOS</v>
      </c>
    </row>
    <row r="136" spans="1:14" x14ac:dyDescent="0.3">
      <c r="A136" s="1">
        <v>705535</v>
      </c>
      <c r="B136" s="1" t="s">
        <v>1293</v>
      </c>
      <c r="C136" s="5" t="s">
        <v>15</v>
      </c>
      <c r="D136" s="2">
        <v>45847</v>
      </c>
      <c r="E136" s="1" t="s">
        <v>91</v>
      </c>
      <c r="F136" s="1">
        <v>34201</v>
      </c>
      <c r="G136" s="1" t="s">
        <v>84</v>
      </c>
      <c r="H136" s="1" t="s">
        <v>18</v>
      </c>
      <c r="J136" s="1" t="s">
        <v>85</v>
      </c>
      <c r="K136" s="1" t="s">
        <v>1371</v>
      </c>
      <c r="L136" s="1" t="s">
        <v>1380</v>
      </c>
      <c r="M136" s="1" t="s">
        <v>1380</v>
      </c>
      <c r="N136" s="1" t="str">
        <f t="shared" si="2"/>
        <v xml:space="preserve">LEONARDO SANTOS </v>
      </c>
    </row>
    <row r="137" spans="1:14" x14ac:dyDescent="0.3">
      <c r="A137" s="1">
        <v>705827</v>
      </c>
      <c r="B137" s="1" t="s">
        <v>1538</v>
      </c>
      <c r="C137" s="5" t="s">
        <v>15</v>
      </c>
      <c r="D137" s="2">
        <v>46063</v>
      </c>
      <c r="E137" s="1" t="s">
        <v>109</v>
      </c>
      <c r="F137" s="1">
        <v>32101</v>
      </c>
      <c r="G137" s="1" t="s">
        <v>23</v>
      </c>
      <c r="H137" s="1" t="s">
        <v>18</v>
      </c>
      <c r="J137" s="1" t="s">
        <v>24</v>
      </c>
      <c r="K137" s="1" t="s">
        <v>25</v>
      </c>
      <c r="L137" s="1" t="s">
        <v>1369</v>
      </c>
      <c r="M137" s="1" t="s">
        <v>1370</v>
      </c>
      <c r="N137" s="1" t="str">
        <f t="shared" si="2"/>
        <v>JUNIO COSTA</v>
      </c>
    </row>
    <row r="138" spans="1:14" x14ac:dyDescent="0.3">
      <c r="A138" s="1">
        <v>101208</v>
      </c>
      <c r="B138" s="1" t="s">
        <v>224</v>
      </c>
      <c r="C138" s="5" t="s">
        <v>15</v>
      </c>
      <c r="D138" s="2">
        <v>42772</v>
      </c>
      <c r="E138" s="1" t="s">
        <v>105</v>
      </c>
      <c r="F138" s="1">
        <v>22102</v>
      </c>
      <c r="G138" s="1" t="s">
        <v>68</v>
      </c>
      <c r="H138" s="1" t="s">
        <v>18</v>
      </c>
      <c r="J138" s="1" t="s">
        <v>142</v>
      </c>
      <c r="K138" s="1" t="s">
        <v>1371</v>
      </c>
      <c r="L138" s="1" t="s">
        <v>1509</v>
      </c>
      <c r="M138" s="1" t="s">
        <v>1633</v>
      </c>
      <c r="N138" s="1" t="str">
        <f t="shared" si="2"/>
        <v>CRISTIANO BARBOSA</v>
      </c>
    </row>
    <row r="139" spans="1:14" x14ac:dyDescent="0.3">
      <c r="A139" s="1">
        <v>705623</v>
      </c>
      <c r="B139" s="1" t="s">
        <v>1400</v>
      </c>
      <c r="C139" s="5" t="s">
        <v>15</v>
      </c>
      <c r="D139" s="2">
        <v>45937</v>
      </c>
      <c r="E139" s="1" t="s">
        <v>152</v>
      </c>
      <c r="F139" s="1">
        <v>39201</v>
      </c>
      <c r="G139" s="1" t="s">
        <v>153</v>
      </c>
      <c r="H139" s="1" t="s">
        <v>18</v>
      </c>
      <c r="J139" s="1" t="s">
        <v>154</v>
      </c>
      <c r="K139" s="1" t="s">
        <v>50</v>
      </c>
      <c r="L139" s="1" t="s">
        <v>1382</v>
      </c>
      <c r="M139" s="1" t="s">
        <v>1382</v>
      </c>
      <c r="N139" s="1" t="str">
        <f t="shared" si="2"/>
        <v>ADENILTON RODRIGUES</v>
      </c>
    </row>
    <row r="140" spans="1:14" x14ac:dyDescent="0.3">
      <c r="A140" s="1">
        <v>705091</v>
      </c>
      <c r="B140" s="1" t="s">
        <v>225</v>
      </c>
      <c r="C140" s="5" t="s">
        <v>15</v>
      </c>
      <c r="D140" s="2">
        <v>45670</v>
      </c>
      <c r="E140" s="1" t="s">
        <v>175</v>
      </c>
      <c r="F140" s="1">
        <v>31102</v>
      </c>
      <c r="G140" s="1" t="s">
        <v>135</v>
      </c>
      <c r="H140" s="1" t="s">
        <v>18</v>
      </c>
      <c r="J140" s="1" t="s">
        <v>136</v>
      </c>
      <c r="K140" s="1" t="s">
        <v>50</v>
      </c>
      <c r="L140" s="1" t="s">
        <v>1382</v>
      </c>
      <c r="M140" s="1" t="s">
        <v>1382</v>
      </c>
      <c r="N140" s="1" t="str">
        <f t="shared" si="2"/>
        <v>ADENILTON RODRIGUES</v>
      </c>
    </row>
    <row r="141" spans="1:14" x14ac:dyDescent="0.3">
      <c r="A141" s="1">
        <v>702358</v>
      </c>
      <c r="B141" s="1" t="s">
        <v>226</v>
      </c>
      <c r="C141" s="5" t="s">
        <v>15</v>
      </c>
      <c r="D141" s="2">
        <v>44362</v>
      </c>
      <c r="E141" s="1" t="s">
        <v>105</v>
      </c>
      <c r="F141" s="1">
        <v>22102</v>
      </c>
      <c r="G141" s="1" t="s">
        <v>68</v>
      </c>
      <c r="H141" s="1" t="s">
        <v>18</v>
      </c>
      <c r="J141" s="1" t="s">
        <v>142</v>
      </c>
      <c r="K141" s="1" t="s">
        <v>1371</v>
      </c>
      <c r="L141" s="1" t="s">
        <v>1509</v>
      </c>
      <c r="M141" s="1" t="s">
        <v>1633</v>
      </c>
      <c r="N141" s="1" t="str">
        <f t="shared" si="2"/>
        <v>CRISTIANO BARBOSA</v>
      </c>
    </row>
    <row r="142" spans="1:14" x14ac:dyDescent="0.3">
      <c r="A142" s="1">
        <v>702689</v>
      </c>
      <c r="B142" s="1" t="s">
        <v>227</v>
      </c>
      <c r="C142" s="5" t="s">
        <v>15</v>
      </c>
      <c r="D142" s="2">
        <v>44522</v>
      </c>
      <c r="E142" s="1" t="s">
        <v>31</v>
      </c>
      <c r="F142" s="1">
        <v>39304</v>
      </c>
      <c r="G142" s="1" t="s">
        <v>56</v>
      </c>
      <c r="H142" s="1" t="s">
        <v>18</v>
      </c>
      <c r="J142" s="1" t="s">
        <v>57</v>
      </c>
      <c r="K142" s="1" t="s">
        <v>1371</v>
      </c>
      <c r="L142" s="1" t="s">
        <v>1376</v>
      </c>
      <c r="M142" s="1" t="s">
        <v>1635</v>
      </c>
      <c r="N142" s="1" t="str">
        <f t="shared" si="2"/>
        <v>WARLEY RIBEIRO / EUDES FERNANDES</v>
      </c>
    </row>
    <row r="143" spans="1:14" x14ac:dyDescent="0.3">
      <c r="A143" s="1">
        <v>703312</v>
      </c>
      <c r="B143" s="1" t="s">
        <v>228</v>
      </c>
      <c r="C143" s="5" t="s">
        <v>15</v>
      </c>
      <c r="D143" s="2">
        <v>44823</v>
      </c>
      <c r="E143" s="1" t="s">
        <v>83</v>
      </c>
      <c r="F143" s="1">
        <v>34201</v>
      </c>
      <c r="G143" s="1" t="s">
        <v>84</v>
      </c>
      <c r="H143" s="1" t="s">
        <v>18</v>
      </c>
      <c r="J143" s="1" t="s">
        <v>85</v>
      </c>
      <c r="K143" s="1" t="s">
        <v>1371</v>
      </c>
      <c r="L143" s="1" t="s">
        <v>1380</v>
      </c>
      <c r="M143" s="1" t="s">
        <v>1380</v>
      </c>
      <c r="N143" s="1" t="str">
        <f t="shared" si="2"/>
        <v xml:space="preserve">LEONARDO SANTOS </v>
      </c>
    </row>
    <row r="144" spans="1:14" x14ac:dyDescent="0.3">
      <c r="A144" s="1">
        <v>705759</v>
      </c>
      <c r="B144" s="1" t="s">
        <v>1479</v>
      </c>
      <c r="C144" s="5" t="s">
        <v>15</v>
      </c>
      <c r="D144" s="2">
        <v>45993</v>
      </c>
      <c r="E144" s="1" t="s">
        <v>31</v>
      </c>
      <c r="F144" s="1">
        <v>51219</v>
      </c>
      <c r="G144" s="1" t="s">
        <v>61</v>
      </c>
      <c r="H144" s="1" t="s">
        <v>18</v>
      </c>
      <c r="J144" s="1" t="s">
        <v>19</v>
      </c>
      <c r="K144" s="1" t="s">
        <v>1368</v>
      </c>
      <c r="L144" s="1" t="s">
        <v>20</v>
      </c>
      <c r="M144" s="1" t="s">
        <v>1632</v>
      </c>
      <c r="N144" s="1" t="str">
        <f t="shared" si="2"/>
        <v>THIAGO MARCOS</v>
      </c>
    </row>
    <row r="145" spans="1:14" x14ac:dyDescent="0.3">
      <c r="A145" s="1">
        <v>704445</v>
      </c>
      <c r="B145" s="1" t="s">
        <v>229</v>
      </c>
      <c r="C145" s="5" t="s">
        <v>15</v>
      </c>
      <c r="D145" s="2">
        <v>45419</v>
      </c>
      <c r="E145" s="1" t="s">
        <v>230</v>
      </c>
      <c r="F145" s="1">
        <v>38101</v>
      </c>
      <c r="G145" s="1" t="s">
        <v>35</v>
      </c>
      <c r="H145" s="1" t="s">
        <v>18</v>
      </c>
      <c r="J145" s="1" t="s">
        <v>36</v>
      </c>
      <c r="K145" s="1" t="s">
        <v>1372</v>
      </c>
      <c r="L145" s="1" t="s">
        <v>1373</v>
      </c>
      <c r="M145" s="1" t="s">
        <v>1373</v>
      </c>
      <c r="N145" s="1" t="str">
        <f t="shared" si="2"/>
        <v>DENIS ACASSIO</v>
      </c>
    </row>
    <row r="146" spans="1:14" x14ac:dyDescent="0.3">
      <c r="A146" s="1">
        <v>701776</v>
      </c>
      <c r="B146" s="1" t="s">
        <v>231</v>
      </c>
      <c r="C146" s="5" t="s">
        <v>15</v>
      </c>
      <c r="D146" s="2">
        <v>44060</v>
      </c>
      <c r="E146" s="1" t="s">
        <v>457</v>
      </c>
      <c r="F146" s="1">
        <v>22102</v>
      </c>
      <c r="G146" s="1" t="s">
        <v>68</v>
      </c>
      <c r="H146" s="1" t="s">
        <v>18</v>
      </c>
      <c r="J146" s="1" t="s">
        <v>142</v>
      </c>
      <c r="K146" s="1" t="s">
        <v>1371</v>
      </c>
      <c r="L146" s="1" t="s">
        <v>1509</v>
      </c>
      <c r="M146" s="1" t="s">
        <v>1633</v>
      </c>
      <c r="N146" s="1" t="str">
        <f t="shared" si="2"/>
        <v>CRISTIANO BARBOSA</v>
      </c>
    </row>
    <row r="147" spans="1:14" x14ac:dyDescent="0.3">
      <c r="A147" s="1">
        <v>701492</v>
      </c>
      <c r="B147" s="1" t="s">
        <v>232</v>
      </c>
      <c r="C147" s="5" t="s">
        <v>15</v>
      </c>
      <c r="D147" s="2">
        <v>43878</v>
      </c>
      <c r="E147" s="1" t="s">
        <v>138</v>
      </c>
      <c r="F147" s="1">
        <v>51219</v>
      </c>
      <c r="G147" s="1" t="s">
        <v>61</v>
      </c>
      <c r="H147" s="1" t="s">
        <v>18</v>
      </c>
      <c r="J147" s="1" t="s">
        <v>37</v>
      </c>
      <c r="K147" s="1" t="s">
        <v>1368</v>
      </c>
      <c r="L147" s="1" t="s">
        <v>20</v>
      </c>
      <c r="M147" s="1" t="s">
        <v>1634</v>
      </c>
      <c r="N147" s="1" t="str">
        <f t="shared" si="2"/>
        <v>IRON SANTOS</v>
      </c>
    </row>
    <row r="148" spans="1:14" x14ac:dyDescent="0.3">
      <c r="A148" s="1">
        <v>704693</v>
      </c>
      <c r="B148" s="1" t="s">
        <v>234</v>
      </c>
      <c r="C148" s="5" t="s">
        <v>15</v>
      </c>
      <c r="D148" s="2">
        <v>45510</v>
      </c>
      <c r="E148" s="1" t="s">
        <v>27</v>
      </c>
      <c r="F148" s="1">
        <v>39302</v>
      </c>
      <c r="G148" s="1" t="s">
        <v>102</v>
      </c>
      <c r="H148" s="1" t="s">
        <v>18</v>
      </c>
      <c r="J148" s="1" t="s">
        <v>57</v>
      </c>
      <c r="K148" s="1" t="s">
        <v>1371</v>
      </c>
      <c r="L148" s="1" t="s">
        <v>1376</v>
      </c>
      <c r="M148" s="1" t="s">
        <v>1635</v>
      </c>
      <c r="N148" s="1" t="str">
        <f t="shared" si="2"/>
        <v>WARLEY RIBEIRO / EUDES FERNANDES</v>
      </c>
    </row>
    <row r="149" spans="1:14" x14ac:dyDescent="0.3">
      <c r="A149" s="1">
        <v>101454</v>
      </c>
      <c r="B149" s="1" t="s">
        <v>235</v>
      </c>
      <c r="C149" s="5" t="s">
        <v>15</v>
      </c>
      <c r="D149" s="2">
        <v>42962</v>
      </c>
      <c r="E149" s="1" t="s">
        <v>199</v>
      </c>
      <c r="F149" s="1">
        <v>22102</v>
      </c>
      <c r="G149" s="1" t="s">
        <v>68</v>
      </c>
      <c r="H149" s="1" t="s">
        <v>18</v>
      </c>
      <c r="J149" s="1" t="s">
        <v>81</v>
      </c>
      <c r="K149" s="1" t="s">
        <v>1371</v>
      </c>
      <c r="L149" s="1" t="s">
        <v>1509</v>
      </c>
      <c r="M149" s="1" t="s">
        <v>1379</v>
      </c>
      <c r="N149" s="1" t="str">
        <f t="shared" si="2"/>
        <v xml:space="preserve">EDSON/MARCELO LIMA </v>
      </c>
    </row>
    <row r="150" spans="1:14" x14ac:dyDescent="0.3">
      <c r="A150" s="1">
        <v>1773</v>
      </c>
      <c r="B150" s="1" t="s">
        <v>236</v>
      </c>
      <c r="C150" s="5" t="s">
        <v>15</v>
      </c>
      <c r="D150" s="2">
        <v>40589</v>
      </c>
      <c r="E150" s="1" t="s">
        <v>1214</v>
      </c>
      <c r="F150" s="1">
        <v>34101</v>
      </c>
      <c r="G150" s="1" t="s">
        <v>43</v>
      </c>
      <c r="H150" s="1" t="s">
        <v>18</v>
      </c>
      <c r="J150" s="1" t="s">
        <v>237</v>
      </c>
      <c r="K150" s="1" t="s">
        <v>25</v>
      </c>
      <c r="L150" s="1" t="s">
        <v>1384</v>
      </c>
      <c r="N150" s="1" t="str">
        <f t="shared" si="2"/>
        <v xml:space="preserve">MARCOS VINICIUS </v>
      </c>
    </row>
    <row r="151" spans="1:14" x14ac:dyDescent="0.3">
      <c r="A151" s="1">
        <v>705186</v>
      </c>
      <c r="B151" s="1" t="s">
        <v>1155</v>
      </c>
      <c r="C151" s="5" t="s">
        <v>15</v>
      </c>
      <c r="D151" s="2">
        <v>45726</v>
      </c>
      <c r="E151" s="1" t="s">
        <v>138</v>
      </c>
      <c r="F151" s="1">
        <v>52104</v>
      </c>
      <c r="G151" s="1" t="s">
        <v>17</v>
      </c>
      <c r="H151" s="1" t="s">
        <v>18</v>
      </c>
      <c r="J151" s="1" t="s">
        <v>19</v>
      </c>
      <c r="K151" s="1" t="s">
        <v>1368</v>
      </c>
      <c r="L151" s="1" t="s">
        <v>20</v>
      </c>
      <c r="M151" s="1" t="s">
        <v>1632</v>
      </c>
      <c r="N151" s="1" t="str">
        <f t="shared" si="2"/>
        <v>THIAGO MARCOS</v>
      </c>
    </row>
    <row r="152" spans="1:14" x14ac:dyDescent="0.3">
      <c r="A152" s="1">
        <v>701469</v>
      </c>
      <c r="B152" s="1" t="s">
        <v>797</v>
      </c>
      <c r="C152" s="5" t="s">
        <v>15</v>
      </c>
      <c r="D152" s="2">
        <v>43795</v>
      </c>
      <c r="E152" s="1" t="s">
        <v>179</v>
      </c>
      <c r="F152" s="1">
        <v>32101</v>
      </c>
      <c r="G152" s="1" t="s">
        <v>23</v>
      </c>
      <c r="H152" s="1" t="s">
        <v>18</v>
      </c>
      <c r="J152" s="1" t="s">
        <v>24</v>
      </c>
      <c r="K152" s="1" t="s">
        <v>25</v>
      </c>
      <c r="L152" s="1" t="s">
        <v>1369</v>
      </c>
      <c r="M152" s="1" t="s">
        <v>1370</v>
      </c>
      <c r="N152" s="1" t="str">
        <f t="shared" si="2"/>
        <v>JUNIO COSTA</v>
      </c>
    </row>
    <row r="153" spans="1:14" x14ac:dyDescent="0.3">
      <c r="A153" s="1">
        <v>704386</v>
      </c>
      <c r="B153" s="1" t="s">
        <v>242</v>
      </c>
      <c r="C153" s="5" t="s">
        <v>15</v>
      </c>
      <c r="D153" s="2">
        <v>45390</v>
      </c>
      <c r="E153" s="1" t="s">
        <v>77</v>
      </c>
      <c r="F153" s="1">
        <v>38107</v>
      </c>
      <c r="G153" s="1" t="s">
        <v>1503</v>
      </c>
      <c r="H153" s="1" t="s">
        <v>18</v>
      </c>
      <c r="J153" s="1" t="s">
        <v>78</v>
      </c>
      <c r="K153" s="1" t="s">
        <v>1372</v>
      </c>
      <c r="N153" s="1" t="str">
        <f t="shared" si="2"/>
        <v xml:space="preserve">LEIDJANE MARTINS </v>
      </c>
    </row>
    <row r="154" spans="1:14" x14ac:dyDescent="0.3">
      <c r="A154" s="1">
        <v>705814</v>
      </c>
      <c r="B154" s="1" t="s">
        <v>1516</v>
      </c>
      <c r="C154" s="5" t="s">
        <v>15</v>
      </c>
      <c r="D154" s="2">
        <v>46035</v>
      </c>
      <c r="E154" s="1" t="s">
        <v>31</v>
      </c>
      <c r="F154" s="1">
        <v>51219</v>
      </c>
      <c r="G154" s="1" t="s">
        <v>61</v>
      </c>
      <c r="H154" s="1" t="s">
        <v>18</v>
      </c>
      <c r="J154" s="1" t="s">
        <v>19</v>
      </c>
      <c r="K154" s="1" t="s">
        <v>1368</v>
      </c>
      <c r="L154" s="1" t="s">
        <v>20</v>
      </c>
      <c r="M154" s="1" t="s">
        <v>1632</v>
      </c>
      <c r="N154" s="1" t="str">
        <f t="shared" si="2"/>
        <v>THIAGO MARCOS</v>
      </c>
    </row>
    <row r="155" spans="1:14" x14ac:dyDescent="0.3">
      <c r="A155" s="1">
        <v>704728</v>
      </c>
      <c r="B155" s="1" t="s">
        <v>803</v>
      </c>
      <c r="C155" s="5" t="s">
        <v>15</v>
      </c>
      <c r="D155" s="2">
        <v>45518</v>
      </c>
      <c r="E155" s="1" t="s">
        <v>93</v>
      </c>
      <c r="F155" s="1">
        <v>22102</v>
      </c>
      <c r="G155" s="1" t="s">
        <v>68</v>
      </c>
      <c r="H155" s="1" t="s">
        <v>18</v>
      </c>
      <c r="J155" s="1" t="s">
        <v>69</v>
      </c>
      <c r="K155" s="1" t="s">
        <v>1371</v>
      </c>
      <c r="L155" s="1" t="s">
        <v>1378</v>
      </c>
      <c r="N155" s="1" t="str">
        <f t="shared" si="2"/>
        <v xml:space="preserve">JOÃO KOMURA </v>
      </c>
    </row>
    <row r="156" spans="1:14" x14ac:dyDescent="0.3">
      <c r="A156" s="1">
        <v>702996</v>
      </c>
      <c r="B156" s="1" t="s">
        <v>243</v>
      </c>
      <c r="C156" s="5" t="s">
        <v>15</v>
      </c>
      <c r="D156" s="2">
        <v>44691</v>
      </c>
      <c r="E156" s="1" t="s">
        <v>230</v>
      </c>
      <c r="F156" s="1">
        <v>38101</v>
      </c>
      <c r="G156" s="1" t="s">
        <v>35</v>
      </c>
      <c r="H156" s="1" t="s">
        <v>18</v>
      </c>
      <c r="J156" s="1" t="s">
        <v>36</v>
      </c>
      <c r="K156" s="1" t="s">
        <v>1372</v>
      </c>
      <c r="L156" s="1" t="s">
        <v>1373</v>
      </c>
      <c r="M156" s="1" t="s">
        <v>1373</v>
      </c>
      <c r="N156" s="1" t="str">
        <f t="shared" si="2"/>
        <v>DENIS ACASSIO</v>
      </c>
    </row>
    <row r="157" spans="1:14" x14ac:dyDescent="0.3">
      <c r="A157" s="1">
        <v>705215</v>
      </c>
      <c r="B157" s="1" t="s">
        <v>1156</v>
      </c>
      <c r="C157" s="5" t="s">
        <v>92</v>
      </c>
      <c r="D157" s="2">
        <v>45734</v>
      </c>
      <c r="E157" s="1" t="s">
        <v>31</v>
      </c>
      <c r="F157" s="1">
        <v>51219</v>
      </c>
      <c r="G157" s="1" t="s">
        <v>61</v>
      </c>
      <c r="H157" s="1" t="s">
        <v>18</v>
      </c>
      <c r="I157" s="2">
        <v>46091</v>
      </c>
      <c r="J157" s="1" t="s">
        <v>19</v>
      </c>
      <c r="K157" s="1" t="s">
        <v>1368</v>
      </c>
      <c r="L157" s="1" t="s">
        <v>20</v>
      </c>
      <c r="M157" s="1" t="s">
        <v>1632</v>
      </c>
      <c r="N157" s="1" t="str">
        <f t="shared" si="2"/>
        <v>THIAGO MARCOS</v>
      </c>
    </row>
    <row r="158" spans="1:14" x14ac:dyDescent="0.3">
      <c r="A158" s="1">
        <v>702285</v>
      </c>
      <c r="B158" s="1" t="s">
        <v>244</v>
      </c>
      <c r="C158" s="5" t="s">
        <v>15</v>
      </c>
      <c r="D158" s="2">
        <v>44334</v>
      </c>
      <c r="E158" s="1" t="s">
        <v>245</v>
      </c>
      <c r="F158" s="1">
        <v>37101</v>
      </c>
      <c r="G158" s="1" t="s">
        <v>214</v>
      </c>
      <c r="H158" s="1" t="s">
        <v>18</v>
      </c>
      <c r="J158" s="1" t="s">
        <v>215</v>
      </c>
      <c r="K158" s="1" t="s">
        <v>216</v>
      </c>
      <c r="N158" s="1" t="str">
        <f t="shared" si="2"/>
        <v>CARSON NEVES</v>
      </c>
    </row>
    <row r="159" spans="1:14" x14ac:dyDescent="0.3">
      <c r="A159" s="1">
        <v>703619</v>
      </c>
      <c r="B159" s="1" t="s">
        <v>246</v>
      </c>
      <c r="C159" s="5" t="s">
        <v>233</v>
      </c>
      <c r="D159" s="2">
        <v>44991</v>
      </c>
      <c r="E159" s="1" t="s">
        <v>149</v>
      </c>
      <c r="F159" s="1">
        <v>39302</v>
      </c>
      <c r="G159" s="1" t="s">
        <v>102</v>
      </c>
      <c r="H159" s="1" t="s">
        <v>18</v>
      </c>
      <c r="J159" s="1" t="s">
        <v>57</v>
      </c>
      <c r="K159" s="1" t="s">
        <v>1371</v>
      </c>
      <c r="L159" s="1" t="s">
        <v>1376</v>
      </c>
      <c r="M159" s="1" t="s">
        <v>1635</v>
      </c>
      <c r="N159" s="1" t="str">
        <f t="shared" si="2"/>
        <v>WARLEY RIBEIRO / EUDES FERNANDES</v>
      </c>
    </row>
    <row r="160" spans="1:14" x14ac:dyDescent="0.3">
      <c r="A160" s="1">
        <v>705784</v>
      </c>
      <c r="B160" s="1" t="s">
        <v>1517</v>
      </c>
      <c r="C160" s="5" t="s">
        <v>15</v>
      </c>
      <c r="D160" s="2">
        <v>46035</v>
      </c>
      <c r="E160" s="1" t="s">
        <v>31</v>
      </c>
      <c r="F160" s="1">
        <v>25201</v>
      </c>
      <c r="G160" s="1" t="s">
        <v>89</v>
      </c>
      <c r="H160" s="1" t="s">
        <v>18</v>
      </c>
      <c r="J160" s="1" t="s">
        <v>19</v>
      </c>
      <c r="K160" s="1" t="s">
        <v>1368</v>
      </c>
      <c r="L160" s="1" t="s">
        <v>20</v>
      </c>
      <c r="M160" s="1" t="s">
        <v>1632</v>
      </c>
      <c r="N160" s="1" t="str">
        <f t="shared" si="2"/>
        <v>THIAGO MARCOS</v>
      </c>
    </row>
    <row r="161" spans="1:14" x14ac:dyDescent="0.3">
      <c r="A161" s="1">
        <v>705750</v>
      </c>
      <c r="B161" s="1" t="s">
        <v>806</v>
      </c>
      <c r="C161" s="5" t="s">
        <v>15</v>
      </c>
      <c r="D161" s="2">
        <v>45993</v>
      </c>
      <c r="E161" s="1" t="s">
        <v>31</v>
      </c>
      <c r="F161" s="1">
        <v>25201</v>
      </c>
      <c r="G161" s="1" t="s">
        <v>89</v>
      </c>
      <c r="H161" s="1" t="s">
        <v>18</v>
      </c>
      <c r="J161" s="1" t="s">
        <v>19</v>
      </c>
      <c r="K161" s="1" t="s">
        <v>1368</v>
      </c>
      <c r="L161" s="1" t="s">
        <v>20</v>
      </c>
      <c r="M161" s="1" t="s">
        <v>1632</v>
      </c>
      <c r="N161" s="1" t="str">
        <f t="shared" si="2"/>
        <v>THIAGO MARCOS</v>
      </c>
    </row>
    <row r="162" spans="1:14" x14ac:dyDescent="0.3">
      <c r="A162" s="1">
        <v>105406</v>
      </c>
      <c r="B162" s="1" t="s">
        <v>247</v>
      </c>
      <c r="C162" s="5" t="s">
        <v>15</v>
      </c>
      <c r="D162" s="2">
        <v>42842</v>
      </c>
      <c r="E162" s="1" t="s">
        <v>141</v>
      </c>
      <c r="F162" s="1">
        <v>34101</v>
      </c>
      <c r="G162" s="1" t="s">
        <v>43</v>
      </c>
      <c r="H162" s="1" t="s">
        <v>18</v>
      </c>
      <c r="J162" s="1" t="s">
        <v>65</v>
      </c>
      <c r="K162" s="1" t="s">
        <v>25</v>
      </c>
      <c r="L162" s="1" t="s">
        <v>1375</v>
      </c>
      <c r="N162" s="1" t="str">
        <f t="shared" si="2"/>
        <v>ANDRÉ CUBA</v>
      </c>
    </row>
    <row r="163" spans="1:14" x14ac:dyDescent="0.3">
      <c r="A163" s="1">
        <v>705838</v>
      </c>
      <c r="B163" s="1" t="s">
        <v>1539</v>
      </c>
      <c r="C163" s="5" t="s">
        <v>92</v>
      </c>
      <c r="D163" s="2">
        <v>46063</v>
      </c>
      <c r="E163" s="1" t="s">
        <v>31</v>
      </c>
      <c r="F163" s="1">
        <v>51219</v>
      </c>
      <c r="G163" s="1" t="s">
        <v>61</v>
      </c>
      <c r="H163" s="1" t="s">
        <v>18</v>
      </c>
      <c r="I163" s="2">
        <v>46107</v>
      </c>
      <c r="J163" s="1" t="s">
        <v>19</v>
      </c>
      <c r="K163" s="1" t="s">
        <v>1368</v>
      </c>
      <c r="L163" s="1" t="s">
        <v>20</v>
      </c>
      <c r="M163" s="1" t="s">
        <v>1632</v>
      </c>
      <c r="N163" s="1" t="str">
        <f t="shared" si="2"/>
        <v>THIAGO MARCOS</v>
      </c>
    </row>
    <row r="164" spans="1:14" x14ac:dyDescent="0.3">
      <c r="A164" s="1">
        <v>705728</v>
      </c>
      <c r="B164" s="1" t="s">
        <v>1446</v>
      </c>
      <c r="C164" s="5" t="s">
        <v>15</v>
      </c>
      <c r="D164" s="2">
        <v>45972</v>
      </c>
      <c r="E164" s="1" t="s">
        <v>31</v>
      </c>
      <c r="F164" s="1">
        <v>51219</v>
      </c>
      <c r="G164" s="1" t="s">
        <v>61</v>
      </c>
      <c r="H164" s="1" t="s">
        <v>18</v>
      </c>
      <c r="J164" s="1" t="s">
        <v>19</v>
      </c>
      <c r="K164" s="1" t="s">
        <v>1368</v>
      </c>
      <c r="L164" s="1" t="s">
        <v>20</v>
      </c>
      <c r="M164" s="1" t="s">
        <v>1632</v>
      </c>
      <c r="N164" s="1" t="str">
        <f t="shared" si="2"/>
        <v>THIAGO MARCOS</v>
      </c>
    </row>
    <row r="165" spans="1:14" x14ac:dyDescent="0.3">
      <c r="A165" s="1">
        <v>100221</v>
      </c>
      <c r="B165" s="1" t="s">
        <v>248</v>
      </c>
      <c r="C165" s="5" t="s">
        <v>15</v>
      </c>
      <c r="D165" s="2">
        <v>41557</v>
      </c>
      <c r="E165" s="1" t="s">
        <v>245</v>
      </c>
      <c r="F165" s="1">
        <v>37101</v>
      </c>
      <c r="G165" s="1" t="s">
        <v>214</v>
      </c>
      <c r="H165" s="1" t="s">
        <v>18</v>
      </c>
      <c r="J165" s="1" t="s">
        <v>215</v>
      </c>
      <c r="K165" s="1" t="s">
        <v>216</v>
      </c>
      <c r="N165" s="1" t="str">
        <f t="shared" si="2"/>
        <v>CARSON NEVES</v>
      </c>
    </row>
    <row r="166" spans="1:14" x14ac:dyDescent="0.3">
      <c r="A166" s="1">
        <v>705227</v>
      </c>
      <c r="B166" s="1" t="s">
        <v>1158</v>
      </c>
      <c r="C166" s="5" t="s">
        <v>15</v>
      </c>
      <c r="D166" s="2">
        <v>45734</v>
      </c>
      <c r="E166" s="1" t="s">
        <v>31</v>
      </c>
      <c r="F166" s="1">
        <v>22102</v>
      </c>
      <c r="G166" s="1" t="s">
        <v>68</v>
      </c>
      <c r="H166" s="1" t="s">
        <v>18</v>
      </c>
      <c r="J166" s="1" t="s">
        <v>167</v>
      </c>
      <c r="K166" s="1" t="s">
        <v>1371</v>
      </c>
      <c r="L166" s="1" t="s">
        <v>1509</v>
      </c>
      <c r="M166" s="1" t="s">
        <v>1636</v>
      </c>
      <c r="N166" s="1" t="str">
        <f t="shared" si="2"/>
        <v>FABIANO DIAS</v>
      </c>
    </row>
    <row r="167" spans="1:14" x14ac:dyDescent="0.3">
      <c r="A167" s="1">
        <v>705729</v>
      </c>
      <c r="B167" s="1" t="s">
        <v>1448</v>
      </c>
      <c r="C167" s="5" t="s">
        <v>15</v>
      </c>
      <c r="D167" s="2">
        <v>45972</v>
      </c>
      <c r="E167" s="1" t="s">
        <v>31</v>
      </c>
      <c r="F167" s="1">
        <v>51219</v>
      </c>
      <c r="G167" s="1" t="s">
        <v>61</v>
      </c>
      <c r="H167" s="1" t="s">
        <v>18</v>
      </c>
      <c r="J167" s="1" t="s">
        <v>19</v>
      </c>
      <c r="K167" s="1" t="s">
        <v>1368</v>
      </c>
      <c r="L167" s="1" t="s">
        <v>20</v>
      </c>
      <c r="M167" s="1" t="s">
        <v>1632</v>
      </c>
      <c r="N167" s="1" t="str">
        <f t="shared" si="2"/>
        <v>THIAGO MARCOS</v>
      </c>
    </row>
    <row r="168" spans="1:14" x14ac:dyDescent="0.3">
      <c r="A168" s="1">
        <v>701487</v>
      </c>
      <c r="B168" s="1" t="s">
        <v>250</v>
      </c>
      <c r="C168" s="5" t="s">
        <v>15</v>
      </c>
      <c r="D168" s="2">
        <v>43873</v>
      </c>
      <c r="E168" s="1" t="s">
        <v>251</v>
      </c>
      <c r="F168" s="1">
        <v>39302</v>
      </c>
      <c r="G168" s="1" t="s">
        <v>102</v>
      </c>
      <c r="H168" s="1" t="s">
        <v>18</v>
      </c>
      <c r="J168" s="1" t="s">
        <v>57</v>
      </c>
      <c r="K168" s="1" t="s">
        <v>1371</v>
      </c>
      <c r="L168" s="1" t="s">
        <v>1376</v>
      </c>
      <c r="M168" s="1" t="s">
        <v>1635</v>
      </c>
      <c r="N168" s="1" t="str">
        <f t="shared" si="2"/>
        <v>WARLEY RIBEIRO / EUDES FERNANDES</v>
      </c>
    </row>
    <row r="169" spans="1:14" x14ac:dyDescent="0.3">
      <c r="A169" s="1">
        <v>705765</v>
      </c>
      <c r="B169" s="1" t="s">
        <v>1480</v>
      </c>
      <c r="C169" s="5" t="s">
        <v>15</v>
      </c>
      <c r="D169" s="2">
        <v>45993</v>
      </c>
      <c r="E169" s="1" t="s">
        <v>31</v>
      </c>
      <c r="F169" s="1">
        <v>51219</v>
      </c>
      <c r="G169" s="1" t="s">
        <v>61</v>
      </c>
      <c r="H169" s="1" t="s">
        <v>18</v>
      </c>
      <c r="J169" s="1" t="s">
        <v>19</v>
      </c>
      <c r="K169" s="1" t="s">
        <v>1368</v>
      </c>
      <c r="L169" s="1" t="s">
        <v>20</v>
      </c>
      <c r="M169" s="1" t="s">
        <v>1632</v>
      </c>
      <c r="N169" s="1" t="str">
        <f t="shared" si="2"/>
        <v>THIAGO MARCOS</v>
      </c>
    </row>
    <row r="170" spans="1:14" x14ac:dyDescent="0.3">
      <c r="A170" s="1">
        <v>701204</v>
      </c>
      <c r="B170" s="1" t="s">
        <v>817</v>
      </c>
      <c r="C170" s="5" t="s">
        <v>92</v>
      </c>
      <c r="D170" s="2">
        <v>43682</v>
      </c>
      <c r="E170" s="1" t="s">
        <v>80</v>
      </c>
      <c r="F170" s="1">
        <v>22102</v>
      </c>
      <c r="G170" s="1" t="s">
        <v>68</v>
      </c>
      <c r="H170" s="1" t="s">
        <v>18</v>
      </c>
      <c r="I170" s="2">
        <v>46090</v>
      </c>
      <c r="J170" s="1" t="s">
        <v>81</v>
      </c>
      <c r="K170" s="1" t="s">
        <v>1371</v>
      </c>
      <c r="L170" s="1" t="s">
        <v>1509</v>
      </c>
      <c r="M170" s="1" t="s">
        <v>1379</v>
      </c>
      <c r="N170" s="1" t="str">
        <f t="shared" si="2"/>
        <v xml:space="preserve">EDSON/MARCELO LIMA </v>
      </c>
    </row>
    <row r="171" spans="1:14" x14ac:dyDescent="0.3">
      <c r="A171" s="1">
        <v>704117</v>
      </c>
      <c r="B171" s="1" t="s">
        <v>252</v>
      </c>
      <c r="C171" s="5" t="s">
        <v>15</v>
      </c>
      <c r="D171" s="2">
        <v>45238</v>
      </c>
      <c r="E171" s="1" t="s">
        <v>31</v>
      </c>
      <c r="F171" s="1">
        <v>51219</v>
      </c>
      <c r="G171" s="1" t="s">
        <v>61</v>
      </c>
      <c r="H171" s="1" t="s">
        <v>18</v>
      </c>
      <c r="J171" s="1" t="s">
        <v>19</v>
      </c>
      <c r="K171" s="1" t="s">
        <v>1368</v>
      </c>
      <c r="L171" s="1" t="s">
        <v>20</v>
      </c>
      <c r="M171" s="1" t="s">
        <v>1632</v>
      </c>
      <c r="N171" s="1" t="str">
        <f t="shared" si="2"/>
        <v>THIAGO MARCOS</v>
      </c>
    </row>
    <row r="172" spans="1:14" x14ac:dyDescent="0.3">
      <c r="A172" s="1">
        <v>105584</v>
      </c>
      <c r="B172" s="1" t="s">
        <v>253</v>
      </c>
      <c r="C172" s="5" t="s">
        <v>15</v>
      </c>
      <c r="D172" s="2">
        <v>42926</v>
      </c>
      <c r="E172" s="1" t="s">
        <v>97</v>
      </c>
      <c r="F172" s="1">
        <v>32101</v>
      </c>
      <c r="G172" s="1" t="s">
        <v>23</v>
      </c>
      <c r="H172" s="1" t="s">
        <v>18</v>
      </c>
      <c r="J172" s="1" t="s">
        <v>24</v>
      </c>
      <c r="K172" s="1" t="s">
        <v>25</v>
      </c>
      <c r="L172" s="1" t="s">
        <v>1369</v>
      </c>
      <c r="M172" s="1" t="s">
        <v>1370</v>
      </c>
      <c r="N172" s="1" t="str">
        <f t="shared" si="2"/>
        <v>JUNIO COSTA</v>
      </c>
    </row>
    <row r="173" spans="1:14" x14ac:dyDescent="0.3">
      <c r="A173" s="1">
        <v>704119</v>
      </c>
      <c r="B173" s="1" t="s">
        <v>254</v>
      </c>
      <c r="C173" s="5" t="s">
        <v>15</v>
      </c>
      <c r="D173" s="2">
        <v>45238</v>
      </c>
      <c r="E173" s="1" t="s">
        <v>1346</v>
      </c>
      <c r="F173" s="1">
        <v>39201</v>
      </c>
      <c r="G173" s="1" t="s">
        <v>153</v>
      </c>
      <c r="H173" s="1" t="s">
        <v>18</v>
      </c>
      <c r="J173" s="1" t="s">
        <v>154</v>
      </c>
      <c r="K173" s="1" t="s">
        <v>50</v>
      </c>
      <c r="L173" s="1" t="s">
        <v>1382</v>
      </c>
      <c r="M173" s="1" t="s">
        <v>1382</v>
      </c>
      <c r="N173" s="1" t="str">
        <f t="shared" si="2"/>
        <v>ADENILTON RODRIGUES</v>
      </c>
    </row>
    <row r="174" spans="1:14" x14ac:dyDescent="0.3">
      <c r="A174" s="1">
        <v>705047</v>
      </c>
      <c r="B174" s="1" t="s">
        <v>819</v>
      </c>
      <c r="C174" s="5" t="s">
        <v>15</v>
      </c>
      <c r="D174" s="2">
        <v>45644</v>
      </c>
      <c r="E174" s="1" t="s">
        <v>31</v>
      </c>
      <c r="F174" s="1">
        <v>22102</v>
      </c>
      <c r="G174" s="1" t="s">
        <v>68</v>
      </c>
      <c r="H174" s="1" t="s">
        <v>18</v>
      </c>
      <c r="J174" s="1" t="s">
        <v>81</v>
      </c>
      <c r="K174" s="1" t="s">
        <v>1371</v>
      </c>
      <c r="L174" s="1" t="s">
        <v>1509</v>
      </c>
      <c r="M174" s="1" t="s">
        <v>1379</v>
      </c>
      <c r="N174" s="1" t="str">
        <f t="shared" si="2"/>
        <v xml:space="preserve">EDSON/MARCELO LIMA </v>
      </c>
    </row>
    <row r="175" spans="1:14" x14ac:dyDescent="0.3">
      <c r="A175" s="1">
        <v>702601</v>
      </c>
      <c r="B175" s="1" t="s">
        <v>259</v>
      </c>
      <c r="C175" s="5" t="s">
        <v>15</v>
      </c>
      <c r="D175" s="2">
        <v>44482</v>
      </c>
      <c r="E175" s="1" t="s">
        <v>260</v>
      </c>
      <c r="F175" s="1">
        <v>22102</v>
      </c>
      <c r="G175" s="1" t="s">
        <v>68</v>
      </c>
      <c r="H175" s="1" t="s">
        <v>18</v>
      </c>
      <c r="J175" s="1" t="s">
        <v>167</v>
      </c>
      <c r="K175" s="1" t="s">
        <v>1371</v>
      </c>
      <c r="L175" s="1" t="s">
        <v>1509</v>
      </c>
      <c r="M175" s="1" t="s">
        <v>1636</v>
      </c>
      <c r="N175" s="1" t="str">
        <f t="shared" si="2"/>
        <v>FABIANO DIAS</v>
      </c>
    </row>
    <row r="176" spans="1:14" x14ac:dyDescent="0.3">
      <c r="A176" s="1">
        <v>705635</v>
      </c>
      <c r="B176" s="1" t="s">
        <v>1401</v>
      </c>
      <c r="C176" s="5" t="s">
        <v>15</v>
      </c>
      <c r="D176" s="2">
        <v>45937</v>
      </c>
      <c r="E176" s="1" t="s">
        <v>31</v>
      </c>
      <c r="F176" s="1">
        <v>38101</v>
      </c>
      <c r="G176" s="1" t="s">
        <v>35</v>
      </c>
      <c r="H176" s="1" t="s">
        <v>18</v>
      </c>
      <c r="J176" s="1" t="s">
        <v>36</v>
      </c>
      <c r="K176" s="1" t="s">
        <v>1372</v>
      </c>
      <c r="L176" s="1" t="s">
        <v>1373</v>
      </c>
      <c r="M176" s="1" t="s">
        <v>1373</v>
      </c>
      <c r="N176" s="1" t="str">
        <f t="shared" si="2"/>
        <v>DENIS ACASSIO</v>
      </c>
    </row>
    <row r="177" spans="1:14" x14ac:dyDescent="0.3">
      <c r="A177" s="1">
        <v>702661</v>
      </c>
      <c r="B177" s="1" t="s">
        <v>261</v>
      </c>
      <c r="C177" s="5" t="s">
        <v>15</v>
      </c>
      <c r="D177" s="2">
        <v>44509</v>
      </c>
      <c r="E177" s="1" t="s">
        <v>105</v>
      </c>
      <c r="F177" s="1">
        <v>22102</v>
      </c>
      <c r="G177" s="1" t="s">
        <v>68</v>
      </c>
      <c r="H177" s="1" t="s">
        <v>18</v>
      </c>
      <c r="J177" s="1" t="s">
        <v>167</v>
      </c>
      <c r="K177" s="1" t="s">
        <v>1371</v>
      </c>
      <c r="L177" s="1" t="s">
        <v>1509</v>
      </c>
      <c r="M177" s="1" t="s">
        <v>1636</v>
      </c>
      <c r="N177" s="1" t="str">
        <f t="shared" si="2"/>
        <v>FABIANO DIAS</v>
      </c>
    </row>
    <row r="178" spans="1:14" x14ac:dyDescent="0.3">
      <c r="A178" s="1">
        <v>700671</v>
      </c>
      <c r="B178" s="1" t="s">
        <v>262</v>
      </c>
      <c r="C178" s="5" t="s">
        <v>15</v>
      </c>
      <c r="D178" s="2">
        <v>43381</v>
      </c>
      <c r="E178" s="1" t="s">
        <v>80</v>
      </c>
      <c r="F178" s="1">
        <v>22102</v>
      </c>
      <c r="G178" s="1" t="s">
        <v>68</v>
      </c>
      <c r="H178" s="1" t="s">
        <v>18</v>
      </c>
      <c r="J178" s="1" t="s">
        <v>81</v>
      </c>
      <c r="K178" s="1" t="s">
        <v>1371</v>
      </c>
      <c r="L178" s="1" t="s">
        <v>1509</v>
      </c>
      <c r="M178" s="1" t="s">
        <v>1379</v>
      </c>
      <c r="N178" s="1" t="str">
        <f t="shared" si="2"/>
        <v xml:space="preserve">EDSON/MARCELO LIMA </v>
      </c>
    </row>
    <row r="179" spans="1:14" x14ac:dyDescent="0.3">
      <c r="A179" s="1">
        <v>705140</v>
      </c>
      <c r="B179" s="1" t="s">
        <v>1141</v>
      </c>
      <c r="C179" s="5" t="s">
        <v>15</v>
      </c>
      <c r="D179" s="2">
        <v>45698</v>
      </c>
      <c r="E179" s="1" t="s">
        <v>31</v>
      </c>
      <c r="F179" s="1">
        <v>52104</v>
      </c>
      <c r="G179" s="1" t="s">
        <v>17</v>
      </c>
      <c r="H179" s="1" t="s">
        <v>18</v>
      </c>
      <c r="J179" s="1" t="s">
        <v>19</v>
      </c>
      <c r="K179" s="1" t="s">
        <v>1368</v>
      </c>
      <c r="L179" s="1" t="s">
        <v>20</v>
      </c>
      <c r="M179" s="1" t="s">
        <v>1632</v>
      </c>
      <c r="N179" s="1" t="str">
        <f t="shared" si="2"/>
        <v>THIAGO MARCOS</v>
      </c>
    </row>
    <row r="180" spans="1:14" x14ac:dyDescent="0.3">
      <c r="A180" s="1">
        <v>705835</v>
      </c>
      <c r="B180" s="1" t="s">
        <v>1541</v>
      </c>
      <c r="C180" s="5" t="s">
        <v>92</v>
      </c>
      <c r="D180" s="2">
        <v>46063</v>
      </c>
      <c r="E180" s="1" t="s">
        <v>31</v>
      </c>
      <c r="F180" s="1">
        <v>52104</v>
      </c>
      <c r="G180" s="1" t="s">
        <v>17</v>
      </c>
      <c r="H180" s="1" t="s">
        <v>18</v>
      </c>
      <c r="I180" s="2">
        <v>46107</v>
      </c>
      <c r="J180" s="1" t="s">
        <v>19</v>
      </c>
      <c r="K180" s="1" t="s">
        <v>1368</v>
      </c>
      <c r="L180" s="1" t="s">
        <v>20</v>
      </c>
      <c r="M180" s="1" t="s">
        <v>1632</v>
      </c>
      <c r="N180" s="1" t="str">
        <f t="shared" si="2"/>
        <v>THIAGO MARCOS</v>
      </c>
    </row>
    <row r="181" spans="1:14" x14ac:dyDescent="0.3">
      <c r="A181" s="1">
        <v>705823</v>
      </c>
      <c r="B181" s="1" t="s">
        <v>1518</v>
      </c>
      <c r="C181" s="5" t="s">
        <v>92</v>
      </c>
      <c r="D181" s="2">
        <v>46034</v>
      </c>
      <c r="E181" s="1" t="s">
        <v>433</v>
      </c>
      <c r="F181" s="1">
        <v>38107</v>
      </c>
      <c r="G181" s="1" t="s">
        <v>1503</v>
      </c>
      <c r="H181" s="1" t="s">
        <v>18</v>
      </c>
      <c r="I181" s="2">
        <v>46093</v>
      </c>
      <c r="J181" s="1" t="s">
        <v>78</v>
      </c>
      <c r="K181" s="1" t="s">
        <v>1372</v>
      </c>
      <c r="N181" s="1" t="str">
        <f t="shared" si="2"/>
        <v xml:space="preserve">LEIDJANE MARTINS </v>
      </c>
    </row>
    <row r="182" spans="1:14" x14ac:dyDescent="0.3">
      <c r="A182" s="1">
        <v>702331</v>
      </c>
      <c r="B182" s="1" t="s">
        <v>263</v>
      </c>
      <c r="C182" s="5" t="s">
        <v>15</v>
      </c>
      <c r="D182" s="2">
        <v>44355</v>
      </c>
      <c r="E182" s="1" t="s">
        <v>105</v>
      </c>
      <c r="F182" s="1">
        <v>22102</v>
      </c>
      <c r="G182" s="1" t="s">
        <v>68</v>
      </c>
      <c r="H182" s="1" t="s">
        <v>18</v>
      </c>
      <c r="J182" s="1" t="s">
        <v>142</v>
      </c>
      <c r="K182" s="1" t="s">
        <v>1371</v>
      </c>
      <c r="L182" s="1" t="s">
        <v>1509</v>
      </c>
      <c r="M182" s="1" t="s">
        <v>1633</v>
      </c>
      <c r="N182" s="1" t="str">
        <f t="shared" si="2"/>
        <v>CRISTIANO BARBOSA</v>
      </c>
    </row>
    <row r="183" spans="1:14" x14ac:dyDescent="0.3">
      <c r="A183" s="1">
        <v>705894</v>
      </c>
      <c r="B183" s="1" t="s">
        <v>1542</v>
      </c>
      <c r="C183" s="5" t="s">
        <v>92</v>
      </c>
      <c r="D183" s="2">
        <v>46063</v>
      </c>
      <c r="E183" s="1" t="s">
        <v>31</v>
      </c>
      <c r="F183" s="1">
        <v>52104</v>
      </c>
      <c r="G183" s="1" t="s">
        <v>17</v>
      </c>
      <c r="H183" s="1" t="s">
        <v>18</v>
      </c>
      <c r="I183" s="2">
        <v>46107</v>
      </c>
      <c r="J183" s="1" t="s">
        <v>19</v>
      </c>
      <c r="K183" s="1" t="s">
        <v>1368</v>
      </c>
      <c r="L183" s="1" t="s">
        <v>20</v>
      </c>
      <c r="M183" s="1" t="s">
        <v>1632</v>
      </c>
      <c r="N183" s="1" t="str">
        <f t="shared" si="2"/>
        <v>THIAGO MARCOS</v>
      </c>
    </row>
    <row r="184" spans="1:14" x14ac:dyDescent="0.3">
      <c r="A184" s="1">
        <v>704146</v>
      </c>
      <c r="B184" s="1" t="s">
        <v>264</v>
      </c>
      <c r="C184" s="5" t="s">
        <v>15</v>
      </c>
      <c r="D184" s="2">
        <v>45264</v>
      </c>
      <c r="E184" s="1" t="s">
        <v>138</v>
      </c>
      <c r="F184" s="1">
        <v>22102</v>
      </c>
      <c r="G184" s="1" t="s">
        <v>68</v>
      </c>
      <c r="H184" s="1" t="s">
        <v>18</v>
      </c>
      <c r="J184" s="1" t="s">
        <v>81</v>
      </c>
      <c r="K184" s="1" t="s">
        <v>1371</v>
      </c>
      <c r="L184" s="1" t="s">
        <v>1509</v>
      </c>
      <c r="M184" s="1" t="s">
        <v>1379</v>
      </c>
      <c r="N184" s="1" t="str">
        <f t="shared" si="2"/>
        <v xml:space="preserve">EDSON/MARCELO LIMA </v>
      </c>
    </row>
    <row r="185" spans="1:14" x14ac:dyDescent="0.3">
      <c r="A185" s="1">
        <v>705881</v>
      </c>
      <c r="B185" s="1" t="s">
        <v>1543</v>
      </c>
      <c r="C185" s="5" t="s">
        <v>15</v>
      </c>
      <c r="D185" s="2">
        <v>46063</v>
      </c>
      <c r="E185" s="1" t="s">
        <v>138</v>
      </c>
      <c r="F185" s="1">
        <v>52104</v>
      </c>
      <c r="G185" s="1" t="s">
        <v>17</v>
      </c>
      <c r="H185" s="1" t="s">
        <v>18</v>
      </c>
      <c r="J185" s="1" t="s">
        <v>19</v>
      </c>
      <c r="K185" s="1" t="s">
        <v>1368</v>
      </c>
      <c r="L185" s="1" t="s">
        <v>20</v>
      </c>
      <c r="M185" s="1" t="s">
        <v>1632</v>
      </c>
      <c r="N185" s="1" t="str">
        <f t="shared" si="2"/>
        <v>THIAGO MARCOS</v>
      </c>
    </row>
    <row r="186" spans="1:14" x14ac:dyDescent="0.3">
      <c r="A186" s="1">
        <v>704143</v>
      </c>
      <c r="B186" s="1" t="s">
        <v>265</v>
      </c>
      <c r="C186" s="5" t="s">
        <v>15</v>
      </c>
      <c r="D186" s="2">
        <v>45264</v>
      </c>
      <c r="E186" s="1" t="s">
        <v>31</v>
      </c>
      <c r="F186" s="1">
        <v>22102</v>
      </c>
      <c r="G186" s="1" t="s">
        <v>68</v>
      </c>
      <c r="H186" s="1" t="s">
        <v>18</v>
      </c>
      <c r="J186" s="1" t="s">
        <v>81</v>
      </c>
      <c r="K186" s="1" t="s">
        <v>1371</v>
      </c>
      <c r="L186" s="1" t="s">
        <v>1509</v>
      </c>
      <c r="M186" s="1" t="s">
        <v>1379</v>
      </c>
      <c r="N186" s="1" t="str">
        <f t="shared" si="2"/>
        <v xml:space="preserve">EDSON/MARCELO LIMA </v>
      </c>
    </row>
    <row r="187" spans="1:14" x14ac:dyDescent="0.3">
      <c r="A187" s="1">
        <v>702700</v>
      </c>
      <c r="B187" s="1" t="s">
        <v>266</v>
      </c>
      <c r="C187" s="5" t="s">
        <v>15</v>
      </c>
      <c r="D187" s="2">
        <v>44572</v>
      </c>
      <c r="E187" s="1" t="s">
        <v>60</v>
      </c>
      <c r="F187" s="1">
        <v>22102</v>
      </c>
      <c r="G187" s="1" t="s">
        <v>68</v>
      </c>
      <c r="H187" s="1" t="s">
        <v>18</v>
      </c>
      <c r="J187" s="1" t="s">
        <v>69</v>
      </c>
      <c r="K187" s="1" t="s">
        <v>1371</v>
      </c>
      <c r="L187" s="1" t="s">
        <v>1378</v>
      </c>
      <c r="N187" s="1" t="str">
        <f t="shared" si="2"/>
        <v xml:space="preserve">JOÃO KOMURA </v>
      </c>
    </row>
    <row r="188" spans="1:14" x14ac:dyDescent="0.3">
      <c r="A188" s="1">
        <v>705156</v>
      </c>
      <c r="B188" s="1" t="s">
        <v>1159</v>
      </c>
      <c r="C188" s="5" t="s">
        <v>15</v>
      </c>
      <c r="D188" s="2">
        <v>45720</v>
      </c>
      <c r="E188" s="1" t="s">
        <v>91</v>
      </c>
      <c r="F188" s="1">
        <v>34201</v>
      </c>
      <c r="G188" s="1" t="s">
        <v>84</v>
      </c>
      <c r="H188" s="1" t="s">
        <v>18</v>
      </c>
      <c r="J188" s="1" t="s">
        <v>85</v>
      </c>
      <c r="K188" s="1" t="s">
        <v>1371</v>
      </c>
      <c r="L188" s="1" t="s">
        <v>1380</v>
      </c>
      <c r="M188" s="1" t="s">
        <v>1380</v>
      </c>
      <c r="N188" s="1" t="str">
        <f t="shared" si="2"/>
        <v xml:space="preserve">LEONARDO SANTOS </v>
      </c>
    </row>
    <row r="189" spans="1:14" x14ac:dyDescent="0.3">
      <c r="A189" s="1">
        <v>703110</v>
      </c>
      <c r="B189" s="1" t="s">
        <v>267</v>
      </c>
      <c r="C189" s="5" t="s">
        <v>15</v>
      </c>
      <c r="D189" s="2">
        <v>44713</v>
      </c>
      <c r="E189" s="1" t="s">
        <v>1215</v>
      </c>
      <c r="F189" s="1">
        <v>33101</v>
      </c>
      <c r="G189" s="1" t="s">
        <v>186</v>
      </c>
      <c r="H189" s="1" t="s">
        <v>18</v>
      </c>
      <c r="J189" s="1" t="s">
        <v>44</v>
      </c>
      <c r="K189" s="1" t="s">
        <v>25</v>
      </c>
      <c r="L189" s="1" t="s">
        <v>1385</v>
      </c>
      <c r="N189" s="1" t="str">
        <f t="shared" si="2"/>
        <v>TALLES RYAN</v>
      </c>
    </row>
    <row r="190" spans="1:14" x14ac:dyDescent="0.3">
      <c r="A190" s="1">
        <v>705540</v>
      </c>
      <c r="B190" s="1" t="s">
        <v>1294</v>
      </c>
      <c r="C190" s="5" t="s">
        <v>15</v>
      </c>
      <c r="D190" s="2">
        <v>45847</v>
      </c>
      <c r="E190" s="1" t="s">
        <v>1295</v>
      </c>
      <c r="F190" s="1">
        <v>32101</v>
      </c>
      <c r="G190" s="1" t="s">
        <v>23</v>
      </c>
      <c r="H190" s="1" t="s">
        <v>18</v>
      </c>
      <c r="J190" s="1" t="s">
        <v>1278</v>
      </c>
      <c r="K190" s="1" t="s">
        <v>25</v>
      </c>
      <c r="N190" s="1" t="str">
        <f t="shared" si="2"/>
        <v>RAFAEL XAVIER</v>
      </c>
    </row>
    <row r="191" spans="1:14" x14ac:dyDescent="0.3">
      <c r="A191" s="1">
        <v>705032</v>
      </c>
      <c r="B191" s="1" t="s">
        <v>826</v>
      </c>
      <c r="C191" s="5" t="s">
        <v>15</v>
      </c>
      <c r="D191" s="2">
        <v>45636</v>
      </c>
      <c r="E191" s="1" t="s">
        <v>22</v>
      </c>
      <c r="F191" s="1">
        <v>32101</v>
      </c>
      <c r="G191" s="1" t="s">
        <v>23</v>
      </c>
      <c r="H191" s="1" t="s">
        <v>18</v>
      </c>
      <c r="J191" s="1" t="s">
        <v>24</v>
      </c>
      <c r="K191" s="1" t="s">
        <v>25</v>
      </c>
      <c r="L191" s="1" t="s">
        <v>1369</v>
      </c>
      <c r="M191" s="1" t="s">
        <v>1370</v>
      </c>
      <c r="N191" s="1" t="str">
        <f t="shared" si="2"/>
        <v>JUNIO COSTA</v>
      </c>
    </row>
    <row r="192" spans="1:14" x14ac:dyDescent="0.3">
      <c r="A192" s="1">
        <v>704532</v>
      </c>
      <c r="B192" s="1" t="s">
        <v>269</v>
      </c>
      <c r="C192" s="5" t="s">
        <v>15</v>
      </c>
      <c r="D192" s="2">
        <v>45426</v>
      </c>
      <c r="E192" s="1" t="s">
        <v>270</v>
      </c>
      <c r="F192" s="1">
        <v>39302</v>
      </c>
      <c r="G192" s="1" t="s">
        <v>102</v>
      </c>
      <c r="H192" s="1" t="s">
        <v>18</v>
      </c>
      <c r="J192" s="1" t="s">
        <v>57</v>
      </c>
      <c r="K192" s="1" t="s">
        <v>1371</v>
      </c>
      <c r="L192" s="1" t="s">
        <v>1376</v>
      </c>
      <c r="M192" s="1" t="s">
        <v>1635</v>
      </c>
      <c r="N192" s="1" t="str">
        <f t="shared" si="2"/>
        <v>WARLEY RIBEIRO / EUDES FERNANDES</v>
      </c>
    </row>
    <row r="193" spans="1:14" x14ac:dyDescent="0.3">
      <c r="A193" s="1">
        <v>705739</v>
      </c>
      <c r="B193" s="1" t="s">
        <v>1481</v>
      </c>
      <c r="C193" s="5" t="s">
        <v>15</v>
      </c>
      <c r="D193" s="2">
        <v>45993</v>
      </c>
      <c r="E193" s="1" t="s">
        <v>166</v>
      </c>
      <c r="F193" s="1">
        <v>22102</v>
      </c>
      <c r="G193" s="1" t="s">
        <v>68</v>
      </c>
      <c r="H193" s="1" t="s">
        <v>18</v>
      </c>
      <c r="J193" s="1" t="s">
        <v>94</v>
      </c>
      <c r="K193" s="1" t="s">
        <v>1371</v>
      </c>
      <c r="L193" s="1" t="s">
        <v>1378</v>
      </c>
      <c r="M193" s="1" t="s">
        <v>95</v>
      </c>
      <c r="N193" s="1" t="str">
        <f t="shared" si="2"/>
        <v>LUAN ABADIA</v>
      </c>
    </row>
    <row r="194" spans="1:14" x14ac:dyDescent="0.3">
      <c r="A194" s="1">
        <v>704881</v>
      </c>
      <c r="B194" s="1" t="s">
        <v>271</v>
      </c>
      <c r="C194" s="5" t="s">
        <v>92</v>
      </c>
      <c r="D194" s="2">
        <v>45586</v>
      </c>
      <c r="E194" s="1" t="s">
        <v>77</v>
      </c>
      <c r="F194" s="1">
        <v>38107</v>
      </c>
      <c r="G194" s="1" t="s">
        <v>1503</v>
      </c>
      <c r="H194" s="1" t="s">
        <v>18</v>
      </c>
      <c r="I194" s="2">
        <v>46092</v>
      </c>
      <c r="J194" s="1" t="s">
        <v>78</v>
      </c>
      <c r="K194" s="1" t="s">
        <v>1372</v>
      </c>
      <c r="N194" s="1" t="str">
        <f t="shared" si="2"/>
        <v xml:space="preserve">LEIDJANE MARTINS </v>
      </c>
    </row>
    <row r="195" spans="1:14" x14ac:dyDescent="0.3">
      <c r="A195" s="1">
        <v>100885</v>
      </c>
      <c r="B195" s="1" t="s">
        <v>272</v>
      </c>
      <c r="C195" s="5" t="s">
        <v>15</v>
      </c>
      <c r="D195" s="2">
        <v>42450</v>
      </c>
      <c r="E195" s="1" t="s">
        <v>16</v>
      </c>
      <c r="F195" s="1">
        <v>38101</v>
      </c>
      <c r="G195" s="1" t="s">
        <v>35</v>
      </c>
      <c r="H195" s="1" t="s">
        <v>18</v>
      </c>
      <c r="J195" s="1" t="s">
        <v>36</v>
      </c>
      <c r="K195" s="1" t="s">
        <v>1372</v>
      </c>
      <c r="L195" s="1" t="s">
        <v>1373</v>
      </c>
      <c r="M195" s="1" t="s">
        <v>1373</v>
      </c>
      <c r="N195" s="1" t="str">
        <f t="shared" ref="N195:N258" si="3">IF(M195&lt;&gt;"", M195, IF(L195&lt;&gt;"", L195, K195))</f>
        <v>DENIS ACASSIO</v>
      </c>
    </row>
    <row r="196" spans="1:14" x14ac:dyDescent="0.3">
      <c r="A196" s="1">
        <v>702751</v>
      </c>
      <c r="B196" s="1" t="s">
        <v>125</v>
      </c>
      <c r="C196" s="5" t="s">
        <v>15</v>
      </c>
      <c r="D196" s="2">
        <v>44601</v>
      </c>
      <c r="E196" s="1" t="s">
        <v>422</v>
      </c>
      <c r="F196" s="1">
        <v>22101</v>
      </c>
      <c r="G196" s="1" t="s">
        <v>122</v>
      </c>
      <c r="H196" s="1" t="s">
        <v>18</v>
      </c>
      <c r="J196" s="1" t="s">
        <v>273</v>
      </c>
      <c r="K196" s="1" t="s">
        <v>124</v>
      </c>
      <c r="N196" s="1" t="str">
        <f t="shared" si="3"/>
        <v>MATHEUS FERNANDES</v>
      </c>
    </row>
    <row r="197" spans="1:14" x14ac:dyDescent="0.3">
      <c r="A197" s="1">
        <v>700334</v>
      </c>
      <c r="B197" s="1" t="s">
        <v>274</v>
      </c>
      <c r="C197" s="5" t="s">
        <v>15</v>
      </c>
      <c r="D197" s="2">
        <v>43292</v>
      </c>
      <c r="E197" s="1" t="s">
        <v>109</v>
      </c>
      <c r="F197" s="1">
        <v>32101</v>
      </c>
      <c r="G197" s="1" t="s">
        <v>23</v>
      </c>
      <c r="H197" s="1" t="s">
        <v>18</v>
      </c>
      <c r="J197" s="1" t="s">
        <v>24</v>
      </c>
      <c r="K197" s="1" t="s">
        <v>25</v>
      </c>
      <c r="L197" s="1" t="s">
        <v>1369</v>
      </c>
      <c r="M197" s="1" t="s">
        <v>1370</v>
      </c>
      <c r="N197" s="1" t="str">
        <f t="shared" si="3"/>
        <v>JUNIO COSTA</v>
      </c>
    </row>
    <row r="198" spans="1:14" x14ac:dyDescent="0.3">
      <c r="A198" s="1">
        <v>702334</v>
      </c>
      <c r="B198" s="1" t="s">
        <v>275</v>
      </c>
      <c r="C198" s="5" t="s">
        <v>15</v>
      </c>
      <c r="D198" s="2">
        <v>44354</v>
      </c>
      <c r="E198" s="1" t="s">
        <v>60</v>
      </c>
      <c r="F198" s="1">
        <v>22102</v>
      </c>
      <c r="G198" s="1" t="s">
        <v>68</v>
      </c>
      <c r="H198" s="1" t="s">
        <v>18</v>
      </c>
      <c r="J198" s="1" t="s">
        <v>167</v>
      </c>
      <c r="K198" s="1" t="s">
        <v>1371</v>
      </c>
      <c r="L198" s="1" t="s">
        <v>1509</v>
      </c>
      <c r="M198" s="1" t="s">
        <v>1636</v>
      </c>
      <c r="N198" s="1" t="str">
        <f t="shared" si="3"/>
        <v>FABIANO DIAS</v>
      </c>
    </row>
    <row r="199" spans="1:14" x14ac:dyDescent="0.3">
      <c r="A199" s="1">
        <v>703257</v>
      </c>
      <c r="B199" s="1" t="s">
        <v>279</v>
      </c>
      <c r="C199" s="5" t="s">
        <v>15</v>
      </c>
      <c r="D199" s="2">
        <v>44781</v>
      </c>
      <c r="E199" s="1" t="s">
        <v>164</v>
      </c>
      <c r="F199" s="1">
        <v>39301</v>
      </c>
      <c r="G199" s="1" t="s">
        <v>73</v>
      </c>
      <c r="H199" s="1" t="s">
        <v>18</v>
      </c>
      <c r="J199" s="1" t="s">
        <v>74</v>
      </c>
      <c r="K199" s="1" t="s">
        <v>1371</v>
      </c>
      <c r="L199" s="1" t="s">
        <v>1376</v>
      </c>
      <c r="M199" s="1" t="s">
        <v>75</v>
      </c>
      <c r="N199" s="1" t="str">
        <f t="shared" si="3"/>
        <v>ISAC NONATO</v>
      </c>
    </row>
    <row r="200" spans="1:14" x14ac:dyDescent="0.3">
      <c r="A200" s="1">
        <v>705317</v>
      </c>
      <c r="B200" s="1" t="s">
        <v>1216</v>
      </c>
      <c r="C200" s="5" t="s">
        <v>15</v>
      </c>
      <c r="D200" s="2">
        <v>45784</v>
      </c>
      <c r="E200" s="1" t="s">
        <v>31</v>
      </c>
      <c r="F200" s="1">
        <v>52104</v>
      </c>
      <c r="G200" s="1" t="s">
        <v>17</v>
      </c>
      <c r="H200" s="1" t="s">
        <v>18</v>
      </c>
      <c r="J200" s="1" t="s">
        <v>19</v>
      </c>
      <c r="K200" s="1" t="s">
        <v>1368</v>
      </c>
      <c r="L200" s="1" t="s">
        <v>20</v>
      </c>
      <c r="M200" s="1" t="s">
        <v>1632</v>
      </c>
      <c r="N200" s="1" t="str">
        <f t="shared" si="3"/>
        <v>THIAGO MARCOS</v>
      </c>
    </row>
    <row r="201" spans="1:14" x14ac:dyDescent="0.3">
      <c r="A201" s="1">
        <v>705755</v>
      </c>
      <c r="B201" s="1" t="s">
        <v>1482</v>
      </c>
      <c r="C201" s="5" t="s">
        <v>15</v>
      </c>
      <c r="D201" s="2">
        <v>45993</v>
      </c>
      <c r="E201" s="1" t="s">
        <v>31</v>
      </c>
      <c r="F201" s="1">
        <v>52104</v>
      </c>
      <c r="G201" s="1" t="s">
        <v>17</v>
      </c>
      <c r="H201" s="1" t="s">
        <v>18</v>
      </c>
      <c r="J201" s="1" t="s">
        <v>19</v>
      </c>
      <c r="K201" s="1" t="s">
        <v>1368</v>
      </c>
      <c r="L201" s="1" t="s">
        <v>20</v>
      </c>
      <c r="M201" s="1" t="s">
        <v>1632</v>
      </c>
      <c r="N201" s="1" t="str">
        <f t="shared" si="3"/>
        <v>THIAGO MARCOS</v>
      </c>
    </row>
    <row r="202" spans="1:14" x14ac:dyDescent="0.3">
      <c r="A202" s="1">
        <v>705468</v>
      </c>
      <c r="B202" s="1" t="s">
        <v>1276</v>
      </c>
      <c r="C202" s="5" t="s">
        <v>15</v>
      </c>
      <c r="D202" s="2">
        <v>45812</v>
      </c>
      <c r="E202" s="1" t="s">
        <v>31</v>
      </c>
      <c r="F202" s="1">
        <v>39301</v>
      </c>
      <c r="G202" s="1" t="s">
        <v>73</v>
      </c>
      <c r="H202" s="1" t="s">
        <v>18</v>
      </c>
      <c r="J202" s="1" t="s">
        <v>74</v>
      </c>
      <c r="K202" s="1" t="s">
        <v>1371</v>
      </c>
      <c r="L202" s="1" t="s">
        <v>1376</v>
      </c>
      <c r="M202" s="1" t="s">
        <v>75</v>
      </c>
      <c r="N202" s="1" t="str">
        <f t="shared" si="3"/>
        <v>ISAC NONATO</v>
      </c>
    </row>
    <row r="203" spans="1:14" x14ac:dyDescent="0.3">
      <c r="A203" s="1">
        <v>704176</v>
      </c>
      <c r="B203" s="1" t="s">
        <v>280</v>
      </c>
      <c r="C203" s="5" t="s">
        <v>15</v>
      </c>
      <c r="D203" s="2">
        <v>45272</v>
      </c>
      <c r="E203" s="1" t="s">
        <v>141</v>
      </c>
      <c r="F203" s="1">
        <v>22102</v>
      </c>
      <c r="G203" s="1" t="s">
        <v>68</v>
      </c>
      <c r="H203" s="1" t="s">
        <v>18</v>
      </c>
      <c r="J203" s="1" t="s">
        <v>81</v>
      </c>
      <c r="K203" s="1" t="s">
        <v>1371</v>
      </c>
      <c r="L203" s="1" t="s">
        <v>1509</v>
      </c>
      <c r="M203" s="1" t="s">
        <v>1379</v>
      </c>
      <c r="N203" s="1" t="str">
        <f t="shared" si="3"/>
        <v xml:space="preserve">EDSON/MARCELO LIMA </v>
      </c>
    </row>
    <row r="204" spans="1:14" x14ac:dyDescent="0.3">
      <c r="A204" s="1">
        <v>705906</v>
      </c>
      <c r="B204" s="1" t="s">
        <v>1607</v>
      </c>
      <c r="C204" s="5" t="s">
        <v>15</v>
      </c>
      <c r="D204" s="2">
        <v>46091</v>
      </c>
      <c r="E204" s="1" t="s">
        <v>31</v>
      </c>
      <c r="F204" s="1">
        <v>25201</v>
      </c>
      <c r="G204" s="1" t="s">
        <v>89</v>
      </c>
      <c r="H204" s="1" t="s">
        <v>18</v>
      </c>
      <c r="J204" s="1" t="s">
        <v>19</v>
      </c>
      <c r="K204" s="1" t="s">
        <v>1368</v>
      </c>
      <c r="L204" s="1" t="s">
        <v>20</v>
      </c>
      <c r="M204" s="1" t="s">
        <v>1632</v>
      </c>
      <c r="N204" s="1" t="str">
        <f t="shared" si="3"/>
        <v>THIAGO MARCOS</v>
      </c>
    </row>
    <row r="205" spans="1:14" x14ac:dyDescent="0.3">
      <c r="A205" s="1">
        <v>705563</v>
      </c>
      <c r="B205" s="1" t="s">
        <v>1313</v>
      </c>
      <c r="C205" s="5" t="s">
        <v>15</v>
      </c>
      <c r="D205" s="2">
        <v>45881</v>
      </c>
      <c r="E205" s="1" t="s">
        <v>31</v>
      </c>
      <c r="F205" s="1">
        <v>52104</v>
      </c>
      <c r="G205" s="1" t="s">
        <v>17</v>
      </c>
      <c r="H205" s="1" t="s">
        <v>18</v>
      </c>
      <c r="J205" s="1" t="s">
        <v>19</v>
      </c>
      <c r="K205" s="1" t="s">
        <v>1368</v>
      </c>
      <c r="L205" s="1" t="s">
        <v>20</v>
      </c>
      <c r="M205" s="1" t="s">
        <v>1632</v>
      </c>
      <c r="N205" s="1" t="str">
        <f t="shared" si="3"/>
        <v>THIAGO MARCOS</v>
      </c>
    </row>
    <row r="206" spans="1:14" x14ac:dyDescent="0.3">
      <c r="A206" s="1">
        <v>102082</v>
      </c>
      <c r="B206" s="1" t="s">
        <v>281</v>
      </c>
      <c r="C206" s="5" t="s">
        <v>15</v>
      </c>
      <c r="D206" s="2">
        <v>41646</v>
      </c>
      <c r="E206" s="1" t="s">
        <v>40</v>
      </c>
      <c r="F206" s="1">
        <v>52104</v>
      </c>
      <c r="G206" s="1" t="s">
        <v>17</v>
      </c>
      <c r="H206" s="1" t="s">
        <v>18</v>
      </c>
      <c r="J206" s="1" t="s">
        <v>37</v>
      </c>
      <c r="K206" s="1" t="s">
        <v>1368</v>
      </c>
      <c r="L206" s="1" t="s">
        <v>20</v>
      </c>
      <c r="M206" s="1" t="s">
        <v>1634</v>
      </c>
      <c r="N206" s="1" t="str">
        <f t="shared" si="3"/>
        <v>IRON SANTOS</v>
      </c>
    </row>
    <row r="207" spans="1:14" x14ac:dyDescent="0.3">
      <c r="A207" s="1">
        <v>703579</v>
      </c>
      <c r="B207" s="1" t="s">
        <v>283</v>
      </c>
      <c r="C207" s="5" t="s">
        <v>15</v>
      </c>
      <c r="D207" s="2">
        <v>44970</v>
      </c>
      <c r="E207" s="1" t="s">
        <v>97</v>
      </c>
      <c r="F207" s="1">
        <v>32101</v>
      </c>
      <c r="G207" s="1" t="s">
        <v>23</v>
      </c>
      <c r="H207" s="1" t="s">
        <v>18</v>
      </c>
      <c r="J207" s="1" t="s">
        <v>24</v>
      </c>
      <c r="K207" s="1" t="s">
        <v>25</v>
      </c>
      <c r="L207" s="1" t="s">
        <v>1369</v>
      </c>
      <c r="M207" s="1" t="s">
        <v>1370</v>
      </c>
      <c r="N207" s="1" t="str">
        <f t="shared" si="3"/>
        <v>JUNIO COSTA</v>
      </c>
    </row>
    <row r="208" spans="1:14" x14ac:dyDescent="0.3">
      <c r="A208" s="1">
        <v>705597</v>
      </c>
      <c r="B208" s="1" t="s">
        <v>1314</v>
      </c>
      <c r="C208" s="5" t="s">
        <v>15</v>
      </c>
      <c r="D208" s="2">
        <v>45888</v>
      </c>
      <c r="E208" s="1" t="s">
        <v>213</v>
      </c>
      <c r="F208" s="1">
        <v>52104</v>
      </c>
      <c r="G208" s="1" t="s">
        <v>17</v>
      </c>
      <c r="H208" s="1" t="s">
        <v>18</v>
      </c>
      <c r="J208" s="1" t="s">
        <v>19</v>
      </c>
      <c r="K208" s="1" t="s">
        <v>1368</v>
      </c>
      <c r="L208" s="1" t="s">
        <v>20</v>
      </c>
      <c r="M208" s="1" t="s">
        <v>1632</v>
      </c>
      <c r="N208" s="1" t="str">
        <f t="shared" si="3"/>
        <v>THIAGO MARCOS</v>
      </c>
    </row>
    <row r="209" spans="1:14" x14ac:dyDescent="0.3">
      <c r="A209" s="1">
        <v>703722</v>
      </c>
      <c r="B209" s="1" t="s">
        <v>284</v>
      </c>
      <c r="C209" s="5" t="s">
        <v>15</v>
      </c>
      <c r="D209" s="2">
        <v>45026</v>
      </c>
      <c r="E209" s="1" t="s">
        <v>16</v>
      </c>
      <c r="F209" s="1">
        <v>22102</v>
      </c>
      <c r="G209" s="1" t="s">
        <v>68</v>
      </c>
      <c r="H209" s="1" t="s">
        <v>18</v>
      </c>
      <c r="J209" s="1" t="s">
        <v>69</v>
      </c>
      <c r="K209" s="1" t="s">
        <v>1371</v>
      </c>
      <c r="L209" s="1" t="s">
        <v>1378</v>
      </c>
      <c r="N209" s="1" t="str">
        <f t="shared" si="3"/>
        <v xml:space="preserve">JOÃO KOMURA </v>
      </c>
    </row>
    <row r="210" spans="1:14" x14ac:dyDescent="0.3">
      <c r="A210" s="1">
        <v>703463</v>
      </c>
      <c r="B210" s="1" t="s">
        <v>285</v>
      </c>
      <c r="C210" s="5" t="s">
        <v>15</v>
      </c>
      <c r="D210" s="2">
        <v>44881</v>
      </c>
      <c r="E210" s="1" t="s">
        <v>156</v>
      </c>
      <c r="F210" s="1">
        <v>38101</v>
      </c>
      <c r="G210" s="1" t="s">
        <v>35</v>
      </c>
      <c r="H210" s="1" t="s">
        <v>18</v>
      </c>
      <c r="J210" s="1" t="s">
        <v>36</v>
      </c>
      <c r="K210" s="1" t="s">
        <v>1372</v>
      </c>
      <c r="L210" s="1" t="s">
        <v>1373</v>
      </c>
      <c r="M210" s="1" t="s">
        <v>1373</v>
      </c>
      <c r="N210" s="1" t="str">
        <f t="shared" si="3"/>
        <v>DENIS ACASSIO</v>
      </c>
    </row>
    <row r="211" spans="1:14" x14ac:dyDescent="0.3">
      <c r="A211" s="1">
        <v>705691</v>
      </c>
      <c r="B211" s="1" t="s">
        <v>1449</v>
      </c>
      <c r="C211" s="5" t="s">
        <v>15</v>
      </c>
      <c r="D211" s="2">
        <v>45971</v>
      </c>
      <c r="E211" s="1" t="s">
        <v>474</v>
      </c>
      <c r="F211" s="1">
        <v>32101</v>
      </c>
      <c r="G211" s="1" t="s">
        <v>23</v>
      </c>
      <c r="H211" s="1" t="s">
        <v>18</v>
      </c>
      <c r="J211" s="1" t="s">
        <v>24</v>
      </c>
      <c r="K211" s="1" t="s">
        <v>25</v>
      </c>
      <c r="L211" s="1" t="s">
        <v>1369</v>
      </c>
      <c r="M211" s="1" t="s">
        <v>1370</v>
      </c>
      <c r="N211" s="1" t="str">
        <f t="shared" si="3"/>
        <v>JUNIO COSTA</v>
      </c>
    </row>
    <row r="212" spans="1:14" x14ac:dyDescent="0.3">
      <c r="A212" s="1">
        <v>705627</v>
      </c>
      <c r="B212" s="1" t="s">
        <v>1403</v>
      </c>
      <c r="C212" s="5" t="s">
        <v>92</v>
      </c>
      <c r="D212" s="2">
        <v>45937</v>
      </c>
      <c r="E212" s="1" t="s">
        <v>31</v>
      </c>
      <c r="F212" s="1">
        <v>52104</v>
      </c>
      <c r="G212" s="1" t="s">
        <v>17</v>
      </c>
      <c r="H212" s="1" t="s">
        <v>18</v>
      </c>
      <c r="I212" s="2">
        <v>46093</v>
      </c>
      <c r="J212" s="1" t="s">
        <v>19</v>
      </c>
      <c r="K212" s="1" t="s">
        <v>1368</v>
      </c>
      <c r="L212" s="1" t="s">
        <v>20</v>
      </c>
      <c r="M212" s="1" t="s">
        <v>1632</v>
      </c>
      <c r="N212" s="1" t="str">
        <f t="shared" si="3"/>
        <v>THIAGO MARCOS</v>
      </c>
    </row>
    <row r="213" spans="1:14" x14ac:dyDescent="0.3">
      <c r="A213" s="1">
        <v>705357</v>
      </c>
      <c r="B213" s="1" t="s">
        <v>1217</v>
      </c>
      <c r="C213" s="5" t="s">
        <v>15</v>
      </c>
      <c r="D213" s="2">
        <v>45784</v>
      </c>
      <c r="E213" s="1" t="s">
        <v>31</v>
      </c>
      <c r="F213" s="1">
        <v>39304</v>
      </c>
      <c r="G213" s="1" t="s">
        <v>56</v>
      </c>
      <c r="H213" s="1" t="s">
        <v>18</v>
      </c>
      <c r="J213" s="1" t="s">
        <v>57</v>
      </c>
      <c r="K213" s="1" t="s">
        <v>1371</v>
      </c>
      <c r="L213" s="1" t="s">
        <v>1376</v>
      </c>
      <c r="M213" s="1" t="s">
        <v>1635</v>
      </c>
      <c r="N213" s="1" t="str">
        <f t="shared" si="3"/>
        <v>WARLEY RIBEIRO / EUDES FERNANDES</v>
      </c>
    </row>
    <row r="214" spans="1:14" x14ac:dyDescent="0.3">
      <c r="A214" s="1">
        <v>702912</v>
      </c>
      <c r="B214" s="1" t="s">
        <v>287</v>
      </c>
      <c r="C214" s="5" t="s">
        <v>15</v>
      </c>
      <c r="D214" s="2">
        <v>44656</v>
      </c>
      <c r="E214" s="1" t="s">
        <v>105</v>
      </c>
      <c r="F214" s="1">
        <v>22102</v>
      </c>
      <c r="G214" s="1" t="s">
        <v>68</v>
      </c>
      <c r="H214" s="1" t="s">
        <v>18</v>
      </c>
      <c r="J214" s="1" t="s">
        <v>142</v>
      </c>
      <c r="K214" s="1" t="s">
        <v>1371</v>
      </c>
      <c r="L214" s="1" t="s">
        <v>1509</v>
      </c>
      <c r="M214" s="1" t="s">
        <v>1633</v>
      </c>
      <c r="N214" s="1" t="str">
        <f t="shared" si="3"/>
        <v>CRISTIANO BARBOSA</v>
      </c>
    </row>
    <row r="215" spans="1:14" x14ac:dyDescent="0.3">
      <c r="A215" s="1">
        <v>100691</v>
      </c>
      <c r="B215" s="1" t="s">
        <v>288</v>
      </c>
      <c r="C215" s="5" t="s">
        <v>15</v>
      </c>
      <c r="D215" s="2">
        <v>42010</v>
      </c>
      <c r="E215" s="1" t="s">
        <v>1214</v>
      </c>
      <c r="F215" s="1">
        <v>34101</v>
      </c>
      <c r="G215" s="1" t="s">
        <v>43</v>
      </c>
      <c r="H215" s="1" t="s">
        <v>18</v>
      </c>
      <c r="J215" s="1" t="s">
        <v>237</v>
      </c>
      <c r="K215" s="1" t="s">
        <v>25</v>
      </c>
      <c r="L215" s="1" t="s">
        <v>1384</v>
      </c>
      <c r="N215" s="1" t="str">
        <f t="shared" si="3"/>
        <v xml:space="preserve">MARCOS VINICIUS </v>
      </c>
    </row>
    <row r="216" spans="1:14" x14ac:dyDescent="0.3">
      <c r="A216" s="1">
        <v>704740</v>
      </c>
      <c r="B216" s="1" t="s">
        <v>289</v>
      </c>
      <c r="C216" s="5" t="s">
        <v>15</v>
      </c>
      <c r="D216" s="2">
        <v>45538</v>
      </c>
      <c r="E216" s="1" t="s">
        <v>1218</v>
      </c>
      <c r="F216" s="1">
        <v>33301</v>
      </c>
      <c r="G216" s="1" t="s">
        <v>64</v>
      </c>
      <c r="H216" s="1" t="s">
        <v>18</v>
      </c>
      <c r="J216" s="1" t="s">
        <v>65</v>
      </c>
      <c r="K216" s="1" t="s">
        <v>25</v>
      </c>
      <c r="L216" s="1" t="s">
        <v>1375</v>
      </c>
      <c r="N216" s="1" t="str">
        <f t="shared" si="3"/>
        <v>ANDRÉ CUBA</v>
      </c>
    </row>
    <row r="217" spans="1:14" x14ac:dyDescent="0.3">
      <c r="A217" s="1">
        <v>101016</v>
      </c>
      <c r="B217" s="1" t="s">
        <v>290</v>
      </c>
      <c r="C217" s="5" t="s">
        <v>15</v>
      </c>
      <c r="D217" s="2">
        <v>42632</v>
      </c>
      <c r="E217" s="1" t="s">
        <v>291</v>
      </c>
      <c r="F217" s="1">
        <v>34201</v>
      </c>
      <c r="G217" s="1" t="s">
        <v>84</v>
      </c>
      <c r="H217" s="1" t="s">
        <v>18</v>
      </c>
      <c r="J217" s="1" t="s">
        <v>85</v>
      </c>
      <c r="K217" s="1" t="s">
        <v>1371</v>
      </c>
      <c r="L217" s="1" t="s">
        <v>1380</v>
      </c>
      <c r="M217" s="1" t="s">
        <v>1380</v>
      </c>
      <c r="N217" s="1" t="str">
        <f t="shared" si="3"/>
        <v xml:space="preserve">LEONARDO SANTOS </v>
      </c>
    </row>
    <row r="218" spans="1:14" x14ac:dyDescent="0.3">
      <c r="A218" s="1">
        <v>705801</v>
      </c>
      <c r="B218" s="1" t="s">
        <v>1519</v>
      </c>
      <c r="C218" s="5" t="s">
        <v>15</v>
      </c>
      <c r="D218" s="2">
        <v>46029</v>
      </c>
      <c r="E218" s="1" t="s">
        <v>67</v>
      </c>
      <c r="F218" s="1">
        <v>22101</v>
      </c>
      <c r="G218" s="1" t="s">
        <v>122</v>
      </c>
      <c r="H218" s="1" t="s">
        <v>18</v>
      </c>
      <c r="J218" s="1" t="s">
        <v>123</v>
      </c>
      <c r="K218" s="1" t="s">
        <v>124</v>
      </c>
      <c r="N218" s="1" t="str">
        <f t="shared" si="3"/>
        <v>MATHEUS FERNANDES</v>
      </c>
    </row>
    <row r="219" spans="1:14" x14ac:dyDescent="0.3">
      <c r="A219" s="1">
        <v>704004</v>
      </c>
      <c r="B219" s="1" t="s">
        <v>293</v>
      </c>
      <c r="C219" s="5" t="s">
        <v>15</v>
      </c>
      <c r="D219" s="2">
        <v>45118</v>
      </c>
      <c r="E219" s="1" t="s">
        <v>294</v>
      </c>
      <c r="F219" s="1">
        <v>22101</v>
      </c>
      <c r="G219" s="1" t="s">
        <v>122</v>
      </c>
      <c r="H219" s="1" t="s">
        <v>18</v>
      </c>
      <c r="J219" s="1" t="s">
        <v>123</v>
      </c>
      <c r="K219" s="1" t="s">
        <v>124</v>
      </c>
      <c r="N219" s="1" t="str">
        <f t="shared" si="3"/>
        <v>MATHEUS FERNANDES</v>
      </c>
    </row>
    <row r="220" spans="1:14" x14ac:dyDescent="0.3">
      <c r="A220" s="1">
        <v>705433</v>
      </c>
      <c r="B220" s="1" t="s">
        <v>1255</v>
      </c>
      <c r="C220" s="5" t="s">
        <v>15</v>
      </c>
      <c r="D220" s="2">
        <v>45797</v>
      </c>
      <c r="E220" s="1" t="s">
        <v>31</v>
      </c>
      <c r="F220" s="1">
        <v>22102</v>
      </c>
      <c r="G220" s="1" t="s">
        <v>68</v>
      </c>
      <c r="H220" s="1" t="s">
        <v>18</v>
      </c>
      <c r="J220" s="1" t="s">
        <v>81</v>
      </c>
      <c r="K220" s="1" t="s">
        <v>1371</v>
      </c>
      <c r="L220" s="1" t="s">
        <v>1509</v>
      </c>
      <c r="M220" s="1" t="s">
        <v>1379</v>
      </c>
      <c r="N220" s="1" t="str">
        <f t="shared" si="3"/>
        <v xml:space="preserve">EDSON/MARCELO LIMA </v>
      </c>
    </row>
    <row r="221" spans="1:14" x14ac:dyDescent="0.3">
      <c r="A221" s="1">
        <v>705768</v>
      </c>
      <c r="B221" s="1" t="s">
        <v>1499</v>
      </c>
      <c r="C221" s="5" t="s">
        <v>15</v>
      </c>
      <c r="D221" s="2">
        <v>45993</v>
      </c>
      <c r="E221" s="1" t="s">
        <v>31</v>
      </c>
      <c r="F221" s="1">
        <v>52104</v>
      </c>
      <c r="G221" s="1" t="s">
        <v>17</v>
      </c>
      <c r="H221" s="1" t="s">
        <v>18</v>
      </c>
      <c r="J221" s="1" t="s">
        <v>19</v>
      </c>
      <c r="K221" s="1" t="s">
        <v>1368</v>
      </c>
      <c r="L221" s="1" t="s">
        <v>20</v>
      </c>
      <c r="M221" s="1" t="s">
        <v>1632</v>
      </c>
      <c r="N221" s="1" t="str">
        <f t="shared" si="3"/>
        <v>THIAGO MARCOS</v>
      </c>
    </row>
    <row r="222" spans="1:14" x14ac:dyDescent="0.3">
      <c r="A222" s="1">
        <v>704262</v>
      </c>
      <c r="B222" s="1" t="s">
        <v>295</v>
      </c>
      <c r="C222" s="5" t="s">
        <v>15</v>
      </c>
      <c r="D222" s="2">
        <v>45342</v>
      </c>
      <c r="E222" s="1" t="s">
        <v>138</v>
      </c>
      <c r="F222" s="1">
        <v>22102</v>
      </c>
      <c r="G222" s="1" t="s">
        <v>68</v>
      </c>
      <c r="H222" s="1" t="s">
        <v>18</v>
      </c>
      <c r="J222" s="1" t="s">
        <v>81</v>
      </c>
      <c r="K222" s="1" t="s">
        <v>1371</v>
      </c>
      <c r="L222" s="1" t="s">
        <v>1509</v>
      </c>
      <c r="M222" s="1" t="s">
        <v>1379</v>
      </c>
      <c r="N222" s="1" t="str">
        <f t="shared" si="3"/>
        <v xml:space="preserve">EDSON/MARCELO LIMA </v>
      </c>
    </row>
    <row r="223" spans="1:14" x14ac:dyDescent="0.3">
      <c r="A223" s="1">
        <v>700820</v>
      </c>
      <c r="B223" s="1" t="s">
        <v>296</v>
      </c>
      <c r="C223" s="5" t="s">
        <v>15</v>
      </c>
      <c r="D223" s="2">
        <v>43437</v>
      </c>
      <c r="E223" s="1" t="s">
        <v>166</v>
      </c>
      <c r="F223" s="1">
        <v>22102</v>
      </c>
      <c r="G223" s="1" t="s">
        <v>68</v>
      </c>
      <c r="H223" s="1" t="s">
        <v>18</v>
      </c>
      <c r="J223" s="1" t="s">
        <v>167</v>
      </c>
      <c r="K223" s="1" t="s">
        <v>1371</v>
      </c>
      <c r="L223" s="1" t="s">
        <v>1509</v>
      </c>
      <c r="M223" s="1" t="s">
        <v>1636</v>
      </c>
      <c r="N223" s="1" t="str">
        <f t="shared" si="3"/>
        <v>FABIANO DIAS</v>
      </c>
    </row>
    <row r="224" spans="1:14" x14ac:dyDescent="0.3">
      <c r="A224" s="1">
        <v>702815</v>
      </c>
      <c r="B224" s="1" t="s">
        <v>297</v>
      </c>
      <c r="C224" s="5" t="s">
        <v>15</v>
      </c>
      <c r="D224" s="2">
        <v>44613</v>
      </c>
      <c r="E224" s="1" t="s">
        <v>60</v>
      </c>
      <c r="F224" s="1">
        <v>52104</v>
      </c>
      <c r="G224" s="1" t="s">
        <v>17</v>
      </c>
      <c r="H224" s="1" t="s">
        <v>18</v>
      </c>
      <c r="J224" s="1" t="s">
        <v>19</v>
      </c>
      <c r="K224" s="1" t="s">
        <v>1368</v>
      </c>
      <c r="L224" s="1" t="s">
        <v>20</v>
      </c>
      <c r="M224" s="1" t="s">
        <v>1632</v>
      </c>
      <c r="N224" s="1" t="str">
        <f t="shared" si="3"/>
        <v>THIAGO MARCOS</v>
      </c>
    </row>
    <row r="225" spans="1:14" x14ac:dyDescent="0.3">
      <c r="A225" s="1">
        <v>705067</v>
      </c>
      <c r="B225" s="1" t="s">
        <v>298</v>
      </c>
      <c r="C225" s="5" t="s">
        <v>15</v>
      </c>
      <c r="D225" s="2">
        <v>45670</v>
      </c>
      <c r="E225" s="1" t="s">
        <v>40</v>
      </c>
      <c r="F225" s="1">
        <v>51219</v>
      </c>
      <c r="G225" s="1" t="s">
        <v>61</v>
      </c>
      <c r="H225" s="1" t="s">
        <v>18</v>
      </c>
      <c r="J225" s="1" t="s">
        <v>37</v>
      </c>
      <c r="K225" s="1" t="s">
        <v>1368</v>
      </c>
      <c r="L225" s="1" t="s">
        <v>20</v>
      </c>
      <c r="M225" s="1" t="s">
        <v>1634</v>
      </c>
      <c r="N225" s="1" t="str">
        <f t="shared" si="3"/>
        <v>IRON SANTOS</v>
      </c>
    </row>
    <row r="226" spans="1:14" x14ac:dyDescent="0.3">
      <c r="A226" s="1">
        <v>702592</v>
      </c>
      <c r="B226" s="1" t="s">
        <v>300</v>
      </c>
      <c r="C226" s="5" t="s">
        <v>15</v>
      </c>
      <c r="D226" s="2">
        <v>44474</v>
      </c>
      <c r="E226" s="1" t="s">
        <v>173</v>
      </c>
      <c r="F226" s="1">
        <v>32101</v>
      </c>
      <c r="G226" s="1" t="s">
        <v>23</v>
      </c>
      <c r="H226" s="1" t="s">
        <v>18</v>
      </c>
      <c r="J226" s="1" t="s">
        <v>24</v>
      </c>
      <c r="K226" s="1" t="s">
        <v>25</v>
      </c>
      <c r="L226" s="1" t="s">
        <v>1369</v>
      </c>
      <c r="M226" s="1" t="s">
        <v>1370</v>
      </c>
      <c r="N226" s="1" t="str">
        <f t="shared" si="3"/>
        <v>JUNIO COSTA</v>
      </c>
    </row>
    <row r="227" spans="1:14" x14ac:dyDescent="0.3">
      <c r="A227" s="1">
        <v>705840</v>
      </c>
      <c r="B227" s="1" t="s">
        <v>1608</v>
      </c>
      <c r="C227" s="5" t="s">
        <v>15</v>
      </c>
      <c r="D227" s="2">
        <v>46091</v>
      </c>
      <c r="E227" s="1" t="s">
        <v>31</v>
      </c>
      <c r="F227" s="1">
        <v>52104</v>
      </c>
      <c r="G227" s="1" t="s">
        <v>17</v>
      </c>
      <c r="H227" s="1" t="s">
        <v>18</v>
      </c>
      <c r="J227" s="1" t="s">
        <v>19</v>
      </c>
      <c r="K227" s="1" t="s">
        <v>1368</v>
      </c>
      <c r="L227" s="1" t="s">
        <v>20</v>
      </c>
      <c r="M227" s="1" t="s">
        <v>1632</v>
      </c>
      <c r="N227" s="1" t="str">
        <f t="shared" si="3"/>
        <v>THIAGO MARCOS</v>
      </c>
    </row>
    <row r="228" spans="1:14" x14ac:dyDescent="0.3">
      <c r="A228" s="1">
        <v>101799</v>
      </c>
      <c r="B228" s="1" t="s">
        <v>301</v>
      </c>
      <c r="C228" s="5" t="s">
        <v>15</v>
      </c>
      <c r="D228" s="2">
        <v>43080</v>
      </c>
      <c r="E228" s="1" t="s">
        <v>71</v>
      </c>
      <c r="F228" s="1">
        <v>25201</v>
      </c>
      <c r="G228" s="1" t="s">
        <v>89</v>
      </c>
      <c r="H228" s="1" t="s">
        <v>18</v>
      </c>
      <c r="J228" s="1" t="s">
        <v>19</v>
      </c>
      <c r="K228" s="1" t="s">
        <v>1368</v>
      </c>
      <c r="L228" s="1" t="s">
        <v>20</v>
      </c>
      <c r="M228" s="1" t="s">
        <v>1632</v>
      </c>
      <c r="N228" s="1" t="str">
        <f t="shared" si="3"/>
        <v>THIAGO MARCOS</v>
      </c>
    </row>
    <row r="229" spans="1:14" x14ac:dyDescent="0.3">
      <c r="A229" s="1">
        <v>700672</v>
      </c>
      <c r="B229" s="1" t="s">
        <v>856</v>
      </c>
      <c r="C229" s="5" t="s">
        <v>15</v>
      </c>
      <c r="D229" s="2">
        <v>43381</v>
      </c>
      <c r="E229" s="1" t="s">
        <v>166</v>
      </c>
      <c r="F229" s="1">
        <v>22102</v>
      </c>
      <c r="G229" s="1" t="s">
        <v>68</v>
      </c>
      <c r="H229" s="1" t="s">
        <v>18</v>
      </c>
      <c r="J229" s="1" t="s">
        <v>81</v>
      </c>
      <c r="K229" s="1" t="s">
        <v>1371</v>
      </c>
      <c r="L229" s="1" t="s">
        <v>1509</v>
      </c>
      <c r="M229" s="1" t="s">
        <v>1379</v>
      </c>
      <c r="N229" s="1" t="str">
        <f t="shared" si="3"/>
        <v xml:space="preserve">EDSON/MARCELO LIMA </v>
      </c>
    </row>
    <row r="230" spans="1:14" x14ac:dyDescent="0.3">
      <c r="A230" s="1">
        <v>703664</v>
      </c>
      <c r="B230" s="1" t="s">
        <v>303</v>
      </c>
      <c r="C230" s="5" t="s">
        <v>15</v>
      </c>
      <c r="D230" s="2">
        <v>44998</v>
      </c>
      <c r="E230" s="1" t="s">
        <v>304</v>
      </c>
      <c r="F230" s="1">
        <v>39302</v>
      </c>
      <c r="G230" s="1" t="s">
        <v>102</v>
      </c>
      <c r="H230" s="1" t="s">
        <v>18</v>
      </c>
      <c r="J230" s="1" t="s">
        <v>57</v>
      </c>
      <c r="K230" s="1" t="s">
        <v>1371</v>
      </c>
      <c r="L230" s="1" t="s">
        <v>1376</v>
      </c>
      <c r="M230" s="1" t="s">
        <v>1635</v>
      </c>
      <c r="N230" s="1" t="str">
        <f t="shared" si="3"/>
        <v>WARLEY RIBEIRO / EUDES FERNANDES</v>
      </c>
    </row>
    <row r="231" spans="1:14" x14ac:dyDescent="0.3">
      <c r="A231" s="1">
        <v>704147</v>
      </c>
      <c r="B231" s="1" t="s">
        <v>305</v>
      </c>
      <c r="C231" s="5" t="s">
        <v>15</v>
      </c>
      <c r="D231" s="2">
        <v>45264</v>
      </c>
      <c r="E231" s="1" t="s">
        <v>138</v>
      </c>
      <c r="F231" s="1">
        <v>22102</v>
      </c>
      <c r="G231" s="1" t="s">
        <v>68</v>
      </c>
      <c r="H231" s="1" t="s">
        <v>18</v>
      </c>
      <c r="J231" s="1" t="s">
        <v>81</v>
      </c>
      <c r="K231" s="1" t="s">
        <v>1371</v>
      </c>
      <c r="L231" s="1" t="s">
        <v>1509</v>
      </c>
      <c r="M231" s="1" t="s">
        <v>1379</v>
      </c>
      <c r="N231" s="1" t="str">
        <f t="shared" si="3"/>
        <v xml:space="preserve">EDSON/MARCELO LIMA </v>
      </c>
    </row>
    <row r="232" spans="1:14" x14ac:dyDescent="0.3">
      <c r="A232" s="1">
        <v>703501</v>
      </c>
      <c r="B232" s="1" t="s">
        <v>306</v>
      </c>
      <c r="C232" s="5" t="s">
        <v>15</v>
      </c>
      <c r="D232" s="2">
        <v>44887</v>
      </c>
      <c r="E232" s="1" t="s">
        <v>141</v>
      </c>
      <c r="F232" s="1">
        <v>22102</v>
      </c>
      <c r="G232" s="1" t="s">
        <v>68</v>
      </c>
      <c r="H232" s="1" t="s">
        <v>18</v>
      </c>
      <c r="J232" s="1" t="s">
        <v>142</v>
      </c>
      <c r="K232" s="1" t="s">
        <v>1371</v>
      </c>
      <c r="L232" s="1" t="s">
        <v>1509</v>
      </c>
      <c r="M232" s="1" t="s">
        <v>1633</v>
      </c>
      <c r="N232" s="1" t="str">
        <f t="shared" si="3"/>
        <v>CRISTIANO BARBOSA</v>
      </c>
    </row>
    <row r="233" spans="1:14" x14ac:dyDescent="0.3">
      <c r="A233" s="1">
        <v>705822</v>
      </c>
      <c r="B233" s="1" t="s">
        <v>1520</v>
      </c>
      <c r="C233" s="5" t="s">
        <v>15</v>
      </c>
      <c r="D233" s="2">
        <v>46035</v>
      </c>
      <c r="E233" s="1" t="s">
        <v>31</v>
      </c>
      <c r="F233" s="1">
        <v>52104</v>
      </c>
      <c r="G233" s="1" t="s">
        <v>17</v>
      </c>
      <c r="H233" s="1" t="s">
        <v>18</v>
      </c>
      <c r="J233" s="1" t="s">
        <v>19</v>
      </c>
      <c r="K233" s="1" t="s">
        <v>1368</v>
      </c>
      <c r="L233" s="1" t="s">
        <v>20</v>
      </c>
      <c r="M233" s="1" t="s">
        <v>1632</v>
      </c>
      <c r="N233" s="1" t="str">
        <f t="shared" si="3"/>
        <v>THIAGO MARCOS</v>
      </c>
    </row>
    <row r="234" spans="1:14" x14ac:dyDescent="0.3">
      <c r="A234" s="1">
        <v>104107</v>
      </c>
      <c r="B234" s="1" t="s">
        <v>307</v>
      </c>
      <c r="C234" s="5" t="s">
        <v>15</v>
      </c>
      <c r="D234" s="2">
        <v>41753</v>
      </c>
      <c r="E234" s="1" t="s">
        <v>260</v>
      </c>
      <c r="F234" s="1">
        <v>52104</v>
      </c>
      <c r="G234" s="1" t="s">
        <v>17</v>
      </c>
      <c r="H234" s="1" t="s">
        <v>18</v>
      </c>
      <c r="J234" s="1" t="s">
        <v>19</v>
      </c>
      <c r="K234" s="1" t="s">
        <v>1368</v>
      </c>
      <c r="L234" s="1" t="s">
        <v>20</v>
      </c>
      <c r="M234" s="1" t="s">
        <v>1632</v>
      </c>
      <c r="N234" s="1" t="str">
        <f t="shared" si="3"/>
        <v>THIAGO MARCOS</v>
      </c>
    </row>
    <row r="235" spans="1:14" x14ac:dyDescent="0.3">
      <c r="A235" s="1">
        <v>701497</v>
      </c>
      <c r="B235" s="1" t="s">
        <v>308</v>
      </c>
      <c r="C235" s="5" t="s">
        <v>15</v>
      </c>
      <c r="D235" s="2">
        <v>43886</v>
      </c>
      <c r="E235" s="1" t="s">
        <v>251</v>
      </c>
      <c r="F235" s="1">
        <v>39301</v>
      </c>
      <c r="G235" s="1" t="s">
        <v>73</v>
      </c>
      <c r="H235" s="1" t="s">
        <v>18</v>
      </c>
      <c r="J235" s="1" t="s">
        <v>74</v>
      </c>
      <c r="K235" s="1" t="s">
        <v>1371</v>
      </c>
      <c r="L235" s="1" t="s">
        <v>1376</v>
      </c>
      <c r="M235" s="1" t="s">
        <v>75</v>
      </c>
      <c r="N235" s="1" t="str">
        <f t="shared" si="3"/>
        <v>ISAC NONATO</v>
      </c>
    </row>
    <row r="236" spans="1:14" x14ac:dyDescent="0.3">
      <c r="A236" s="1">
        <v>705511</v>
      </c>
      <c r="B236" s="1" t="s">
        <v>1296</v>
      </c>
      <c r="C236" s="5" t="s">
        <v>15</v>
      </c>
      <c r="D236" s="2">
        <v>45847</v>
      </c>
      <c r="E236" s="1" t="s">
        <v>31</v>
      </c>
      <c r="F236" s="1">
        <v>22102</v>
      </c>
      <c r="G236" s="1" t="s">
        <v>68</v>
      </c>
      <c r="H236" s="1" t="s">
        <v>18</v>
      </c>
      <c r="J236" s="1" t="s">
        <v>142</v>
      </c>
      <c r="K236" s="1" t="s">
        <v>1371</v>
      </c>
      <c r="L236" s="1" t="s">
        <v>1509</v>
      </c>
      <c r="M236" s="1" t="s">
        <v>1633</v>
      </c>
      <c r="N236" s="1" t="str">
        <f t="shared" si="3"/>
        <v>CRISTIANO BARBOSA</v>
      </c>
    </row>
    <row r="237" spans="1:14" x14ac:dyDescent="0.3">
      <c r="A237" s="1">
        <v>702033</v>
      </c>
      <c r="B237" s="1" t="s">
        <v>309</v>
      </c>
      <c r="C237" s="5" t="s">
        <v>15</v>
      </c>
      <c r="D237" s="2">
        <v>44250</v>
      </c>
      <c r="E237" s="1" t="s">
        <v>219</v>
      </c>
      <c r="F237" s="1">
        <v>32101</v>
      </c>
      <c r="G237" s="1" t="s">
        <v>23</v>
      </c>
      <c r="H237" s="1" t="s">
        <v>18</v>
      </c>
      <c r="J237" s="1" t="s">
        <v>24</v>
      </c>
      <c r="K237" s="1" t="s">
        <v>25</v>
      </c>
      <c r="L237" s="1" t="s">
        <v>1369</v>
      </c>
      <c r="M237" s="1" t="s">
        <v>1370</v>
      </c>
      <c r="N237" s="1" t="str">
        <f t="shared" si="3"/>
        <v>JUNIO COSTA</v>
      </c>
    </row>
    <row r="238" spans="1:14" x14ac:dyDescent="0.3">
      <c r="A238" s="1">
        <v>705134</v>
      </c>
      <c r="B238" s="1" t="s">
        <v>1142</v>
      </c>
      <c r="C238" s="5" t="s">
        <v>15</v>
      </c>
      <c r="D238" s="2">
        <v>45698</v>
      </c>
      <c r="E238" s="1" t="s">
        <v>67</v>
      </c>
      <c r="F238" s="1">
        <v>22102</v>
      </c>
      <c r="G238" s="1" t="s">
        <v>68</v>
      </c>
      <c r="H238" s="1" t="s">
        <v>18</v>
      </c>
      <c r="J238" s="1" t="s">
        <v>94</v>
      </c>
      <c r="K238" s="1" t="s">
        <v>1371</v>
      </c>
      <c r="L238" s="1" t="s">
        <v>1378</v>
      </c>
      <c r="M238" s="1" t="s">
        <v>95</v>
      </c>
      <c r="N238" s="1" t="str">
        <f t="shared" si="3"/>
        <v>LUAN ABADIA</v>
      </c>
    </row>
    <row r="239" spans="1:14" x14ac:dyDescent="0.3">
      <c r="A239" s="1">
        <v>705371</v>
      </c>
      <c r="B239" s="1" t="s">
        <v>1219</v>
      </c>
      <c r="C239" s="5" t="s">
        <v>15</v>
      </c>
      <c r="D239" s="2">
        <v>45784</v>
      </c>
      <c r="E239" s="1" t="s">
        <v>93</v>
      </c>
      <c r="F239" s="1">
        <v>22102</v>
      </c>
      <c r="G239" s="1" t="s">
        <v>68</v>
      </c>
      <c r="H239" s="1" t="s">
        <v>18</v>
      </c>
      <c r="J239" s="1" t="s">
        <v>81</v>
      </c>
      <c r="K239" s="1" t="s">
        <v>1371</v>
      </c>
      <c r="L239" s="1" t="s">
        <v>1509</v>
      </c>
      <c r="M239" s="1" t="s">
        <v>1379</v>
      </c>
      <c r="N239" s="1" t="str">
        <f t="shared" si="3"/>
        <v xml:space="preserve">EDSON/MARCELO LIMA </v>
      </c>
    </row>
    <row r="240" spans="1:14" x14ac:dyDescent="0.3">
      <c r="A240" s="1">
        <v>704184</v>
      </c>
      <c r="B240" s="1" t="s">
        <v>310</v>
      </c>
      <c r="C240" s="5" t="s">
        <v>15</v>
      </c>
      <c r="D240" s="2">
        <v>45300</v>
      </c>
      <c r="E240" s="1" t="s">
        <v>97</v>
      </c>
      <c r="F240" s="1">
        <v>32101</v>
      </c>
      <c r="G240" s="1" t="s">
        <v>23</v>
      </c>
      <c r="H240" s="1" t="s">
        <v>18</v>
      </c>
      <c r="J240" s="1" t="s">
        <v>24</v>
      </c>
      <c r="K240" s="1" t="s">
        <v>25</v>
      </c>
      <c r="L240" s="1" t="s">
        <v>1369</v>
      </c>
      <c r="M240" s="1" t="s">
        <v>1370</v>
      </c>
      <c r="N240" s="1" t="str">
        <f t="shared" si="3"/>
        <v>JUNIO COSTA</v>
      </c>
    </row>
    <row r="241" spans="1:14" x14ac:dyDescent="0.3">
      <c r="A241" s="1">
        <v>705697</v>
      </c>
      <c r="B241" s="1" t="s">
        <v>1450</v>
      </c>
      <c r="C241" s="5" t="s">
        <v>15</v>
      </c>
      <c r="D241" s="2">
        <v>45971</v>
      </c>
      <c r="E241" s="1" t="s">
        <v>166</v>
      </c>
      <c r="F241" s="1">
        <v>22102</v>
      </c>
      <c r="G241" s="1" t="s">
        <v>68</v>
      </c>
      <c r="H241" s="1" t="s">
        <v>18</v>
      </c>
      <c r="J241" s="1" t="s">
        <v>94</v>
      </c>
      <c r="K241" s="1" t="s">
        <v>1371</v>
      </c>
      <c r="L241" s="1" t="s">
        <v>1378</v>
      </c>
      <c r="M241" s="1" t="s">
        <v>95</v>
      </c>
      <c r="N241" s="1" t="str">
        <f t="shared" si="3"/>
        <v>LUAN ABADIA</v>
      </c>
    </row>
    <row r="242" spans="1:14" x14ac:dyDescent="0.3">
      <c r="A242" s="1">
        <v>704573</v>
      </c>
      <c r="B242" s="1" t="s">
        <v>311</v>
      </c>
      <c r="C242" s="5" t="s">
        <v>15</v>
      </c>
      <c r="D242" s="2">
        <v>45448</v>
      </c>
      <c r="E242" s="1" t="s">
        <v>31</v>
      </c>
      <c r="F242" s="1">
        <v>25201</v>
      </c>
      <c r="G242" s="1" t="s">
        <v>89</v>
      </c>
      <c r="H242" s="1" t="s">
        <v>18</v>
      </c>
      <c r="J242" s="1" t="s">
        <v>19</v>
      </c>
      <c r="K242" s="1" t="s">
        <v>1368</v>
      </c>
      <c r="L242" s="1" t="s">
        <v>20</v>
      </c>
      <c r="M242" s="1" t="s">
        <v>1632</v>
      </c>
      <c r="N242" s="1" t="str">
        <f t="shared" si="3"/>
        <v>THIAGO MARCOS</v>
      </c>
    </row>
    <row r="243" spans="1:14" x14ac:dyDescent="0.3">
      <c r="A243" s="1">
        <v>702869</v>
      </c>
      <c r="B243" s="1" t="s">
        <v>312</v>
      </c>
      <c r="C243" s="5" t="s">
        <v>15</v>
      </c>
      <c r="D243" s="2">
        <v>44628</v>
      </c>
      <c r="E243" s="1" t="s">
        <v>138</v>
      </c>
      <c r="F243" s="1">
        <v>22102</v>
      </c>
      <c r="G243" s="1" t="s">
        <v>68</v>
      </c>
      <c r="H243" s="1" t="s">
        <v>18</v>
      </c>
      <c r="J243" s="1" t="s">
        <v>81</v>
      </c>
      <c r="K243" s="1" t="s">
        <v>1371</v>
      </c>
      <c r="L243" s="1" t="s">
        <v>1509</v>
      </c>
      <c r="M243" s="1" t="s">
        <v>1379</v>
      </c>
      <c r="N243" s="1" t="str">
        <f t="shared" si="3"/>
        <v xml:space="preserve">EDSON/MARCELO LIMA </v>
      </c>
    </row>
    <row r="244" spans="1:14" x14ac:dyDescent="0.3">
      <c r="A244" s="1">
        <v>705010</v>
      </c>
      <c r="B244" s="1" t="s">
        <v>314</v>
      </c>
      <c r="C244" s="5" t="s">
        <v>15</v>
      </c>
      <c r="D244" s="2">
        <v>45629</v>
      </c>
      <c r="E244" s="1" t="s">
        <v>31</v>
      </c>
      <c r="F244" s="1">
        <v>52104</v>
      </c>
      <c r="G244" s="1" t="s">
        <v>17</v>
      </c>
      <c r="H244" s="1" t="s">
        <v>18</v>
      </c>
      <c r="J244" s="1" t="s">
        <v>19</v>
      </c>
      <c r="K244" s="1" t="s">
        <v>1368</v>
      </c>
      <c r="L244" s="1" t="s">
        <v>20</v>
      </c>
      <c r="M244" s="1" t="s">
        <v>1632</v>
      </c>
      <c r="N244" s="1" t="str">
        <f t="shared" si="3"/>
        <v>THIAGO MARCOS</v>
      </c>
    </row>
    <row r="245" spans="1:14" x14ac:dyDescent="0.3">
      <c r="A245" s="1">
        <v>703418</v>
      </c>
      <c r="B245" s="1" t="s">
        <v>45</v>
      </c>
      <c r="C245" s="5" t="s">
        <v>92</v>
      </c>
      <c r="D245" s="2">
        <v>44873</v>
      </c>
      <c r="E245" s="1" t="s">
        <v>1220</v>
      </c>
      <c r="F245" s="1">
        <v>33101</v>
      </c>
      <c r="G245" s="1" t="s">
        <v>186</v>
      </c>
      <c r="H245" s="1" t="s">
        <v>18</v>
      </c>
      <c r="I245" s="2">
        <v>46099</v>
      </c>
      <c r="J245" s="1" t="s">
        <v>1278</v>
      </c>
      <c r="K245" s="1" t="s">
        <v>25</v>
      </c>
      <c r="N245" s="1" t="str">
        <f t="shared" si="3"/>
        <v>RAFAEL XAVIER</v>
      </c>
    </row>
    <row r="246" spans="1:14" x14ac:dyDescent="0.3">
      <c r="A246" s="1">
        <v>705811</v>
      </c>
      <c r="B246" s="1" t="s">
        <v>1521</v>
      </c>
      <c r="C246" s="5" t="s">
        <v>15</v>
      </c>
      <c r="D246" s="2">
        <v>46035</v>
      </c>
      <c r="E246" s="1" t="s">
        <v>31</v>
      </c>
      <c r="F246" s="1">
        <v>52104</v>
      </c>
      <c r="G246" s="1" t="s">
        <v>17</v>
      </c>
      <c r="H246" s="1" t="s">
        <v>18</v>
      </c>
      <c r="J246" s="1" t="s">
        <v>19</v>
      </c>
      <c r="K246" s="1" t="s">
        <v>1368</v>
      </c>
      <c r="L246" s="1" t="s">
        <v>20</v>
      </c>
      <c r="M246" s="1" t="s">
        <v>1632</v>
      </c>
      <c r="N246" s="1" t="str">
        <f t="shared" si="3"/>
        <v>THIAGO MARCOS</v>
      </c>
    </row>
    <row r="247" spans="1:14" x14ac:dyDescent="0.3">
      <c r="A247" s="1">
        <v>702701</v>
      </c>
      <c r="B247" s="1" t="s">
        <v>316</v>
      </c>
      <c r="C247" s="5" t="s">
        <v>15</v>
      </c>
      <c r="D247" s="2">
        <v>44572</v>
      </c>
      <c r="E247" s="1" t="s">
        <v>97</v>
      </c>
      <c r="F247" s="1">
        <v>32101</v>
      </c>
      <c r="G247" s="1" t="s">
        <v>23</v>
      </c>
      <c r="H247" s="1" t="s">
        <v>18</v>
      </c>
      <c r="J247" s="1" t="s">
        <v>24</v>
      </c>
      <c r="K247" s="1" t="s">
        <v>25</v>
      </c>
      <c r="L247" s="1" t="s">
        <v>1369</v>
      </c>
      <c r="M247" s="1" t="s">
        <v>1370</v>
      </c>
      <c r="N247" s="1" t="str">
        <f t="shared" si="3"/>
        <v>JUNIO COSTA</v>
      </c>
    </row>
    <row r="248" spans="1:14" x14ac:dyDescent="0.3">
      <c r="A248" s="1">
        <v>704837</v>
      </c>
      <c r="B248" s="1" t="s">
        <v>317</v>
      </c>
      <c r="C248" s="5" t="s">
        <v>15</v>
      </c>
      <c r="D248" s="2">
        <v>45566</v>
      </c>
      <c r="E248" s="1" t="s">
        <v>27</v>
      </c>
      <c r="F248" s="1">
        <v>39304</v>
      </c>
      <c r="G248" s="1" t="s">
        <v>56</v>
      </c>
      <c r="H248" s="1" t="s">
        <v>18</v>
      </c>
      <c r="J248" s="1" t="s">
        <v>57</v>
      </c>
      <c r="K248" s="1" t="s">
        <v>1371</v>
      </c>
      <c r="L248" s="1" t="s">
        <v>1376</v>
      </c>
      <c r="M248" s="1" t="s">
        <v>1635</v>
      </c>
      <c r="N248" s="1" t="str">
        <f t="shared" si="3"/>
        <v>WARLEY RIBEIRO / EUDES FERNANDES</v>
      </c>
    </row>
    <row r="249" spans="1:14" x14ac:dyDescent="0.3">
      <c r="A249" s="1">
        <v>702563</v>
      </c>
      <c r="B249" s="1" t="s">
        <v>318</v>
      </c>
      <c r="C249" s="5" t="s">
        <v>15</v>
      </c>
      <c r="D249" s="2">
        <v>44459</v>
      </c>
      <c r="E249" s="1" t="s">
        <v>60</v>
      </c>
      <c r="F249" s="1">
        <v>22102</v>
      </c>
      <c r="G249" s="1" t="s">
        <v>68</v>
      </c>
      <c r="H249" s="1" t="s">
        <v>18</v>
      </c>
      <c r="J249" s="1" t="s">
        <v>81</v>
      </c>
      <c r="K249" s="1" t="s">
        <v>1371</v>
      </c>
      <c r="L249" s="1" t="s">
        <v>1509</v>
      </c>
      <c r="M249" s="1" t="s">
        <v>1379</v>
      </c>
      <c r="N249" s="1" t="str">
        <f t="shared" si="3"/>
        <v xml:space="preserve">EDSON/MARCELO LIMA </v>
      </c>
    </row>
    <row r="250" spans="1:14" x14ac:dyDescent="0.3">
      <c r="A250" s="1">
        <v>105433</v>
      </c>
      <c r="B250" s="1" t="s">
        <v>319</v>
      </c>
      <c r="C250" s="5" t="s">
        <v>15</v>
      </c>
      <c r="D250" s="2">
        <v>42863</v>
      </c>
      <c r="E250" s="1" t="s">
        <v>179</v>
      </c>
      <c r="F250" s="1">
        <v>32101</v>
      </c>
      <c r="G250" s="1" t="s">
        <v>23</v>
      </c>
      <c r="H250" s="1" t="s">
        <v>18</v>
      </c>
      <c r="J250" s="1" t="s">
        <v>24</v>
      </c>
      <c r="K250" s="1" t="s">
        <v>25</v>
      </c>
      <c r="L250" s="1" t="s">
        <v>1369</v>
      </c>
      <c r="M250" s="1" t="s">
        <v>1370</v>
      </c>
      <c r="N250" s="1" t="str">
        <f t="shared" si="3"/>
        <v>JUNIO COSTA</v>
      </c>
    </row>
    <row r="251" spans="1:14" x14ac:dyDescent="0.3">
      <c r="A251" s="1">
        <v>703240</v>
      </c>
      <c r="B251" s="1" t="s">
        <v>320</v>
      </c>
      <c r="C251" s="5" t="s">
        <v>15</v>
      </c>
      <c r="D251" s="2">
        <v>44760</v>
      </c>
      <c r="E251" s="1" t="s">
        <v>1221</v>
      </c>
      <c r="F251" s="1">
        <v>34201</v>
      </c>
      <c r="G251" s="1" t="s">
        <v>84</v>
      </c>
      <c r="H251" s="1" t="s">
        <v>18</v>
      </c>
      <c r="J251" s="1" t="s">
        <v>85</v>
      </c>
      <c r="K251" s="1" t="s">
        <v>1371</v>
      </c>
      <c r="L251" s="1" t="s">
        <v>1380</v>
      </c>
      <c r="M251" s="1" t="s">
        <v>1380</v>
      </c>
      <c r="N251" s="1" t="str">
        <f t="shared" si="3"/>
        <v xml:space="preserve">LEONARDO SANTOS </v>
      </c>
    </row>
    <row r="252" spans="1:14" x14ac:dyDescent="0.3">
      <c r="A252" s="1">
        <v>701224</v>
      </c>
      <c r="B252" s="1" t="s">
        <v>321</v>
      </c>
      <c r="C252" s="5" t="s">
        <v>15</v>
      </c>
      <c r="D252" s="2">
        <v>42506</v>
      </c>
      <c r="E252" s="1" t="s">
        <v>160</v>
      </c>
      <c r="F252" s="1">
        <v>32101</v>
      </c>
      <c r="G252" s="1" t="s">
        <v>23</v>
      </c>
      <c r="H252" s="1" t="s">
        <v>18</v>
      </c>
      <c r="J252" s="1" t="s">
        <v>24</v>
      </c>
      <c r="K252" s="1" t="s">
        <v>25</v>
      </c>
      <c r="L252" s="1" t="s">
        <v>1369</v>
      </c>
      <c r="M252" s="1" t="s">
        <v>1370</v>
      </c>
      <c r="N252" s="1" t="str">
        <f t="shared" si="3"/>
        <v>JUNIO COSTA</v>
      </c>
    </row>
    <row r="253" spans="1:14" x14ac:dyDescent="0.3">
      <c r="A253" s="1">
        <v>702712</v>
      </c>
      <c r="B253" s="1" t="s">
        <v>322</v>
      </c>
      <c r="C253" s="5" t="s">
        <v>15</v>
      </c>
      <c r="D253" s="2">
        <v>44586</v>
      </c>
      <c r="E253" s="1" t="s">
        <v>323</v>
      </c>
      <c r="F253" s="1">
        <v>14101</v>
      </c>
      <c r="G253" s="1" t="s">
        <v>277</v>
      </c>
      <c r="H253" s="1" t="s">
        <v>18</v>
      </c>
      <c r="J253" s="1" t="s">
        <v>278</v>
      </c>
      <c r="K253" s="1" t="s">
        <v>1372</v>
      </c>
      <c r="N253" s="1" t="str">
        <f t="shared" si="3"/>
        <v xml:space="preserve">LEIDJANE MARTINS </v>
      </c>
    </row>
    <row r="254" spans="1:14" x14ac:dyDescent="0.3">
      <c r="A254" s="1">
        <v>101069</v>
      </c>
      <c r="B254" s="1" t="s">
        <v>324</v>
      </c>
      <c r="C254" s="5" t="s">
        <v>15</v>
      </c>
      <c r="D254" s="2">
        <v>42663</v>
      </c>
      <c r="E254" s="1" t="s">
        <v>80</v>
      </c>
      <c r="F254" s="1">
        <v>38101</v>
      </c>
      <c r="G254" s="1" t="s">
        <v>35</v>
      </c>
      <c r="H254" s="1" t="s">
        <v>18</v>
      </c>
      <c r="J254" s="1" t="s">
        <v>36</v>
      </c>
      <c r="K254" s="1" t="s">
        <v>1372</v>
      </c>
      <c r="L254" s="1" t="s">
        <v>1373</v>
      </c>
      <c r="M254" s="1" t="s">
        <v>1373</v>
      </c>
      <c r="N254" s="1" t="str">
        <f t="shared" si="3"/>
        <v>DENIS ACASSIO</v>
      </c>
    </row>
    <row r="255" spans="1:14" x14ac:dyDescent="0.3">
      <c r="A255" s="1">
        <v>705252</v>
      </c>
      <c r="B255" s="1" t="s">
        <v>1180</v>
      </c>
      <c r="C255" s="5" t="s">
        <v>15</v>
      </c>
      <c r="D255" s="2">
        <v>45762</v>
      </c>
      <c r="E255" s="1" t="s">
        <v>31</v>
      </c>
      <c r="F255" s="1">
        <v>39301</v>
      </c>
      <c r="G255" s="1" t="s">
        <v>73</v>
      </c>
      <c r="H255" s="1" t="s">
        <v>18</v>
      </c>
      <c r="J255" s="1" t="s">
        <v>74</v>
      </c>
      <c r="K255" s="1" t="s">
        <v>1371</v>
      </c>
      <c r="L255" s="1" t="s">
        <v>1376</v>
      </c>
      <c r="M255" s="1" t="s">
        <v>75</v>
      </c>
      <c r="N255" s="1" t="str">
        <f t="shared" si="3"/>
        <v>ISAC NONATO</v>
      </c>
    </row>
    <row r="256" spans="1:14" x14ac:dyDescent="0.3">
      <c r="A256" s="1">
        <v>702981</v>
      </c>
      <c r="B256" s="1" t="s">
        <v>325</v>
      </c>
      <c r="C256" s="5" t="s">
        <v>15</v>
      </c>
      <c r="D256" s="2">
        <v>44684</v>
      </c>
      <c r="E256" s="1" t="s">
        <v>326</v>
      </c>
      <c r="F256" s="1">
        <v>32101</v>
      </c>
      <c r="G256" s="1" t="s">
        <v>23</v>
      </c>
      <c r="H256" s="1" t="s">
        <v>18</v>
      </c>
      <c r="J256" s="1" t="s">
        <v>24</v>
      </c>
      <c r="K256" s="1" t="s">
        <v>25</v>
      </c>
      <c r="L256" s="1" t="s">
        <v>1369</v>
      </c>
      <c r="M256" s="1" t="s">
        <v>1370</v>
      </c>
      <c r="N256" s="1" t="str">
        <f t="shared" si="3"/>
        <v>JUNIO COSTA</v>
      </c>
    </row>
    <row r="257" spans="1:14" x14ac:dyDescent="0.3">
      <c r="A257" s="1">
        <v>705780</v>
      </c>
      <c r="B257" s="1" t="s">
        <v>1483</v>
      </c>
      <c r="C257" s="5" t="s">
        <v>92</v>
      </c>
      <c r="D257" s="2">
        <v>45993</v>
      </c>
      <c r="E257" s="1" t="s">
        <v>31</v>
      </c>
      <c r="F257" s="1">
        <v>52104</v>
      </c>
      <c r="G257" s="1" t="s">
        <v>17</v>
      </c>
      <c r="H257" s="1" t="s">
        <v>18</v>
      </c>
      <c r="I257" s="2">
        <v>46082</v>
      </c>
      <c r="J257" s="1" t="s">
        <v>19</v>
      </c>
      <c r="K257" s="1" t="s">
        <v>1368</v>
      </c>
      <c r="L257" s="1" t="s">
        <v>20</v>
      </c>
      <c r="M257" s="1" t="s">
        <v>1632</v>
      </c>
      <c r="N257" s="1" t="str">
        <f t="shared" si="3"/>
        <v>THIAGO MARCOS</v>
      </c>
    </row>
    <row r="258" spans="1:14" x14ac:dyDescent="0.3">
      <c r="A258" s="1">
        <v>705628</v>
      </c>
      <c r="B258" s="1" t="s">
        <v>1404</v>
      </c>
      <c r="C258" s="5" t="s">
        <v>15</v>
      </c>
      <c r="D258" s="2">
        <v>45937</v>
      </c>
      <c r="E258" s="1" t="s">
        <v>31</v>
      </c>
      <c r="F258" s="1">
        <v>25201</v>
      </c>
      <c r="G258" s="1" t="s">
        <v>89</v>
      </c>
      <c r="H258" s="1" t="s">
        <v>18</v>
      </c>
      <c r="J258" s="1" t="s">
        <v>19</v>
      </c>
      <c r="K258" s="1" t="s">
        <v>1368</v>
      </c>
      <c r="L258" s="1" t="s">
        <v>20</v>
      </c>
      <c r="M258" s="1" t="s">
        <v>1632</v>
      </c>
      <c r="N258" s="1" t="str">
        <f t="shared" si="3"/>
        <v>THIAGO MARCOS</v>
      </c>
    </row>
    <row r="259" spans="1:14" x14ac:dyDescent="0.3">
      <c r="A259" s="1">
        <v>705630</v>
      </c>
      <c r="B259" s="1" t="s">
        <v>1405</v>
      </c>
      <c r="C259" s="5" t="s">
        <v>15</v>
      </c>
      <c r="D259" s="2">
        <v>45937</v>
      </c>
      <c r="E259" s="1" t="s">
        <v>31</v>
      </c>
      <c r="F259" s="1">
        <v>25201</v>
      </c>
      <c r="G259" s="1" t="s">
        <v>89</v>
      </c>
      <c r="H259" s="1" t="s">
        <v>18</v>
      </c>
      <c r="J259" s="1" t="s">
        <v>19</v>
      </c>
      <c r="K259" s="1" t="s">
        <v>1368</v>
      </c>
      <c r="L259" s="1" t="s">
        <v>20</v>
      </c>
      <c r="M259" s="1" t="s">
        <v>1632</v>
      </c>
      <c r="N259" s="1" t="str">
        <f t="shared" ref="N259:N322" si="4">IF(M259&lt;&gt;"", M259, IF(L259&lt;&gt;"", L259, K259))</f>
        <v>THIAGO MARCOS</v>
      </c>
    </row>
    <row r="260" spans="1:14" x14ac:dyDescent="0.3">
      <c r="A260" s="1">
        <v>702338</v>
      </c>
      <c r="B260" s="1" t="s">
        <v>327</v>
      </c>
      <c r="C260" s="5" t="s">
        <v>15</v>
      </c>
      <c r="D260" s="2">
        <v>44362</v>
      </c>
      <c r="E260" s="1" t="s">
        <v>219</v>
      </c>
      <c r="F260" s="1">
        <v>32101</v>
      </c>
      <c r="G260" s="1" t="s">
        <v>23</v>
      </c>
      <c r="H260" s="1" t="s">
        <v>18</v>
      </c>
      <c r="J260" s="1" t="s">
        <v>24</v>
      </c>
      <c r="K260" s="1" t="s">
        <v>25</v>
      </c>
      <c r="L260" s="1" t="s">
        <v>1369</v>
      </c>
      <c r="M260" s="1" t="s">
        <v>1370</v>
      </c>
      <c r="N260" s="1" t="str">
        <f t="shared" si="4"/>
        <v>JUNIO COSTA</v>
      </c>
    </row>
    <row r="261" spans="1:14" x14ac:dyDescent="0.3">
      <c r="A261" s="1">
        <v>705203</v>
      </c>
      <c r="B261" s="1" t="s">
        <v>1160</v>
      </c>
      <c r="C261" s="5" t="s">
        <v>15</v>
      </c>
      <c r="D261" s="2">
        <v>45726</v>
      </c>
      <c r="E261" s="1" t="s">
        <v>31</v>
      </c>
      <c r="F261" s="1">
        <v>34201</v>
      </c>
      <c r="G261" s="1" t="s">
        <v>84</v>
      </c>
      <c r="H261" s="1" t="s">
        <v>18</v>
      </c>
      <c r="J261" s="1" t="s">
        <v>85</v>
      </c>
      <c r="K261" s="1" t="s">
        <v>1371</v>
      </c>
      <c r="L261" s="1" t="s">
        <v>1380</v>
      </c>
      <c r="M261" s="1" t="s">
        <v>1380</v>
      </c>
      <c r="N261" s="1" t="str">
        <f t="shared" si="4"/>
        <v xml:space="preserve">LEONARDO SANTOS </v>
      </c>
    </row>
    <row r="262" spans="1:14" x14ac:dyDescent="0.3">
      <c r="A262" s="1">
        <v>705514</v>
      </c>
      <c r="B262" s="1" t="s">
        <v>1297</v>
      </c>
      <c r="C262" s="5" t="s">
        <v>15</v>
      </c>
      <c r="D262" s="2">
        <v>45847</v>
      </c>
      <c r="E262" s="1" t="s">
        <v>91</v>
      </c>
      <c r="F262" s="1">
        <v>34201</v>
      </c>
      <c r="G262" s="1" t="s">
        <v>84</v>
      </c>
      <c r="H262" s="1" t="s">
        <v>18</v>
      </c>
      <c r="J262" s="1" t="s">
        <v>85</v>
      </c>
      <c r="K262" s="1" t="s">
        <v>1371</v>
      </c>
      <c r="L262" s="1" t="s">
        <v>1380</v>
      </c>
      <c r="M262" s="1" t="s">
        <v>1380</v>
      </c>
      <c r="N262" s="1" t="str">
        <f t="shared" si="4"/>
        <v xml:space="preserve">LEONARDO SANTOS </v>
      </c>
    </row>
    <row r="263" spans="1:14" x14ac:dyDescent="0.3">
      <c r="A263" s="1">
        <v>701698</v>
      </c>
      <c r="B263" s="1" t="s">
        <v>329</v>
      </c>
      <c r="C263" s="5" t="s">
        <v>15</v>
      </c>
      <c r="D263" s="2">
        <v>44025</v>
      </c>
      <c r="E263" s="1" t="s">
        <v>83</v>
      </c>
      <c r="F263" s="1">
        <v>34201</v>
      </c>
      <c r="G263" s="1" t="s">
        <v>84</v>
      </c>
      <c r="H263" s="1" t="s">
        <v>18</v>
      </c>
      <c r="J263" s="1" t="s">
        <v>85</v>
      </c>
      <c r="K263" s="1" t="s">
        <v>1371</v>
      </c>
      <c r="L263" s="1" t="s">
        <v>1380</v>
      </c>
      <c r="M263" s="1" t="s">
        <v>1380</v>
      </c>
      <c r="N263" s="1" t="str">
        <f t="shared" si="4"/>
        <v xml:space="preserve">LEONARDO SANTOS </v>
      </c>
    </row>
    <row r="264" spans="1:14" x14ac:dyDescent="0.3">
      <c r="A264" s="1">
        <v>101305</v>
      </c>
      <c r="B264" s="1" t="s">
        <v>330</v>
      </c>
      <c r="C264" s="5" t="s">
        <v>15</v>
      </c>
      <c r="D264" s="2">
        <v>42842</v>
      </c>
      <c r="E264" s="1" t="s">
        <v>105</v>
      </c>
      <c r="F264" s="1">
        <v>22102</v>
      </c>
      <c r="G264" s="1" t="s">
        <v>68</v>
      </c>
      <c r="H264" s="1" t="s">
        <v>18</v>
      </c>
      <c r="J264" s="1" t="s">
        <v>81</v>
      </c>
      <c r="K264" s="1" t="s">
        <v>1371</v>
      </c>
      <c r="L264" s="1" t="s">
        <v>1509</v>
      </c>
      <c r="M264" s="1" t="s">
        <v>1379</v>
      </c>
      <c r="N264" s="1" t="str">
        <f t="shared" si="4"/>
        <v xml:space="preserve">EDSON/MARCELO LIMA </v>
      </c>
    </row>
    <row r="265" spans="1:14" x14ac:dyDescent="0.3">
      <c r="A265" s="1">
        <v>104851</v>
      </c>
      <c r="B265" s="1" t="s">
        <v>331</v>
      </c>
      <c r="C265" s="5" t="s">
        <v>15</v>
      </c>
      <c r="D265" s="2">
        <v>42345</v>
      </c>
      <c r="E265" s="1" t="s">
        <v>40</v>
      </c>
      <c r="F265" s="1">
        <v>51219</v>
      </c>
      <c r="G265" s="1" t="s">
        <v>61</v>
      </c>
      <c r="H265" s="1" t="s">
        <v>18</v>
      </c>
      <c r="J265" s="1" t="s">
        <v>37</v>
      </c>
      <c r="K265" s="1" t="s">
        <v>1368</v>
      </c>
      <c r="L265" s="1" t="s">
        <v>20</v>
      </c>
      <c r="M265" s="1" t="s">
        <v>1634</v>
      </c>
      <c r="N265" s="1" t="str">
        <f t="shared" si="4"/>
        <v>IRON SANTOS</v>
      </c>
    </row>
    <row r="266" spans="1:14" x14ac:dyDescent="0.3">
      <c r="A266" s="1">
        <v>700192</v>
      </c>
      <c r="B266" s="1" t="s">
        <v>883</v>
      </c>
      <c r="C266" s="5" t="s">
        <v>15</v>
      </c>
      <c r="D266" s="2">
        <v>43241</v>
      </c>
      <c r="E266" s="1" t="s">
        <v>60</v>
      </c>
      <c r="F266" s="1">
        <v>22102</v>
      </c>
      <c r="G266" s="1" t="s">
        <v>68</v>
      </c>
      <c r="H266" s="1" t="s">
        <v>18</v>
      </c>
      <c r="J266" s="1" t="s">
        <v>167</v>
      </c>
      <c r="K266" s="1" t="s">
        <v>1371</v>
      </c>
      <c r="L266" s="1" t="s">
        <v>1509</v>
      </c>
      <c r="M266" s="1" t="s">
        <v>1636</v>
      </c>
      <c r="N266" s="1" t="str">
        <f t="shared" si="4"/>
        <v>FABIANO DIAS</v>
      </c>
    </row>
    <row r="267" spans="1:14" x14ac:dyDescent="0.3">
      <c r="A267" s="1">
        <v>705518</v>
      </c>
      <c r="B267" s="1" t="s">
        <v>1337</v>
      </c>
      <c r="C267" s="5" t="s">
        <v>15</v>
      </c>
      <c r="D267" s="2">
        <v>45874</v>
      </c>
      <c r="E267" s="1" t="s">
        <v>22</v>
      </c>
      <c r="F267" s="1">
        <v>34101</v>
      </c>
      <c r="G267" s="1" t="s">
        <v>43</v>
      </c>
      <c r="H267" s="1" t="s">
        <v>18</v>
      </c>
      <c r="J267" s="1" t="s">
        <v>237</v>
      </c>
      <c r="K267" s="1" t="s">
        <v>25</v>
      </c>
      <c r="L267" s="1" t="s">
        <v>1384</v>
      </c>
      <c r="N267" s="1" t="str">
        <f t="shared" si="4"/>
        <v xml:space="preserve">MARCOS VINICIUS </v>
      </c>
    </row>
    <row r="268" spans="1:14" x14ac:dyDescent="0.3">
      <c r="A268" s="1">
        <v>703466</v>
      </c>
      <c r="B268" s="1" t="s">
        <v>332</v>
      </c>
      <c r="C268" s="5" t="s">
        <v>15</v>
      </c>
      <c r="D268" s="2">
        <v>44881</v>
      </c>
      <c r="E268" s="1" t="s">
        <v>1223</v>
      </c>
      <c r="F268" s="1">
        <v>33301</v>
      </c>
      <c r="G268" s="1" t="s">
        <v>64</v>
      </c>
      <c r="H268" s="1" t="s">
        <v>18</v>
      </c>
      <c r="J268" s="1" t="s">
        <v>65</v>
      </c>
      <c r="K268" s="1" t="s">
        <v>25</v>
      </c>
      <c r="L268" s="1" t="s">
        <v>1375</v>
      </c>
      <c r="N268" s="1" t="str">
        <f t="shared" si="4"/>
        <v>ANDRÉ CUBA</v>
      </c>
    </row>
    <row r="269" spans="1:14" x14ac:dyDescent="0.3">
      <c r="A269" s="1">
        <v>705598</v>
      </c>
      <c r="B269" s="1" t="s">
        <v>1316</v>
      </c>
      <c r="C269" s="5" t="s">
        <v>15</v>
      </c>
      <c r="D269" s="2">
        <v>45888</v>
      </c>
      <c r="E269" s="1" t="s">
        <v>31</v>
      </c>
      <c r="F269" s="1">
        <v>39304</v>
      </c>
      <c r="G269" s="1" t="s">
        <v>56</v>
      </c>
      <c r="H269" s="1" t="s">
        <v>18</v>
      </c>
      <c r="J269" s="1" t="s">
        <v>57</v>
      </c>
      <c r="K269" s="1" t="s">
        <v>1371</v>
      </c>
      <c r="L269" s="1" t="s">
        <v>1376</v>
      </c>
      <c r="M269" s="1" t="s">
        <v>1635</v>
      </c>
      <c r="N269" s="1" t="str">
        <f t="shared" si="4"/>
        <v>WARLEY RIBEIRO / EUDES FERNANDES</v>
      </c>
    </row>
    <row r="270" spans="1:14" x14ac:dyDescent="0.3">
      <c r="A270" s="1">
        <v>702122</v>
      </c>
      <c r="B270" s="1" t="s">
        <v>333</v>
      </c>
      <c r="C270" s="5" t="s">
        <v>15</v>
      </c>
      <c r="D270" s="2">
        <v>44298</v>
      </c>
      <c r="E270" s="1" t="s">
        <v>116</v>
      </c>
      <c r="F270" s="1">
        <v>34201</v>
      </c>
      <c r="G270" s="1" t="s">
        <v>84</v>
      </c>
      <c r="H270" s="1" t="s">
        <v>18</v>
      </c>
      <c r="J270" s="1" t="s">
        <v>85</v>
      </c>
      <c r="K270" s="1" t="s">
        <v>1371</v>
      </c>
      <c r="L270" s="1" t="s">
        <v>1380</v>
      </c>
      <c r="M270" s="1" t="s">
        <v>1380</v>
      </c>
      <c r="N270" s="1" t="str">
        <f t="shared" si="4"/>
        <v xml:space="preserve">LEONARDO SANTOS </v>
      </c>
    </row>
    <row r="271" spans="1:14" x14ac:dyDescent="0.3">
      <c r="A271" s="1">
        <v>705617</v>
      </c>
      <c r="B271" s="1" t="s">
        <v>1349</v>
      </c>
      <c r="C271" s="5" t="s">
        <v>15</v>
      </c>
      <c r="D271" s="2">
        <v>45909</v>
      </c>
      <c r="E271" s="1" t="s">
        <v>31</v>
      </c>
      <c r="F271" s="1">
        <v>52104</v>
      </c>
      <c r="G271" s="1" t="s">
        <v>17</v>
      </c>
      <c r="H271" s="1" t="s">
        <v>18</v>
      </c>
      <c r="J271" s="1" t="s">
        <v>19</v>
      </c>
      <c r="K271" s="1" t="s">
        <v>1368</v>
      </c>
      <c r="L271" s="1" t="s">
        <v>20</v>
      </c>
      <c r="M271" s="1" t="s">
        <v>1632</v>
      </c>
      <c r="N271" s="1" t="str">
        <f t="shared" si="4"/>
        <v>THIAGO MARCOS</v>
      </c>
    </row>
    <row r="272" spans="1:14" x14ac:dyDescent="0.3">
      <c r="A272" s="1">
        <v>100642</v>
      </c>
      <c r="B272" s="1" t="s">
        <v>334</v>
      </c>
      <c r="C272" s="5" t="s">
        <v>15</v>
      </c>
      <c r="D272" s="2">
        <v>41946</v>
      </c>
      <c r="E272" s="1" t="s">
        <v>1214</v>
      </c>
      <c r="F272" s="1">
        <v>34101</v>
      </c>
      <c r="G272" s="1" t="s">
        <v>43</v>
      </c>
      <c r="H272" s="1" t="s">
        <v>18</v>
      </c>
      <c r="J272" s="1" t="s">
        <v>65</v>
      </c>
      <c r="K272" s="1" t="s">
        <v>25</v>
      </c>
      <c r="L272" s="1" t="s">
        <v>1375</v>
      </c>
      <c r="N272" s="1" t="str">
        <f t="shared" si="4"/>
        <v>ANDRÉ CUBA</v>
      </c>
    </row>
    <row r="273" spans="1:14" x14ac:dyDescent="0.3">
      <c r="A273" s="1">
        <v>705255</v>
      </c>
      <c r="B273" s="1" t="s">
        <v>1182</v>
      </c>
      <c r="C273" s="5" t="s">
        <v>15</v>
      </c>
      <c r="D273" s="2">
        <v>45762</v>
      </c>
      <c r="E273" s="1" t="s">
        <v>270</v>
      </c>
      <c r="F273" s="1">
        <v>39302</v>
      </c>
      <c r="G273" s="1" t="s">
        <v>102</v>
      </c>
      <c r="H273" s="1" t="s">
        <v>18</v>
      </c>
      <c r="J273" s="1" t="s">
        <v>57</v>
      </c>
      <c r="K273" s="1" t="s">
        <v>1371</v>
      </c>
      <c r="L273" s="1" t="s">
        <v>1376</v>
      </c>
      <c r="M273" s="1" t="s">
        <v>1635</v>
      </c>
      <c r="N273" s="1" t="str">
        <f t="shared" si="4"/>
        <v>WARLEY RIBEIRO / EUDES FERNANDES</v>
      </c>
    </row>
    <row r="274" spans="1:14" x14ac:dyDescent="0.3">
      <c r="A274" s="1">
        <v>703578</v>
      </c>
      <c r="B274" s="1" t="s">
        <v>335</v>
      </c>
      <c r="C274" s="5" t="s">
        <v>15</v>
      </c>
      <c r="D274" s="2">
        <v>44970</v>
      </c>
      <c r="E274" s="1" t="s">
        <v>31</v>
      </c>
      <c r="F274" s="1">
        <v>33301</v>
      </c>
      <c r="G274" s="1" t="s">
        <v>64</v>
      </c>
      <c r="H274" s="1" t="s">
        <v>18</v>
      </c>
      <c r="J274" s="1" t="s">
        <v>65</v>
      </c>
      <c r="K274" s="1" t="s">
        <v>25</v>
      </c>
      <c r="L274" s="1" t="s">
        <v>1375</v>
      </c>
      <c r="N274" s="1" t="str">
        <f t="shared" si="4"/>
        <v>ANDRÉ CUBA</v>
      </c>
    </row>
    <row r="275" spans="1:14" x14ac:dyDescent="0.3">
      <c r="A275" s="1">
        <v>703419</v>
      </c>
      <c r="B275" s="1" t="s">
        <v>337</v>
      </c>
      <c r="C275" s="5" t="s">
        <v>15</v>
      </c>
      <c r="D275" s="2">
        <v>44873</v>
      </c>
      <c r="E275" s="1" t="s">
        <v>31</v>
      </c>
      <c r="F275" s="1">
        <v>38101</v>
      </c>
      <c r="G275" s="1" t="s">
        <v>35</v>
      </c>
      <c r="H275" s="1" t="s">
        <v>18</v>
      </c>
      <c r="J275" s="1" t="s">
        <v>36</v>
      </c>
      <c r="K275" s="1" t="s">
        <v>1372</v>
      </c>
      <c r="L275" s="1" t="s">
        <v>1373</v>
      </c>
      <c r="M275" s="1" t="s">
        <v>1373</v>
      </c>
      <c r="N275" s="1" t="str">
        <f t="shared" si="4"/>
        <v>DENIS ACASSIO</v>
      </c>
    </row>
    <row r="276" spans="1:14" x14ac:dyDescent="0.3">
      <c r="A276" s="1">
        <v>704641</v>
      </c>
      <c r="B276" s="1" t="s">
        <v>338</v>
      </c>
      <c r="C276" s="5" t="s">
        <v>15</v>
      </c>
      <c r="D276" s="2">
        <v>45476</v>
      </c>
      <c r="E276" s="1" t="s">
        <v>1346</v>
      </c>
      <c r="F276" s="1">
        <v>39201</v>
      </c>
      <c r="G276" s="1" t="s">
        <v>153</v>
      </c>
      <c r="H276" s="1" t="s">
        <v>18</v>
      </c>
      <c r="J276" s="1" t="s">
        <v>154</v>
      </c>
      <c r="K276" s="1" t="s">
        <v>50</v>
      </c>
      <c r="L276" s="1" t="s">
        <v>1382</v>
      </c>
      <c r="M276" s="1" t="s">
        <v>1382</v>
      </c>
      <c r="N276" s="1" t="str">
        <f t="shared" si="4"/>
        <v>ADENILTON RODRIGUES</v>
      </c>
    </row>
    <row r="277" spans="1:14" x14ac:dyDescent="0.3">
      <c r="A277" s="1">
        <v>704939</v>
      </c>
      <c r="B277" s="1" t="s">
        <v>339</v>
      </c>
      <c r="C277" s="5" t="s">
        <v>15</v>
      </c>
      <c r="D277" s="2">
        <v>45607</v>
      </c>
      <c r="E277" s="1" t="s">
        <v>16</v>
      </c>
      <c r="F277" s="1">
        <v>22102</v>
      </c>
      <c r="G277" s="1" t="s">
        <v>68</v>
      </c>
      <c r="H277" s="1" t="s">
        <v>18</v>
      </c>
      <c r="J277" s="1" t="s">
        <v>94</v>
      </c>
      <c r="K277" s="1" t="s">
        <v>1371</v>
      </c>
      <c r="L277" s="1" t="s">
        <v>1378</v>
      </c>
      <c r="M277" s="1" t="s">
        <v>95</v>
      </c>
      <c r="N277" s="1" t="str">
        <f t="shared" si="4"/>
        <v>LUAN ABADIA</v>
      </c>
    </row>
    <row r="278" spans="1:14" x14ac:dyDescent="0.3">
      <c r="A278" s="1">
        <v>705109</v>
      </c>
      <c r="B278" s="1" t="s">
        <v>340</v>
      </c>
      <c r="C278" s="5" t="s">
        <v>15</v>
      </c>
      <c r="D278" s="2">
        <v>45678</v>
      </c>
      <c r="E278" s="1" t="s">
        <v>91</v>
      </c>
      <c r="F278" s="1">
        <v>34201</v>
      </c>
      <c r="G278" s="1" t="s">
        <v>84</v>
      </c>
      <c r="H278" s="1" t="s">
        <v>18</v>
      </c>
      <c r="J278" s="1" t="s">
        <v>85</v>
      </c>
      <c r="K278" s="1" t="s">
        <v>1371</v>
      </c>
      <c r="L278" s="1" t="s">
        <v>1380</v>
      </c>
      <c r="M278" s="1" t="s">
        <v>1380</v>
      </c>
      <c r="N278" s="1" t="str">
        <f t="shared" si="4"/>
        <v xml:space="preserve">LEONARDO SANTOS </v>
      </c>
    </row>
    <row r="279" spans="1:14" x14ac:dyDescent="0.3">
      <c r="A279" s="1">
        <v>701979</v>
      </c>
      <c r="B279" s="1" t="s">
        <v>341</v>
      </c>
      <c r="C279" s="5" t="s">
        <v>15</v>
      </c>
      <c r="D279" s="2">
        <v>44172</v>
      </c>
      <c r="E279" s="1" t="s">
        <v>60</v>
      </c>
      <c r="F279" s="1">
        <v>52202</v>
      </c>
      <c r="G279" s="1" t="s">
        <v>32</v>
      </c>
      <c r="H279" s="1" t="s">
        <v>18</v>
      </c>
      <c r="J279" s="1" t="s">
        <v>19</v>
      </c>
      <c r="K279" s="1" t="s">
        <v>1368</v>
      </c>
      <c r="L279" s="1" t="s">
        <v>20</v>
      </c>
      <c r="M279" s="1" t="s">
        <v>1632</v>
      </c>
      <c r="N279" s="1" t="str">
        <f t="shared" si="4"/>
        <v>THIAGO MARCOS</v>
      </c>
    </row>
    <row r="280" spans="1:14" x14ac:dyDescent="0.3">
      <c r="A280" s="1">
        <v>705707</v>
      </c>
      <c r="B280" s="1" t="s">
        <v>894</v>
      </c>
      <c r="C280" s="5" t="s">
        <v>15</v>
      </c>
      <c r="D280" s="2">
        <v>45972</v>
      </c>
      <c r="E280" s="1" t="s">
        <v>31</v>
      </c>
      <c r="F280" s="1">
        <v>52104</v>
      </c>
      <c r="G280" s="1" t="s">
        <v>17</v>
      </c>
      <c r="H280" s="1" t="s">
        <v>18</v>
      </c>
      <c r="J280" s="1" t="s">
        <v>19</v>
      </c>
      <c r="K280" s="1" t="s">
        <v>1368</v>
      </c>
      <c r="L280" s="1" t="s">
        <v>20</v>
      </c>
      <c r="M280" s="1" t="s">
        <v>1632</v>
      </c>
      <c r="N280" s="1" t="str">
        <f t="shared" si="4"/>
        <v>THIAGO MARCOS</v>
      </c>
    </row>
    <row r="281" spans="1:14" x14ac:dyDescent="0.3">
      <c r="A281" s="1">
        <v>703171</v>
      </c>
      <c r="B281" s="1" t="s">
        <v>342</v>
      </c>
      <c r="C281" s="5" t="s">
        <v>15</v>
      </c>
      <c r="D281" s="2">
        <v>44732</v>
      </c>
      <c r="E281" s="1" t="s">
        <v>188</v>
      </c>
      <c r="F281" s="1">
        <v>22102</v>
      </c>
      <c r="G281" s="1" t="s">
        <v>68</v>
      </c>
      <c r="H281" s="1" t="s">
        <v>18</v>
      </c>
      <c r="J281" s="1" t="s">
        <v>69</v>
      </c>
      <c r="K281" s="1" t="s">
        <v>1371</v>
      </c>
      <c r="L281" s="1" t="s">
        <v>1378</v>
      </c>
      <c r="N281" s="1" t="str">
        <f t="shared" si="4"/>
        <v xml:space="preserve">JOÃO KOMURA </v>
      </c>
    </row>
    <row r="282" spans="1:14" x14ac:dyDescent="0.3">
      <c r="A282" s="1">
        <v>705212</v>
      </c>
      <c r="B282" s="1" t="s">
        <v>1161</v>
      </c>
      <c r="C282" s="5" t="s">
        <v>15</v>
      </c>
      <c r="D282" s="2">
        <v>45727</v>
      </c>
      <c r="E282" s="1" t="s">
        <v>240</v>
      </c>
      <c r="F282" s="1">
        <v>22102</v>
      </c>
      <c r="G282" s="1" t="s">
        <v>68</v>
      </c>
      <c r="H282" s="1" t="s">
        <v>18</v>
      </c>
      <c r="J282" s="1" t="s">
        <v>241</v>
      </c>
      <c r="K282" s="1" t="s">
        <v>1371</v>
      </c>
      <c r="N282" s="1" t="str">
        <f t="shared" si="4"/>
        <v>PAULO BONIFÁCIO</v>
      </c>
    </row>
    <row r="283" spans="1:14" x14ac:dyDescent="0.3">
      <c r="A283" s="1">
        <v>703008</v>
      </c>
      <c r="B283" s="1" t="s">
        <v>343</v>
      </c>
      <c r="C283" s="5" t="s">
        <v>15</v>
      </c>
      <c r="D283" s="2">
        <v>44691</v>
      </c>
      <c r="E283" s="1" t="s">
        <v>138</v>
      </c>
      <c r="F283" s="1">
        <v>22102</v>
      </c>
      <c r="G283" s="1" t="s">
        <v>68</v>
      </c>
      <c r="H283" s="1" t="s">
        <v>18</v>
      </c>
      <c r="J283" s="1" t="s">
        <v>81</v>
      </c>
      <c r="K283" s="1" t="s">
        <v>1371</v>
      </c>
      <c r="L283" s="1" t="s">
        <v>1509</v>
      </c>
      <c r="M283" s="1" t="s">
        <v>1379</v>
      </c>
      <c r="N283" s="1" t="str">
        <f t="shared" si="4"/>
        <v xml:space="preserve">EDSON/MARCELO LIMA </v>
      </c>
    </row>
    <row r="284" spans="1:14" x14ac:dyDescent="0.3">
      <c r="A284" s="1">
        <v>704719</v>
      </c>
      <c r="B284" s="1" t="s">
        <v>897</v>
      </c>
      <c r="C284" s="5" t="s">
        <v>15</v>
      </c>
      <c r="D284" s="2">
        <v>45518</v>
      </c>
      <c r="E284" s="1" t="s">
        <v>93</v>
      </c>
      <c r="F284" s="1">
        <v>22102</v>
      </c>
      <c r="G284" s="1" t="s">
        <v>68</v>
      </c>
      <c r="H284" s="1" t="s">
        <v>18</v>
      </c>
      <c r="J284" s="1" t="s">
        <v>94</v>
      </c>
      <c r="K284" s="1" t="s">
        <v>1371</v>
      </c>
      <c r="L284" s="1" t="s">
        <v>1378</v>
      </c>
      <c r="M284" s="1" t="s">
        <v>95</v>
      </c>
      <c r="N284" s="1" t="str">
        <f t="shared" si="4"/>
        <v>LUAN ABADIA</v>
      </c>
    </row>
    <row r="285" spans="1:14" x14ac:dyDescent="0.3">
      <c r="A285" s="1">
        <v>703624</v>
      </c>
      <c r="B285" s="1" t="s">
        <v>344</v>
      </c>
      <c r="C285" s="5" t="s">
        <v>15</v>
      </c>
      <c r="D285" s="2">
        <v>44991</v>
      </c>
      <c r="E285" s="1" t="s">
        <v>83</v>
      </c>
      <c r="F285" s="1">
        <v>34201</v>
      </c>
      <c r="G285" s="1" t="s">
        <v>84</v>
      </c>
      <c r="H285" s="1" t="s">
        <v>18</v>
      </c>
      <c r="J285" s="1" t="s">
        <v>85</v>
      </c>
      <c r="K285" s="1" t="s">
        <v>1371</v>
      </c>
      <c r="L285" s="1" t="s">
        <v>1380</v>
      </c>
      <c r="M285" s="1" t="s">
        <v>1380</v>
      </c>
      <c r="N285" s="1" t="str">
        <f t="shared" si="4"/>
        <v xml:space="preserve">LEONARDO SANTOS </v>
      </c>
    </row>
    <row r="286" spans="1:14" x14ac:dyDescent="0.3">
      <c r="A286" s="1">
        <v>705898</v>
      </c>
      <c r="B286" s="1" t="s">
        <v>1609</v>
      </c>
      <c r="C286" s="5" t="s">
        <v>15</v>
      </c>
      <c r="D286" s="2">
        <v>46091</v>
      </c>
      <c r="E286" s="1" t="s">
        <v>138</v>
      </c>
      <c r="F286" s="1">
        <v>52104</v>
      </c>
      <c r="G286" s="1" t="s">
        <v>17</v>
      </c>
      <c r="H286" s="1" t="s">
        <v>18</v>
      </c>
      <c r="J286" s="1" t="s">
        <v>19</v>
      </c>
      <c r="K286" s="1" t="s">
        <v>1368</v>
      </c>
      <c r="L286" s="1" t="s">
        <v>20</v>
      </c>
      <c r="M286" s="1" t="s">
        <v>1632</v>
      </c>
      <c r="N286" s="1" t="str">
        <f t="shared" si="4"/>
        <v>THIAGO MARCOS</v>
      </c>
    </row>
    <row r="287" spans="1:14" x14ac:dyDescent="0.3">
      <c r="A287" s="1">
        <v>705798</v>
      </c>
      <c r="B287" s="1" t="s">
        <v>1522</v>
      </c>
      <c r="C287" s="5" t="s">
        <v>15</v>
      </c>
      <c r="D287" s="2">
        <v>46029</v>
      </c>
      <c r="E287" s="1" t="s">
        <v>31</v>
      </c>
      <c r="F287" s="1">
        <v>52202</v>
      </c>
      <c r="G287" s="1" t="s">
        <v>32</v>
      </c>
      <c r="H287" s="1" t="s">
        <v>18</v>
      </c>
      <c r="I287" s="2"/>
      <c r="J287" s="1" t="s">
        <v>33</v>
      </c>
      <c r="K287" s="1" t="s">
        <v>1368</v>
      </c>
      <c r="L287" s="1" t="s">
        <v>20</v>
      </c>
      <c r="M287" s="1" t="s">
        <v>1634</v>
      </c>
      <c r="N287" s="1" t="str">
        <f t="shared" si="4"/>
        <v>IRON SANTOS</v>
      </c>
    </row>
    <row r="288" spans="1:14" x14ac:dyDescent="0.3">
      <c r="A288" s="1">
        <v>705884</v>
      </c>
      <c r="B288" s="1" t="s">
        <v>1544</v>
      </c>
      <c r="C288" s="5" t="s">
        <v>15</v>
      </c>
      <c r="D288" s="2">
        <v>46063</v>
      </c>
      <c r="E288" s="1" t="s">
        <v>138</v>
      </c>
      <c r="F288" s="1">
        <v>52104</v>
      </c>
      <c r="G288" s="1" t="s">
        <v>17</v>
      </c>
      <c r="H288" s="1" t="s">
        <v>18</v>
      </c>
      <c r="J288" s="1" t="s">
        <v>19</v>
      </c>
      <c r="K288" s="1" t="s">
        <v>1368</v>
      </c>
      <c r="L288" s="1" t="s">
        <v>20</v>
      </c>
      <c r="M288" s="1" t="s">
        <v>1632</v>
      </c>
      <c r="N288" s="1" t="str">
        <f t="shared" si="4"/>
        <v>THIAGO MARCOS</v>
      </c>
    </row>
    <row r="289" spans="1:14" x14ac:dyDescent="0.3">
      <c r="A289" s="1">
        <v>100321</v>
      </c>
      <c r="B289" s="1" t="s">
        <v>345</v>
      </c>
      <c r="C289" s="5" t="s">
        <v>15</v>
      </c>
      <c r="D289" s="2">
        <v>41792</v>
      </c>
      <c r="E289" s="1" t="s">
        <v>1214</v>
      </c>
      <c r="F289" s="1">
        <v>34101</v>
      </c>
      <c r="G289" s="1" t="s">
        <v>43</v>
      </c>
      <c r="H289" s="1" t="s">
        <v>18</v>
      </c>
      <c r="J289" s="1" t="s">
        <v>237</v>
      </c>
      <c r="K289" s="1" t="s">
        <v>25</v>
      </c>
      <c r="L289" s="1" t="s">
        <v>1384</v>
      </c>
      <c r="N289" s="1" t="str">
        <f t="shared" si="4"/>
        <v xml:space="preserve">MARCOS VINICIUS </v>
      </c>
    </row>
    <row r="290" spans="1:14" x14ac:dyDescent="0.3">
      <c r="A290" s="1">
        <v>704007</v>
      </c>
      <c r="B290" s="1" t="s">
        <v>904</v>
      </c>
      <c r="C290" s="5" t="s">
        <v>15</v>
      </c>
      <c r="D290" s="2">
        <v>45119</v>
      </c>
      <c r="E290" s="1" t="s">
        <v>1350</v>
      </c>
      <c r="F290" s="1">
        <v>32101</v>
      </c>
      <c r="G290" s="1" t="s">
        <v>23</v>
      </c>
      <c r="H290" s="1" t="s">
        <v>18</v>
      </c>
      <c r="J290" s="1" t="s">
        <v>24</v>
      </c>
      <c r="K290" s="1" t="s">
        <v>25</v>
      </c>
      <c r="L290" s="1" t="s">
        <v>1369</v>
      </c>
      <c r="M290" s="1" t="s">
        <v>1370</v>
      </c>
      <c r="N290" s="1" t="str">
        <f t="shared" si="4"/>
        <v>JUNIO COSTA</v>
      </c>
    </row>
    <row r="291" spans="1:14" x14ac:dyDescent="0.3">
      <c r="A291" s="1">
        <v>705925</v>
      </c>
      <c r="B291" s="1" t="s">
        <v>1610</v>
      </c>
      <c r="C291" s="5" t="s">
        <v>15</v>
      </c>
      <c r="D291" s="2">
        <v>46091</v>
      </c>
      <c r="E291" s="1" t="s">
        <v>31</v>
      </c>
      <c r="F291" s="1">
        <v>52104</v>
      </c>
      <c r="G291" s="1" t="s">
        <v>17</v>
      </c>
      <c r="H291" s="1" t="s">
        <v>18</v>
      </c>
      <c r="J291" s="1" t="s">
        <v>19</v>
      </c>
      <c r="K291" s="1" t="s">
        <v>1368</v>
      </c>
      <c r="L291" s="1" t="s">
        <v>20</v>
      </c>
      <c r="M291" s="1" t="s">
        <v>1632</v>
      </c>
      <c r="N291" s="1" t="str">
        <f t="shared" si="4"/>
        <v>THIAGO MARCOS</v>
      </c>
    </row>
    <row r="292" spans="1:14" x14ac:dyDescent="0.3">
      <c r="A292" s="1">
        <v>704152</v>
      </c>
      <c r="B292" s="1" t="s">
        <v>346</v>
      </c>
      <c r="C292" s="5" t="s">
        <v>15</v>
      </c>
      <c r="D292" s="2">
        <v>45264</v>
      </c>
      <c r="E292" s="1" t="s">
        <v>31</v>
      </c>
      <c r="F292" s="1">
        <v>52104</v>
      </c>
      <c r="G292" s="1" t="s">
        <v>17</v>
      </c>
      <c r="H292" s="1" t="s">
        <v>18</v>
      </c>
      <c r="J292" s="1" t="s">
        <v>19</v>
      </c>
      <c r="K292" s="1" t="s">
        <v>1368</v>
      </c>
      <c r="L292" s="1" t="s">
        <v>20</v>
      </c>
      <c r="M292" s="1" t="s">
        <v>1632</v>
      </c>
      <c r="N292" s="1" t="str">
        <f t="shared" si="4"/>
        <v>THIAGO MARCOS</v>
      </c>
    </row>
    <row r="293" spans="1:14" x14ac:dyDescent="0.3">
      <c r="A293" s="1">
        <v>702809</v>
      </c>
      <c r="B293" s="1" t="s">
        <v>347</v>
      </c>
      <c r="C293" s="5" t="s">
        <v>15</v>
      </c>
      <c r="D293" s="2">
        <v>44613</v>
      </c>
      <c r="E293" s="1" t="s">
        <v>31</v>
      </c>
      <c r="F293" s="1">
        <v>52104</v>
      </c>
      <c r="G293" s="1" t="s">
        <v>17</v>
      </c>
      <c r="H293" s="1" t="s">
        <v>18</v>
      </c>
      <c r="J293" s="1" t="s">
        <v>19</v>
      </c>
      <c r="K293" s="1" t="s">
        <v>1368</v>
      </c>
      <c r="L293" s="1" t="s">
        <v>20</v>
      </c>
      <c r="M293" s="1" t="s">
        <v>1632</v>
      </c>
      <c r="N293" s="1" t="str">
        <f t="shared" si="4"/>
        <v>THIAGO MARCOS</v>
      </c>
    </row>
    <row r="294" spans="1:14" x14ac:dyDescent="0.3">
      <c r="A294" s="1">
        <v>702575</v>
      </c>
      <c r="B294" s="1" t="s">
        <v>348</v>
      </c>
      <c r="C294" s="5" t="s">
        <v>15</v>
      </c>
      <c r="D294" s="2">
        <v>44474</v>
      </c>
      <c r="E294" s="1" t="s">
        <v>1351</v>
      </c>
      <c r="F294" s="1">
        <v>33301</v>
      </c>
      <c r="G294" s="1" t="s">
        <v>64</v>
      </c>
      <c r="H294" s="1" t="s">
        <v>18</v>
      </c>
      <c r="J294" s="1" t="s">
        <v>65</v>
      </c>
      <c r="K294" s="1" t="s">
        <v>25</v>
      </c>
      <c r="L294" s="1" t="s">
        <v>1375</v>
      </c>
      <c r="N294" s="1" t="str">
        <f t="shared" si="4"/>
        <v>ANDRÉ CUBA</v>
      </c>
    </row>
    <row r="295" spans="1:14" x14ac:dyDescent="0.3">
      <c r="A295" s="1">
        <v>703471</v>
      </c>
      <c r="B295" s="1" t="s">
        <v>349</v>
      </c>
      <c r="C295" s="5" t="s">
        <v>15</v>
      </c>
      <c r="D295" s="2">
        <v>44887</v>
      </c>
      <c r="E295" s="1" t="s">
        <v>156</v>
      </c>
      <c r="F295" s="1">
        <v>38101</v>
      </c>
      <c r="G295" s="1" t="s">
        <v>35</v>
      </c>
      <c r="H295" s="1" t="s">
        <v>18</v>
      </c>
      <c r="J295" s="1" t="s">
        <v>36</v>
      </c>
      <c r="K295" s="1" t="s">
        <v>1372</v>
      </c>
      <c r="L295" s="1" t="s">
        <v>1373</v>
      </c>
      <c r="M295" s="1" t="s">
        <v>1373</v>
      </c>
      <c r="N295" s="1" t="str">
        <f t="shared" si="4"/>
        <v>DENIS ACASSIO</v>
      </c>
    </row>
    <row r="296" spans="1:14" x14ac:dyDescent="0.3">
      <c r="A296" s="1">
        <v>106052</v>
      </c>
      <c r="B296" s="1" t="s">
        <v>350</v>
      </c>
      <c r="C296" s="5" t="s">
        <v>15</v>
      </c>
      <c r="D296" s="2">
        <v>43591</v>
      </c>
      <c r="E296" s="1" t="s">
        <v>97</v>
      </c>
      <c r="F296" s="1">
        <v>32101</v>
      </c>
      <c r="G296" s="1" t="s">
        <v>23</v>
      </c>
      <c r="H296" s="1" t="s">
        <v>18</v>
      </c>
      <c r="J296" s="1" t="s">
        <v>24</v>
      </c>
      <c r="K296" s="1" t="s">
        <v>25</v>
      </c>
      <c r="L296" s="1" t="s">
        <v>1369</v>
      </c>
      <c r="M296" s="1" t="s">
        <v>1370</v>
      </c>
      <c r="N296" s="1" t="str">
        <f t="shared" si="4"/>
        <v>JUNIO COSTA</v>
      </c>
    </row>
    <row r="297" spans="1:14" x14ac:dyDescent="0.3">
      <c r="A297" s="1">
        <v>702817</v>
      </c>
      <c r="B297" s="1" t="s">
        <v>351</v>
      </c>
      <c r="C297" s="5" t="s">
        <v>15</v>
      </c>
      <c r="D297" s="2">
        <v>44613</v>
      </c>
      <c r="E297" s="1" t="s">
        <v>31</v>
      </c>
      <c r="F297" s="1">
        <v>52104</v>
      </c>
      <c r="G297" s="1" t="s">
        <v>17</v>
      </c>
      <c r="H297" s="1" t="s">
        <v>18</v>
      </c>
      <c r="J297" s="1" t="s">
        <v>19</v>
      </c>
      <c r="K297" s="1" t="s">
        <v>1368</v>
      </c>
      <c r="L297" s="1" t="s">
        <v>20</v>
      </c>
      <c r="M297" s="1" t="s">
        <v>1632</v>
      </c>
      <c r="N297" s="1" t="str">
        <f t="shared" si="4"/>
        <v>THIAGO MARCOS</v>
      </c>
    </row>
    <row r="298" spans="1:14" x14ac:dyDescent="0.3">
      <c r="A298" s="1">
        <v>105173</v>
      </c>
      <c r="B298" s="1" t="s">
        <v>352</v>
      </c>
      <c r="C298" s="5" t="s">
        <v>15</v>
      </c>
      <c r="D298" s="2">
        <v>42590</v>
      </c>
      <c r="E298" s="1" t="s">
        <v>353</v>
      </c>
      <c r="F298" s="1">
        <v>52104</v>
      </c>
      <c r="G298" s="1" t="s">
        <v>17</v>
      </c>
      <c r="H298" s="1" t="s">
        <v>18</v>
      </c>
      <c r="J298" s="1" t="s">
        <v>197</v>
      </c>
      <c r="K298" s="1" t="s">
        <v>1508</v>
      </c>
      <c r="N298" s="1" t="str">
        <f t="shared" si="4"/>
        <v xml:space="preserve">CARLOS OLIVEIRA </v>
      </c>
    </row>
    <row r="299" spans="1:14" x14ac:dyDescent="0.3">
      <c r="A299" s="1">
        <v>705440</v>
      </c>
      <c r="B299" s="1" t="s">
        <v>1224</v>
      </c>
      <c r="C299" s="5" t="s">
        <v>15</v>
      </c>
      <c r="D299" s="2">
        <v>45797</v>
      </c>
      <c r="E299" s="1" t="s">
        <v>31</v>
      </c>
      <c r="F299" s="1">
        <v>39301</v>
      </c>
      <c r="G299" s="1" t="s">
        <v>73</v>
      </c>
      <c r="H299" s="1" t="s">
        <v>18</v>
      </c>
      <c r="J299" s="1" t="s">
        <v>74</v>
      </c>
      <c r="K299" s="1" t="s">
        <v>1371</v>
      </c>
      <c r="L299" s="1" t="s">
        <v>1376</v>
      </c>
      <c r="M299" s="1" t="s">
        <v>75</v>
      </c>
      <c r="N299" s="1" t="str">
        <f t="shared" si="4"/>
        <v>ISAC NONATO</v>
      </c>
    </row>
    <row r="300" spans="1:14" x14ac:dyDescent="0.3">
      <c r="A300" s="1">
        <v>700051</v>
      </c>
      <c r="B300" s="1" t="s">
        <v>354</v>
      </c>
      <c r="C300" s="5" t="s">
        <v>15</v>
      </c>
      <c r="D300" s="2">
        <v>43115</v>
      </c>
      <c r="E300" s="1" t="s">
        <v>71</v>
      </c>
      <c r="F300" s="1">
        <v>25201</v>
      </c>
      <c r="G300" s="1" t="s">
        <v>89</v>
      </c>
      <c r="H300" s="1" t="s">
        <v>18</v>
      </c>
      <c r="J300" s="1" t="s">
        <v>19</v>
      </c>
      <c r="K300" s="1" t="s">
        <v>1368</v>
      </c>
      <c r="L300" s="1" t="s">
        <v>20</v>
      </c>
      <c r="M300" s="1" t="s">
        <v>1632</v>
      </c>
      <c r="N300" s="1" t="str">
        <f t="shared" si="4"/>
        <v>THIAGO MARCOS</v>
      </c>
    </row>
    <row r="301" spans="1:14" x14ac:dyDescent="0.3">
      <c r="A301" s="1">
        <v>105024</v>
      </c>
      <c r="B301" s="1" t="s">
        <v>355</v>
      </c>
      <c r="C301" s="5" t="s">
        <v>15</v>
      </c>
      <c r="D301" s="2">
        <v>42500</v>
      </c>
      <c r="E301" s="1" t="s">
        <v>166</v>
      </c>
      <c r="F301" s="1">
        <v>22102</v>
      </c>
      <c r="G301" s="1" t="s">
        <v>68</v>
      </c>
      <c r="H301" s="1" t="s">
        <v>18</v>
      </c>
      <c r="J301" s="1" t="s">
        <v>167</v>
      </c>
      <c r="K301" s="1" t="s">
        <v>1371</v>
      </c>
      <c r="L301" s="1" t="s">
        <v>1509</v>
      </c>
      <c r="M301" s="1" t="s">
        <v>1636</v>
      </c>
      <c r="N301" s="1" t="str">
        <f t="shared" si="4"/>
        <v>FABIANO DIAS</v>
      </c>
    </row>
    <row r="302" spans="1:14" x14ac:dyDescent="0.3">
      <c r="A302" s="1">
        <v>100674</v>
      </c>
      <c r="B302" s="1" t="s">
        <v>356</v>
      </c>
      <c r="C302" s="5" t="s">
        <v>15</v>
      </c>
      <c r="D302" s="2">
        <v>41981</v>
      </c>
      <c r="E302" s="1" t="s">
        <v>1214</v>
      </c>
      <c r="F302" s="1">
        <v>34101</v>
      </c>
      <c r="G302" s="1" t="s">
        <v>43</v>
      </c>
      <c r="H302" s="1" t="s">
        <v>18</v>
      </c>
      <c r="J302" s="1" t="s">
        <v>237</v>
      </c>
      <c r="K302" s="1" t="s">
        <v>25</v>
      </c>
      <c r="L302" s="1" t="s">
        <v>1384</v>
      </c>
      <c r="N302" s="1" t="str">
        <f t="shared" si="4"/>
        <v xml:space="preserve">MARCOS VINICIUS </v>
      </c>
    </row>
    <row r="303" spans="1:14" x14ac:dyDescent="0.3">
      <c r="A303" s="1">
        <v>700692</v>
      </c>
      <c r="B303" s="1" t="s">
        <v>357</v>
      </c>
      <c r="C303" s="5" t="s">
        <v>15</v>
      </c>
      <c r="D303" s="2">
        <v>43389</v>
      </c>
      <c r="E303" s="1" t="s">
        <v>166</v>
      </c>
      <c r="F303" s="1">
        <v>52104</v>
      </c>
      <c r="G303" s="1" t="s">
        <v>17</v>
      </c>
      <c r="H303" s="1" t="s">
        <v>18</v>
      </c>
      <c r="J303" s="1" t="s">
        <v>37</v>
      </c>
      <c r="K303" s="1" t="s">
        <v>1368</v>
      </c>
      <c r="L303" s="1" t="s">
        <v>20</v>
      </c>
      <c r="M303" s="1" t="s">
        <v>1634</v>
      </c>
      <c r="N303" s="1" t="str">
        <f t="shared" si="4"/>
        <v>IRON SANTOS</v>
      </c>
    </row>
    <row r="304" spans="1:14" x14ac:dyDescent="0.3">
      <c r="A304" s="1">
        <v>703298</v>
      </c>
      <c r="B304" s="1" t="s">
        <v>358</v>
      </c>
      <c r="C304" s="5" t="s">
        <v>15</v>
      </c>
      <c r="D304" s="2">
        <v>44810</v>
      </c>
      <c r="E304" s="1" t="s">
        <v>60</v>
      </c>
      <c r="F304" s="1">
        <v>22102</v>
      </c>
      <c r="G304" s="1" t="s">
        <v>68</v>
      </c>
      <c r="H304" s="1" t="s">
        <v>18</v>
      </c>
      <c r="J304" s="1" t="s">
        <v>142</v>
      </c>
      <c r="K304" s="1" t="s">
        <v>1371</v>
      </c>
      <c r="L304" s="1" t="s">
        <v>1509</v>
      </c>
      <c r="M304" s="1" t="s">
        <v>1633</v>
      </c>
      <c r="N304" s="1" t="str">
        <f t="shared" si="4"/>
        <v>CRISTIANO BARBOSA</v>
      </c>
    </row>
    <row r="305" spans="1:14" x14ac:dyDescent="0.3">
      <c r="A305" s="1">
        <v>705133</v>
      </c>
      <c r="B305" s="1" t="s">
        <v>1143</v>
      </c>
      <c r="C305" s="5" t="s">
        <v>15</v>
      </c>
      <c r="D305" s="2">
        <v>45698</v>
      </c>
      <c r="E305" s="1" t="s">
        <v>16</v>
      </c>
      <c r="F305" s="1">
        <v>22102</v>
      </c>
      <c r="G305" s="1" t="s">
        <v>68</v>
      </c>
      <c r="H305" s="1" t="s">
        <v>18</v>
      </c>
      <c r="J305" s="1" t="s">
        <v>94</v>
      </c>
      <c r="K305" s="1" t="s">
        <v>1371</v>
      </c>
      <c r="L305" s="1" t="s">
        <v>1378</v>
      </c>
      <c r="M305" s="1" t="s">
        <v>95</v>
      </c>
      <c r="N305" s="1" t="str">
        <f t="shared" si="4"/>
        <v>LUAN ABADIA</v>
      </c>
    </row>
    <row r="306" spans="1:14" x14ac:dyDescent="0.3">
      <c r="A306" s="1">
        <v>704574</v>
      </c>
      <c r="B306" s="1" t="s">
        <v>359</v>
      </c>
      <c r="C306" s="5" t="s">
        <v>15</v>
      </c>
      <c r="D306" s="2">
        <v>45448</v>
      </c>
      <c r="E306" s="1" t="s">
        <v>166</v>
      </c>
      <c r="F306" s="1">
        <v>22102</v>
      </c>
      <c r="G306" s="1" t="s">
        <v>68</v>
      </c>
      <c r="H306" s="1" t="s">
        <v>18</v>
      </c>
      <c r="J306" s="1" t="s">
        <v>94</v>
      </c>
      <c r="K306" s="1" t="s">
        <v>1371</v>
      </c>
      <c r="L306" s="1" t="s">
        <v>1378</v>
      </c>
      <c r="M306" s="1" t="s">
        <v>95</v>
      </c>
      <c r="N306" s="1" t="str">
        <f t="shared" si="4"/>
        <v>LUAN ABADIA</v>
      </c>
    </row>
    <row r="307" spans="1:14" x14ac:dyDescent="0.3">
      <c r="A307" s="1">
        <v>704897</v>
      </c>
      <c r="B307" s="1" t="s">
        <v>360</v>
      </c>
      <c r="C307" s="5" t="s">
        <v>15</v>
      </c>
      <c r="D307" s="2">
        <v>45601</v>
      </c>
      <c r="E307" s="1" t="s">
        <v>60</v>
      </c>
      <c r="F307" s="1">
        <v>52202</v>
      </c>
      <c r="G307" s="1" t="s">
        <v>32</v>
      </c>
      <c r="H307" s="1" t="s">
        <v>18</v>
      </c>
      <c r="J307" s="1" t="s">
        <v>33</v>
      </c>
      <c r="K307" s="1" t="s">
        <v>1368</v>
      </c>
      <c r="L307" s="1" t="s">
        <v>20</v>
      </c>
      <c r="M307" s="1" t="s">
        <v>1634</v>
      </c>
      <c r="N307" s="1" t="str">
        <f t="shared" si="4"/>
        <v>IRON SANTOS</v>
      </c>
    </row>
    <row r="308" spans="1:14" x14ac:dyDescent="0.3">
      <c r="A308" s="1">
        <v>101541</v>
      </c>
      <c r="B308" s="1" t="s">
        <v>361</v>
      </c>
      <c r="C308" s="5" t="s">
        <v>15</v>
      </c>
      <c r="D308" s="2">
        <v>42838</v>
      </c>
      <c r="E308" s="1" t="s">
        <v>362</v>
      </c>
      <c r="F308" s="1">
        <v>25201</v>
      </c>
      <c r="G308" s="1" t="s">
        <v>89</v>
      </c>
      <c r="H308" s="1" t="s">
        <v>18</v>
      </c>
      <c r="J308" s="1" t="s">
        <v>19</v>
      </c>
      <c r="K308" s="1" t="s">
        <v>1368</v>
      </c>
      <c r="L308" s="1" t="s">
        <v>20</v>
      </c>
      <c r="M308" s="1" t="s">
        <v>1632</v>
      </c>
      <c r="N308" s="1" t="str">
        <f t="shared" si="4"/>
        <v>THIAGO MARCOS</v>
      </c>
    </row>
    <row r="309" spans="1:14" x14ac:dyDescent="0.3">
      <c r="A309" s="1">
        <v>105925</v>
      </c>
      <c r="B309" s="1" t="s">
        <v>364</v>
      </c>
      <c r="C309" s="5" t="s">
        <v>15</v>
      </c>
      <c r="D309" s="2">
        <v>43346</v>
      </c>
      <c r="E309" s="1" t="s">
        <v>149</v>
      </c>
      <c r="F309" s="1">
        <v>39302</v>
      </c>
      <c r="G309" s="1" t="s">
        <v>102</v>
      </c>
      <c r="H309" s="1" t="s">
        <v>18</v>
      </c>
      <c r="J309" s="1" t="s">
        <v>57</v>
      </c>
      <c r="K309" s="1" t="s">
        <v>1371</v>
      </c>
      <c r="L309" s="1" t="s">
        <v>1376</v>
      </c>
      <c r="M309" s="1" t="s">
        <v>1635</v>
      </c>
      <c r="N309" s="1" t="str">
        <f t="shared" si="4"/>
        <v>WARLEY RIBEIRO / EUDES FERNANDES</v>
      </c>
    </row>
    <row r="310" spans="1:14" x14ac:dyDescent="0.3">
      <c r="A310" s="1">
        <v>701724</v>
      </c>
      <c r="B310" s="1" t="s">
        <v>365</v>
      </c>
      <c r="C310" s="5" t="s">
        <v>15</v>
      </c>
      <c r="D310" s="2">
        <v>44025</v>
      </c>
      <c r="E310" s="1" t="s">
        <v>52</v>
      </c>
      <c r="F310" s="1">
        <v>32101</v>
      </c>
      <c r="G310" s="1" t="s">
        <v>23</v>
      </c>
      <c r="H310" s="1" t="s">
        <v>18</v>
      </c>
      <c r="J310" s="1" t="s">
        <v>24</v>
      </c>
      <c r="K310" s="1" t="s">
        <v>25</v>
      </c>
      <c r="L310" s="1" t="s">
        <v>1369</v>
      </c>
      <c r="M310" s="1" t="s">
        <v>1370</v>
      </c>
      <c r="N310" s="1" t="str">
        <f t="shared" si="4"/>
        <v>JUNIO COSTA</v>
      </c>
    </row>
    <row r="311" spans="1:14" x14ac:dyDescent="0.3">
      <c r="A311" s="1">
        <v>705769</v>
      </c>
      <c r="B311" s="1" t="s">
        <v>1484</v>
      </c>
      <c r="C311" s="5" t="s">
        <v>92</v>
      </c>
      <c r="D311" s="2">
        <v>45993</v>
      </c>
      <c r="E311" s="1" t="s">
        <v>31</v>
      </c>
      <c r="F311" s="1">
        <v>52104</v>
      </c>
      <c r="G311" s="1" t="s">
        <v>17</v>
      </c>
      <c r="H311" s="1" t="s">
        <v>18</v>
      </c>
      <c r="I311" s="2">
        <v>46082</v>
      </c>
      <c r="J311" s="1" t="s">
        <v>19</v>
      </c>
      <c r="K311" s="1" t="s">
        <v>1368</v>
      </c>
      <c r="L311" s="1" t="s">
        <v>20</v>
      </c>
      <c r="M311" s="1" t="s">
        <v>1632</v>
      </c>
      <c r="N311" s="1" t="str">
        <f t="shared" si="4"/>
        <v>THIAGO MARCOS</v>
      </c>
    </row>
    <row r="312" spans="1:14" x14ac:dyDescent="0.3">
      <c r="A312" s="1">
        <v>701142</v>
      </c>
      <c r="B312" s="1" t="s">
        <v>366</v>
      </c>
      <c r="C312" s="5" t="s">
        <v>15</v>
      </c>
      <c r="D312" s="2">
        <v>43675</v>
      </c>
      <c r="E312" s="1" t="s">
        <v>31</v>
      </c>
      <c r="F312" s="1">
        <v>22102</v>
      </c>
      <c r="G312" s="1" t="s">
        <v>68</v>
      </c>
      <c r="H312" s="1" t="s">
        <v>18</v>
      </c>
      <c r="J312" s="1" t="s">
        <v>142</v>
      </c>
      <c r="K312" s="1" t="s">
        <v>1371</v>
      </c>
      <c r="L312" s="1" t="s">
        <v>1509</v>
      </c>
      <c r="M312" s="1" t="s">
        <v>1633</v>
      </c>
      <c r="N312" s="1" t="str">
        <f t="shared" si="4"/>
        <v>CRISTIANO BARBOSA</v>
      </c>
    </row>
    <row r="313" spans="1:14" x14ac:dyDescent="0.3">
      <c r="A313" s="1">
        <v>702589</v>
      </c>
      <c r="B313" s="1" t="s">
        <v>367</v>
      </c>
      <c r="C313" s="5" t="s">
        <v>15</v>
      </c>
      <c r="D313" s="2">
        <v>44487</v>
      </c>
      <c r="E313" s="1" t="s">
        <v>60</v>
      </c>
      <c r="F313" s="1">
        <v>22102</v>
      </c>
      <c r="G313" s="1" t="s">
        <v>68</v>
      </c>
      <c r="H313" s="1" t="s">
        <v>18</v>
      </c>
      <c r="J313" s="1" t="s">
        <v>142</v>
      </c>
      <c r="K313" s="1" t="s">
        <v>1371</v>
      </c>
      <c r="L313" s="1" t="s">
        <v>1509</v>
      </c>
      <c r="M313" s="1" t="s">
        <v>1633</v>
      </c>
      <c r="N313" s="1" t="str">
        <f t="shared" si="4"/>
        <v>CRISTIANO BARBOSA</v>
      </c>
    </row>
    <row r="314" spans="1:14" x14ac:dyDescent="0.3">
      <c r="A314" s="1">
        <v>705560</v>
      </c>
      <c r="B314" s="1" t="s">
        <v>1317</v>
      </c>
      <c r="C314" s="5" t="s">
        <v>15</v>
      </c>
      <c r="D314" s="2">
        <v>45874</v>
      </c>
      <c r="E314" s="1" t="s">
        <v>31</v>
      </c>
      <c r="F314" s="1">
        <v>52104</v>
      </c>
      <c r="G314" s="1" t="s">
        <v>17</v>
      </c>
      <c r="H314" s="1" t="s">
        <v>18</v>
      </c>
      <c r="J314" s="1" t="s">
        <v>19</v>
      </c>
      <c r="K314" s="1" t="s">
        <v>1368</v>
      </c>
      <c r="L314" s="1" t="s">
        <v>20</v>
      </c>
      <c r="M314" s="1" t="s">
        <v>1632</v>
      </c>
      <c r="N314" s="1" t="str">
        <f t="shared" si="4"/>
        <v>THIAGO MARCOS</v>
      </c>
    </row>
    <row r="315" spans="1:14" x14ac:dyDescent="0.3">
      <c r="A315" s="1">
        <v>705885</v>
      </c>
      <c r="B315" s="1" t="s">
        <v>1545</v>
      </c>
      <c r="C315" s="5" t="s">
        <v>92</v>
      </c>
      <c r="D315" s="2">
        <v>46063</v>
      </c>
      <c r="E315" s="1" t="s">
        <v>230</v>
      </c>
      <c r="F315" s="1">
        <v>38101</v>
      </c>
      <c r="G315" s="1" t="s">
        <v>35</v>
      </c>
      <c r="H315" s="1" t="s">
        <v>18</v>
      </c>
      <c r="I315" s="2">
        <v>46082</v>
      </c>
      <c r="J315" s="1" t="s">
        <v>36</v>
      </c>
      <c r="K315" s="1" t="s">
        <v>1372</v>
      </c>
      <c r="L315" s="1" t="s">
        <v>1373</v>
      </c>
      <c r="M315" s="1" t="s">
        <v>1373</v>
      </c>
      <c r="N315" s="1" t="str">
        <f t="shared" si="4"/>
        <v>DENIS ACASSIO</v>
      </c>
    </row>
    <row r="316" spans="1:14" x14ac:dyDescent="0.3">
      <c r="A316" s="1">
        <v>701393</v>
      </c>
      <c r="B316" s="1" t="s">
        <v>369</v>
      </c>
      <c r="C316" s="5" t="s">
        <v>15</v>
      </c>
      <c r="D316" s="2">
        <v>40364</v>
      </c>
      <c r="E316" s="1" t="s">
        <v>166</v>
      </c>
      <c r="F316" s="1">
        <v>52104</v>
      </c>
      <c r="G316" s="1" t="s">
        <v>17</v>
      </c>
      <c r="H316" s="1" t="s">
        <v>18</v>
      </c>
      <c r="J316" s="1" t="s">
        <v>19</v>
      </c>
      <c r="K316" s="1" t="s">
        <v>1368</v>
      </c>
      <c r="L316" s="1" t="s">
        <v>20</v>
      </c>
      <c r="M316" s="1" t="s">
        <v>1632</v>
      </c>
      <c r="N316" s="1" t="str">
        <f t="shared" si="4"/>
        <v>THIAGO MARCOS</v>
      </c>
    </row>
    <row r="317" spans="1:14" x14ac:dyDescent="0.3">
      <c r="A317" s="1">
        <v>703420</v>
      </c>
      <c r="B317" s="1" t="s">
        <v>370</v>
      </c>
      <c r="C317" s="5" t="s">
        <v>15</v>
      </c>
      <c r="D317" s="2">
        <v>44873</v>
      </c>
      <c r="E317" s="1" t="s">
        <v>371</v>
      </c>
      <c r="F317" s="1">
        <v>39301</v>
      </c>
      <c r="G317" s="1" t="s">
        <v>73</v>
      </c>
      <c r="H317" s="1" t="s">
        <v>18</v>
      </c>
      <c r="J317" s="1" t="s">
        <v>74</v>
      </c>
      <c r="K317" s="1" t="s">
        <v>1371</v>
      </c>
      <c r="L317" s="1" t="s">
        <v>1376</v>
      </c>
      <c r="M317" s="1" t="s">
        <v>75</v>
      </c>
      <c r="N317" s="1" t="str">
        <f t="shared" si="4"/>
        <v>ISAC NONATO</v>
      </c>
    </row>
    <row r="318" spans="1:14" x14ac:dyDescent="0.3">
      <c r="A318" s="1">
        <v>704222</v>
      </c>
      <c r="B318" s="1" t="s">
        <v>372</v>
      </c>
      <c r="C318" s="5" t="s">
        <v>15</v>
      </c>
      <c r="D318" s="2">
        <v>45328</v>
      </c>
      <c r="E318" s="1" t="s">
        <v>31</v>
      </c>
      <c r="F318" s="1">
        <v>25201</v>
      </c>
      <c r="G318" s="1" t="s">
        <v>89</v>
      </c>
      <c r="H318" s="1" t="s">
        <v>18</v>
      </c>
      <c r="J318" s="1" t="s">
        <v>19</v>
      </c>
      <c r="K318" s="1" t="s">
        <v>1368</v>
      </c>
      <c r="L318" s="1" t="s">
        <v>20</v>
      </c>
      <c r="M318" s="1" t="s">
        <v>1632</v>
      </c>
      <c r="N318" s="1" t="str">
        <f t="shared" si="4"/>
        <v>THIAGO MARCOS</v>
      </c>
    </row>
    <row r="319" spans="1:14" x14ac:dyDescent="0.3">
      <c r="A319" s="1">
        <v>705092</v>
      </c>
      <c r="B319" s="1" t="s">
        <v>373</v>
      </c>
      <c r="C319" s="5" t="s">
        <v>15</v>
      </c>
      <c r="D319" s="2">
        <v>45670</v>
      </c>
      <c r="E319" s="1" t="s">
        <v>40</v>
      </c>
      <c r="F319" s="1">
        <v>41504</v>
      </c>
      <c r="G319" s="1" t="s">
        <v>1275</v>
      </c>
      <c r="H319" s="1" t="s">
        <v>18</v>
      </c>
      <c r="J319" s="1" t="s">
        <v>19</v>
      </c>
      <c r="K319" s="1" t="s">
        <v>1368</v>
      </c>
      <c r="L319" s="1" t="s">
        <v>20</v>
      </c>
      <c r="M319" s="1" t="s">
        <v>1632</v>
      </c>
      <c r="N319" s="1" t="str">
        <f t="shared" si="4"/>
        <v>THIAGO MARCOS</v>
      </c>
    </row>
    <row r="320" spans="1:14" x14ac:dyDescent="0.3">
      <c r="A320" s="1">
        <v>705065</v>
      </c>
      <c r="B320" s="1" t="s">
        <v>374</v>
      </c>
      <c r="C320" s="5" t="s">
        <v>15</v>
      </c>
      <c r="D320" s="2">
        <v>45670</v>
      </c>
      <c r="E320" s="1" t="s">
        <v>362</v>
      </c>
      <c r="F320" s="1">
        <v>25201</v>
      </c>
      <c r="G320" s="1" t="s">
        <v>89</v>
      </c>
      <c r="H320" s="1" t="s">
        <v>18</v>
      </c>
      <c r="J320" s="1" t="s">
        <v>37</v>
      </c>
      <c r="K320" s="1" t="s">
        <v>1368</v>
      </c>
      <c r="L320" s="1" t="s">
        <v>20</v>
      </c>
      <c r="M320" s="1" t="s">
        <v>1634</v>
      </c>
      <c r="N320" s="1" t="str">
        <f t="shared" si="4"/>
        <v>IRON SANTOS</v>
      </c>
    </row>
    <row r="321" spans="1:14" x14ac:dyDescent="0.3">
      <c r="A321" s="1">
        <v>705688</v>
      </c>
      <c r="B321" s="1" t="s">
        <v>1407</v>
      </c>
      <c r="C321" s="5" t="s">
        <v>15</v>
      </c>
      <c r="D321" s="2">
        <v>45945</v>
      </c>
      <c r="E321" s="1" t="s">
        <v>230</v>
      </c>
      <c r="F321" s="1">
        <v>38101</v>
      </c>
      <c r="G321" s="1" t="s">
        <v>35</v>
      </c>
      <c r="H321" s="1" t="s">
        <v>18</v>
      </c>
      <c r="J321" s="1" t="s">
        <v>36</v>
      </c>
      <c r="K321" s="1" t="s">
        <v>1372</v>
      </c>
      <c r="L321" s="1" t="s">
        <v>1373</v>
      </c>
      <c r="M321" s="1" t="s">
        <v>1373</v>
      </c>
      <c r="N321" s="1" t="str">
        <f t="shared" si="4"/>
        <v>DENIS ACASSIO</v>
      </c>
    </row>
    <row r="322" spans="1:14" x14ac:dyDescent="0.3">
      <c r="A322" s="1">
        <v>100760</v>
      </c>
      <c r="B322" s="1" t="s">
        <v>375</v>
      </c>
      <c r="C322" s="5" t="s">
        <v>15</v>
      </c>
      <c r="D322" s="2">
        <v>42198</v>
      </c>
      <c r="E322" s="1" t="s">
        <v>368</v>
      </c>
      <c r="F322" s="1">
        <v>32101</v>
      </c>
      <c r="G322" s="1" t="s">
        <v>23</v>
      </c>
      <c r="H322" s="1" t="s">
        <v>18</v>
      </c>
      <c r="J322" s="1" t="s">
        <v>24</v>
      </c>
      <c r="K322" s="1" t="s">
        <v>25</v>
      </c>
      <c r="L322" s="1" t="s">
        <v>1369</v>
      </c>
      <c r="M322" s="1" t="s">
        <v>1370</v>
      </c>
      <c r="N322" s="1" t="str">
        <f t="shared" si="4"/>
        <v>JUNIO COSTA</v>
      </c>
    </row>
    <row r="323" spans="1:14" x14ac:dyDescent="0.3">
      <c r="A323" s="1">
        <v>701127</v>
      </c>
      <c r="B323" s="1" t="s">
        <v>376</v>
      </c>
      <c r="C323" s="5" t="s">
        <v>15</v>
      </c>
      <c r="D323" s="2">
        <v>42381</v>
      </c>
      <c r="E323" s="1" t="s">
        <v>116</v>
      </c>
      <c r="F323" s="1">
        <v>34201</v>
      </c>
      <c r="G323" s="1" t="s">
        <v>84</v>
      </c>
      <c r="H323" s="1" t="s">
        <v>18</v>
      </c>
      <c r="J323" s="1" t="s">
        <v>85</v>
      </c>
      <c r="K323" s="1" t="s">
        <v>1371</v>
      </c>
      <c r="L323" s="1" t="s">
        <v>1380</v>
      </c>
      <c r="M323" s="1" t="s">
        <v>1380</v>
      </c>
      <c r="N323" s="1" t="str">
        <f t="shared" ref="N323:N386" si="5">IF(M323&lt;&gt;"", M323, IF(L323&lt;&gt;"", L323, K323))</f>
        <v xml:space="preserve">LEONARDO SANTOS </v>
      </c>
    </row>
    <row r="324" spans="1:14" x14ac:dyDescent="0.3">
      <c r="A324" s="1">
        <v>101518</v>
      </c>
      <c r="B324" s="1" t="s">
        <v>377</v>
      </c>
      <c r="C324" s="5" t="s">
        <v>15</v>
      </c>
      <c r="D324" s="2">
        <v>42982</v>
      </c>
      <c r="E324" s="1" t="s">
        <v>1221</v>
      </c>
      <c r="F324" s="1">
        <v>34201</v>
      </c>
      <c r="G324" s="1" t="s">
        <v>84</v>
      </c>
      <c r="H324" s="1" t="s">
        <v>18</v>
      </c>
      <c r="J324" s="1" t="s">
        <v>85</v>
      </c>
      <c r="K324" s="1" t="s">
        <v>1371</v>
      </c>
      <c r="L324" s="1" t="s">
        <v>1380</v>
      </c>
      <c r="M324" s="1" t="s">
        <v>1380</v>
      </c>
      <c r="N324" s="1" t="str">
        <f t="shared" si="5"/>
        <v xml:space="preserve">LEONARDO SANTOS </v>
      </c>
    </row>
    <row r="325" spans="1:14" x14ac:dyDescent="0.3">
      <c r="A325" s="1">
        <v>704965</v>
      </c>
      <c r="B325" s="1" t="s">
        <v>378</v>
      </c>
      <c r="C325" s="5" t="s">
        <v>15</v>
      </c>
      <c r="D325" s="2">
        <v>45629</v>
      </c>
      <c r="E325" s="1" t="s">
        <v>91</v>
      </c>
      <c r="F325" s="1">
        <v>34201</v>
      </c>
      <c r="G325" s="1" t="s">
        <v>84</v>
      </c>
      <c r="H325" s="1" t="s">
        <v>18</v>
      </c>
      <c r="J325" s="1" t="s">
        <v>85</v>
      </c>
      <c r="K325" s="1" t="s">
        <v>1371</v>
      </c>
      <c r="L325" s="1" t="s">
        <v>1380</v>
      </c>
      <c r="M325" s="1" t="s">
        <v>1380</v>
      </c>
      <c r="N325" s="1" t="str">
        <f t="shared" si="5"/>
        <v xml:space="preserve">LEONARDO SANTOS </v>
      </c>
    </row>
    <row r="326" spans="1:14" x14ac:dyDescent="0.3">
      <c r="A326" s="1">
        <v>705095</v>
      </c>
      <c r="B326" s="1" t="s">
        <v>379</v>
      </c>
      <c r="C326" s="5" t="s">
        <v>15</v>
      </c>
      <c r="D326" s="2">
        <v>45670</v>
      </c>
      <c r="E326" s="1" t="s">
        <v>31</v>
      </c>
      <c r="F326" s="1">
        <v>25201</v>
      </c>
      <c r="G326" s="1" t="s">
        <v>89</v>
      </c>
      <c r="H326" s="1" t="s">
        <v>18</v>
      </c>
      <c r="J326" s="1" t="s">
        <v>19</v>
      </c>
      <c r="K326" s="1" t="s">
        <v>1368</v>
      </c>
      <c r="L326" s="1" t="s">
        <v>20</v>
      </c>
      <c r="M326" s="1" t="s">
        <v>1632</v>
      </c>
      <c r="N326" s="1" t="str">
        <f t="shared" si="5"/>
        <v>THIAGO MARCOS</v>
      </c>
    </row>
    <row r="327" spans="1:14" x14ac:dyDescent="0.3">
      <c r="A327" s="1">
        <v>704964</v>
      </c>
      <c r="B327" s="1" t="s">
        <v>380</v>
      </c>
      <c r="C327" s="5" t="s">
        <v>15</v>
      </c>
      <c r="D327" s="2">
        <v>45629</v>
      </c>
      <c r="E327" s="1" t="s">
        <v>381</v>
      </c>
      <c r="F327" s="1">
        <v>39302</v>
      </c>
      <c r="G327" s="1" t="s">
        <v>102</v>
      </c>
      <c r="H327" s="1" t="s">
        <v>18</v>
      </c>
      <c r="J327" s="1" t="s">
        <v>57</v>
      </c>
      <c r="K327" s="1" t="s">
        <v>1371</v>
      </c>
      <c r="L327" s="1" t="s">
        <v>1376</v>
      </c>
      <c r="M327" s="1" t="s">
        <v>1635</v>
      </c>
      <c r="N327" s="1" t="str">
        <f t="shared" si="5"/>
        <v>WARLEY RIBEIRO / EUDES FERNANDES</v>
      </c>
    </row>
    <row r="328" spans="1:14" x14ac:dyDescent="0.3">
      <c r="A328" s="1">
        <v>705719</v>
      </c>
      <c r="B328" s="1" t="s">
        <v>382</v>
      </c>
      <c r="C328" s="5" t="s">
        <v>15</v>
      </c>
      <c r="D328" s="2">
        <v>45972</v>
      </c>
      <c r="E328" s="1" t="s">
        <v>31</v>
      </c>
      <c r="F328" s="1">
        <v>25201</v>
      </c>
      <c r="G328" s="1" t="s">
        <v>89</v>
      </c>
      <c r="H328" s="1" t="s">
        <v>18</v>
      </c>
      <c r="J328" s="1" t="s">
        <v>19</v>
      </c>
      <c r="K328" s="1" t="s">
        <v>1368</v>
      </c>
      <c r="L328" s="1" t="s">
        <v>20</v>
      </c>
      <c r="M328" s="1" t="s">
        <v>1632</v>
      </c>
      <c r="N328" s="1" t="str">
        <f t="shared" si="5"/>
        <v>THIAGO MARCOS</v>
      </c>
    </row>
    <row r="329" spans="1:14" x14ac:dyDescent="0.3">
      <c r="A329" s="1">
        <v>703421</v>
      </c>
      <c r="B329" s="1" t="s">
        <v>383</v>
      </c>
      <c r="C329" s="5" t="s">
        <v>15</v>
      </c>
      <c r="D329" s="2">
        <v>44873</v>
      </c>
      <c r="E329" s="1" t="s">
        <v>31</v>
      </c>
      <c r="F329" s="1">
        <v>34201</v>
      </c>
      <c r="G329" s="1" t="s">
        <v>84</v>
      </c>
      <c r="H329" s="1" t="s">
        <v>18</v>
      </c>
      <c r="J329" s="1" t="s">
        <v>85</v>
      </c>
      <c r="K329" s="1" t="s">
        <v>1371</v>
      </c>
      <c r="L329" s="1" t="s">
        <v>1380</v>
      </c>
      <c r="M329" s="1" t="s">
        <v>1380</v>
      </c>
      <c r="N329" s="1" t="str">
        <f t="shared" si="5"/>
        <v xml:space="preserve">LEONARDO SANTOS </v>
      </c>
    </row>
    <row r="330" spans="1:14" x14ac:dyDescent="0.3">
      <c r="A330" s="1">
        <v>705758</v>
      </c>
      <c r="B330" s="1" t="s">
        <v>1485</v>
      </c>
      <c r="C330" s="5" t="s">
        <v>15</v>
      </c>
      <c r="D330" s="2">
        <v>45993</v>
      </c>
      <c r="E330" s="1" t="s">
        <v>238</v>
      </c>
      <c r="F330" s="1">
        <v>37101</v>
      </c>
      <c r="G330" s="1" t="s">
        <v>214</v>
      </c>
      <c r="H330" s="1" t="s">
        <v>18</v>
      </c>
      <c r="J330" s="1" t="s">
        <v>239</v>
      </c>
      <c r="K330" s="1" t="s">
        <v>216</v>
      </c>
      <c r="N330" s="1" t="str">
        <f t="shared" si="5"/>
        <v>CARSON NEVES</v>
      </c>
    </row>
    <row r="331" spans="1:14" x14ac:dyDescent="0.3">
      <c r="A331" s="1">
        <v>705890</v>
      </c>
      <c r="B331" s="1" t="s">
        <v>1546</v>
      </c>
      <c r="C331" s="5" t="s">
        <v>15</v>
      </c>
      <c r="D331" s="2">
        <v>46063</v>
      </c>
      <c r="E331" s="1" t="s">
        <v>31</v>
      </c>
      <c r="F331" s="1">
        <v>52104</v>
      </c>
      <c r="G331" s="1" t="s">
        <v>17</v>
      </c>
      <c r="H331" s="1" t="s">
        <v>18</v>
      </c>
      <c r="J331" s="1" t="s">
        <v>19</v>
      </c>
      <c r="K331" s="1" t="s">
        <v>1368</v>
      </c>
      <c r="L331" s="1" t="s">
        <v>20</v>
      </c>
      <c r="M331" s="1" t="s">
        <v>1632</v>
      </c>
      <c r="N331" s="1" t="str">
        <f t="shared" si="5"/>
        <v>THIAGO MARCOS</v>
      </c>
    </row>
    <row r="332" spans="1:14" x14ac:dyDescent="0.3">
      <c r="A332" s="1">
        <v>701993</v>
      </c>
      <c r="B332" s="1" t="s">
        <v>384</v>
      </c>
      <c r="C332" s="5" t="s">
        <v>15</v>
      </c>
      <c r="D332" s="2">
        <v>44214</v>
      </c>
      <c r="E332" s="1" t="s">
        <v>282</v>
      </c>
      <c r="F332" s="1">
        <v>32101</v>
      </c>
      <c r="G332" s="1" t="s">
        <v>23</v>
      </c>
      <c r="H332" s="1" t="s">
        <v>18</v>
      </c>
      <c r="J332" s="1" t="s">
        <v>24</v>
      </c>
      <c r="K332" s="1" t="s">
        <v>25</v>
      </c>
      <c r="L332" s="1" t="s">
        <v>1369</v>
      </c>
      <c r="M332" s="1" t="s">
        <v>1370</v>
      </c>
      <c r="N332" s="1" t="str">
        <f t="shared" si="5"/>
        <v>JUNIO COSTA</v>
      </c>
    </row>
    <row r="333" spans="1:14" x14ac:dyDescent="0.3">
      <c r="A333" s="1">
        <v>702853</v>
      </c>
      <c r="B333" s="1" t="s">
        <v>386</v>
      </c>
      <c r="C333" s="5" t="s">
        <v>15</v>
      </c>
      <c r="D333" s="2">
        <v>44628</v>
      </c>
      <c r="E333" s="1" t="s">
        <v>387</v>
      </c>
      <c r="F333" s="1">
        <v>37101</v>
      </c>
      <c r="G333" s="1" t="s">
        <v>214</v>
      </c>
      <c r="H333" s="1" t="s">
        <v>18</v>
      </c>
      <c r="J333" s="1" t="s">
        <v>239</v>
      </c>
      <c r="K333" s="1" t="s">
        <v>216</v>
      </c>
      <c r="N333" s="1" t="str">
        <f t="shared" si="5"/>
        <v>CARSON NEVES</v>
      </c>
    </row>
    <row r="334" spans="1:14" x14ac:dyDescent="0.3">
      <c r="A334" s="1">
        <v>703018</v>
      </c>
      <c r="B334" s="1" t="s">
        <v>388</v>
      </c>
      <c r="C334" s="5" t="s">
        <v>15</v>
      </c>
      <c r="D334" s="2">
        <v>44692</v>
      </c>
      <c r="E334" s="1" t="s">
        <v>146</v>
      </c>
      <c r="F334" s="1">
        <v>39304</v>
      </c>
      <c r="G334" s="1" t="s">
        <v>56</v>
      </c>
      <c r="H334" s="1" t="s">
        <v>18</v>
      </c>
      <c r="J334" s="1" t="s">
        <v>57</v>
      </c>
      <c r="K334" s="1" t="s">
        <v>1371</v>
      </c>
      <c r="L334" s="1" t="s">
        <v>1376</v>
      </c>
      <c r="M334" s="1" t="s">
        <v>1635</v>
      </c>
      <c r="N334" s="1" t="str">
        <f t="shared" si="5"/>
        <v>WARLEY RIBEIRO / EUDES FERNANDES</v>
      </c>
    </row>
    <row r="335" spans="1:14" x14ac:dyDescent="0.3">
      <c r="A335" s="1">
        <v>704224</v>
      </c>
      <c r="B335" s="1" t="s">
        <v>389</v>
      </c>
      <c r="C335" s="5" t="s">
        <v>233</v>
      </c>
      <c r="D335" s="2">
        <v>45328</v>
      </c>
      <c r="E335" s="1" t="s">
        <v>16</v>
      </c>
      <c r="F335" s="1">
        <v>22102</v>
      </c>
      <c r="G335" s="1" t="s">
        <v>68</v>
      </c>
      <c r="H335" s="1" t="s">
        <v>18</v>
      </c>
      <c r="J335" s="1" t="s">
        <v>69</v>
      </c>
      <c r="K335" s="1" t="s">
        <v>1371</v>
      </c>
      <c r="L335" s="1" t="s">
        <v>1378</v>
      </c>
      <c r="N335" s="1" t="str">
        <f t="shared" si="5"/>
        <v xml:space="preserve">JOÃO KOMURA </v>
      </c>
    </row>
    <row r="336" spans="1:14" x14ac:dyDescent="0.3">
      <c r="A336" s="1">
        <v>705834</v>
      </c>
      <c r="B336" s="1" t="s">
        <v>1611</v>
      </c>
      <c r="C336" s="5" t="s">
        <v>15</v>
      </c>
      <c r="D336" s="2">
        <v>46091</v>
      </c>
      <c r="E336" s="1" t="s">
        <v>31</v>
      </c>
      <c r="F336" s="1">
        <v>51219</v>
      </c>
      <c r="G336" s="1" t="s">
        <v>61</v>
      </c>
      <c r="H336" s="1" t="s">
        <v>18</v>
      </c>
      <c r="J336" s="1" t="s">
        <v>19</v>
      </c>
      <c r="K336" s="1" t="s">
        <v>1368</v>
      </c>
      <c r="L336" s="1" t="s">
        <v>20</v>
      </c>
      <c r="M336" s="1" t="s">
        <v>1632</v>
      </c>
      <c r="N336" s="1" t="str">
        <f t="shared" si="5"/>
        <v>THIAGO MARCOS</v>
      </c>
    </row>
    <row r="337" spans="1:14" x14ac:dyDescent="0.3">
      <c r="A337" s="1">
        <v>705738</v>
      </c>
      <c r="B337" s="1" t="s">
        <v>390</v>
      </c>
      <c r="C337" s="5" t="s">
        <v>15</v>
      </c>
      <c r="D337" s="2">
        <v>45993</v>
      </c>
      <c r="E337" s="1" t="s">
        <v>446</v>
      </c>
      <c r="F337" s="1">
        <v>22101</v>
      </c>
      <c r="G337" s="1" t="s">
        <v>122</v>
      </c>
      <c r="H337" s="1" t="s">
        <v>18</v>
      </c>
      <c r="J337" s="1" t="s">
        <v>123</v>
      </c>
      <c r="K337" s="1" t="s">
        <v>124</v>
      </c>
      <c r="N337" s="1" t="str">
        <f t="shared" si="5"/>
        <v>MATHEUS FERNANDES</v>
      </c>
    </row>
    <row r="338" spans="1:14" x14ac:dyDescent="0.3">
      <c r="A338" s="1">
        <v>705237</v>
      </c>
      <c r="B338" s="1" t="s">
        <v>1183</v>
      </c>
      <c r="C338" s="5" t="s">
        <v>15</v>
      </c>
      <c r="D338" s="2">
        <v>45754</v>
      </c>
      <c r="E338" s="1" t="s">
        <v>31</v>
      </c>
      <c r="F338" s="1">
        <v>52104</v>
      </c>
      <c r="G338" s="1" t="s">
        <v>17</v>
      </c>
      <c r="H338" s="1" t="s">
        <v>18</v>
      </c>
      <c r="J338" s="1" t="s">
        <v>19</v>
      </c>
      <c r="K338" s="1" t="s">
        <v>1368</v>
      </c>
      <c r="L338" s="1" t="s">
        <v>20</v>
      </c>
      <c r="M338" s="1" t="s">
        <v>1632</v>
      </c>
      <c r="N338" s="1" t="str">
        <f t="shared" si="5"/>
        <v>THIAGO MARCOS</v>
      </c>
    </row>
    <row r="339" spans="1:14" x14ac:dyDescent="0.3">
      <c r="A339" s="1">
        <v>704167</v>
      </c>
      <c r="B339" s="1" t="s">
        <v>391</v>
      </c>
      <c r="C339" s="5" t="s">
        <v>15</v>
      </c>
      <c r="D339" s="2">
        <v>45271</v>
      </c>
      <c r="E339" s="1" t="s">
        <v>406</v>
      </c>
      <c r="F339" s="1">
        <v>12105</v>
      </c>
      <c r="G339" s="1" t="s">
        <v>393</v>
      </c>
      <c r="H339" s="1" t="s">
        <v>18</v>
      </c>
      <c r="J339" s="1" t="s">
        <v>394</v>
      </c>
      <c r="K339" s="1" t="s">
        <v>1386</v>
      </c>
      <c r="N339" s="1" t="str">
        <f t="shared" si="5"/>
        <v>JOÃO GORGULHO</v>
      </c>
    </row>
    <row r="340" spans="1:14" x14ac:dyDescent="0.3">
      <c r="A340" s="1">
        <v>705637</v>
      </c>
      <c r="B340" s="1" t="s">
        <v>1408</v>
      </c>
      <c r="C340" s="5" t="s">
        <v>15</v>
      </c>
      <c r="D340" s="2">
        <v>45937</v>
      </c>
      <c r="E340" s="1" t="s">
        <v>31</v>
      </c>
      <c r="F340" s="1">
        <v>52104</v>
      </c>
      <c r="G340" s="1" t="s">
        <v>17</v>
      </c>
      <c r="H340" s="1" t="s">
        <v>18</v>
      </c>
      <c r="J340" s="1" t="s">
        <v>19</v>
      </c>
      <c r="K340" s="1" t="s">
        <v>1368</v>
      </c>
      <c r="L340" s="1" t="s">
        <v>20</v>
      </c>
      <c r="M340" s="1" t="s">
        <v>1632</v>
      </c>
      <c r="N340" s="1" t="str">
        <f t="shared" si="5"/>
        <v>THIAGO MARCOS</v>
      </c>
    </row>
    <row r="341" spans="1:14" x14ac:dyDescent="0.3">
      <c r="A341" s="1">
        <v>705093</v>
      </c>
      <c r="B341" s="1" t="s">
        <v>395</v>
      </c>
      <c r="C341" s="5" t="s">
        <v>15</v>
      </c>
      <c r="D341" s="2">
        <v>45670</v>
      </c>
      <c r="E341" s="1" t="s">
        <v>40</v>
      </c>
      <c r="F341" s="1">
        <v>51219</v>
      </c>
      <c r="G341" s="1" t="s">
        <v>61</v>
      </c>
      <c r="H341" s="1" t="s">
        <v>18</v>
      </c>
      <c r="J341" s="1" t="s">
        <v>19</v>
      </c>
      <c r="K341" s="1" t="s">
        <v>1368</v>
      </c>
      <c r="L341" s="1" t="s">
        <v>20</v>
      </c>
      <c r="M341" s="1" t="s">
        <v>1632</v>
      </c>
      <c r="N341" s="1" t="str">
        <f t="shared" si="5"/>
        <v>THIAGO MARCOS</v>
      </c>
    </row>
    <row r="342" spans="1:14" x14ac:dyDescent="0.3">
      <c r="A342" s="1">
        <v>704156</v>
      </c>
      <c r="B342" s="1" t="s">
        <v>396</v>
      </c>
      <c r="C342" s="5" t="s">
        <v>15</v>
      </c>
      <c r="D342" s="2">
        <v>45264</v>
      </c>
      <c r="E342" s="1" t="s">
        <v>336</v>
      </c>
      <c r="F342" s="1">
        <v>38107</v>
      </c>
      <c r="G342" s="1" t="s">
        <v>1503</v>
      </c>
      <c r="H342" s="1" t="s">
        <v>18</v>
      </c>
      <c r="J342" s="1" t="s">
        <v>78</v>
      </c>
      <c r="K342" s="1" t="s">
        <v>1372</v>
      </c>
      <c r="N342" s="1" t="str">
        <f t="shared" si="5"/>
        <v xml:space="preserve">LEIDJANE MARTINS </v>
      </c>
    </row>
    <row r="343" spans="1:14" x14ac:dyDescent="0.3">
      <c r="A343" s="1">
        <v>701616</v>
      </c>
      <c r="B343" s="1" t="s">
        <v>397</v>
      </c>
      <c r="C343" s="5" t="s">
        <v>15</v>
      </c>
      <c r="D343" s="2">
        <v>43998</v>
      </c>
      <c r="E343" s="1" t="s">
        <v>160</v>
      </c>
      <c r="F343" s="1">
        <v>32101</v>
      </c>
      <c r="G343" s="1" t="s">
        <v>23</v>
      </c>
      <c r="H343" s="1" t="s">
        <v>18</v>
      </c>
      <c r="J343" s="1" t="s">
        <v>24</v>
      </c>
      <c r="K343" s="1" t="s">
        <v>25</v>
      </c>
      <c r="L343" s="1" t="s">
        <v>1369</v>
      </c>
      <c r="M343" s="1" t="s">
        <v>1370</v>
      </c>
      <c r="N343" s="1" t="str">
        <f t="shared" si="5"/>
        <v>JUNIO COSTA</v>
      </c>
    </row>
    <row r="344" spans="1:14" x14ac:dyDescent="0.3">
      <c r="A344" s="1">
        <v>700483</v>
      </c>
      <c r="B344" s="1" t="s">
        <v>398</v>
      </c>
      <c r="C344" s="5" t="s">
        <v>15</v>
      </c>
      <c r="D344" s="2">
        <v>43346</v>
      </c>
      <c r="E344" s="1" t="s">
        <v>127</v>
      </c>
      <c r="F344" s="1">
        <v>22102</v>
      </c>
      <c r="G344" s="1" t="s">
        <v>68</v>
      </c>
      <c r="H344" s="1" t="s">
        <v>18</v>
      </c>
      <c r="J344" s="1" t="s">
        <v>81</v>
      </c>
      <c r="K344" s="1" t="s">
        <v>1371</v>
      </c>
      <c r="L344" s="1" t="s">
        <v>1509</v>
      </c>
      <c r="M344" s="1" t="s">
        <v>1379</v>
      </c>
      <c r="N344" s="1" t="str">
        <f t="shared" si="5"/>
        <v xml:space="preserve">EDSON/MARCELO LIMA </v>
      </c>
    </row>
    <row r="345" spans="1:14" x14ac:dyDescent="0.3">
      <c r="A345" s="1">
        <v>704191</v>
      </c>
      <c r="B345" s="1" t="s">
        <v>399</v>
      </c>
      <c r="C345" s="5" t="s">
        <v>15</v>
      </c>
      <c r="D345" s="2">
        <v>45300</v>
      </c>
      <c r="E345" s="1" t="s">
        <v>67</v>
      </c>
      <c r="F345" s="1">
        <v>22102</v>
      </c>
      <c r="G345" s="1" t="s">
        <v>68</v>
      </c>
      <c r="H345" s="1" t="s">
        <v>18</v>
      </c>
      <c r="J345" s="1" t="s">
        <v>94</v>
      </c>
      <c r="K345" s="1" t="s">
        <v>1371</v>
      </c>
      <c r="L345" s="1" t="s">
        <v>1378</v>
      </c>
      <c r="M345" s="1" t="s">
        <v>95</v>
      </c>
      <c r="N345" s="1" t="str">
        <f t="shared" si="5"/>
        <v>LUAN ABADIA</v>
      </c>
    </row>
    <row r="346" spans="1:14" x14ac:dyDescent="0.3">
      <c r="A346" s="1">
        <v>705718</v>
      </c>
      <c r="B346" s="1" t="s">
        <v>1451</v>
      </c>
      <c r="C346" s="5" t="s">
        <v>15</v>
      </c>
      <c r="D346" s="2">
        <v>45971</v>
      </c>
      <c r="E346" s="1" t="s">
        <v>31</v>
      </c>
      <c r="F346" s="1">
        <v>25201</v>
      </c>
      <c r="G346" s="1" t="s">
        <v>89</v>
      </c>
      <c r="H346" s="1" t="s">
        <v>18</v>
      </c>
      <c r="J346" s="1" t="s">
        <v>19</v>
      </c>
      <c r="K346" s="1" t="s">
        <v>1368</v>
      </c>
      <c r="L346" s="1" t="s">
        <v>20</v>
      </c>
      <c r="M346" s="1" t="s">
        <v>1632</v>
      </c>
      <c r="N346" s="1" t="str">
        <f t="shared" si="5"/>
        <v>THIAGO MARCOS</v>
      </c>
    </row>
    <row r="347" spans="1:14" x14ac:dyDescent="0.3">
      <c r="A347" s="1">
        <v>705015</v>
      </c>
      <c r="B347" s="1" t="s">
        <v>934</v>
      </c>
      <c r="C347" s="5" t="s">
        <v>15</v>
      </c>
      <c r="D347" s="2">
        <v>45635</v>
      </c>
      <c r="E347" s="1" t="s">
        <v>328</v>
      </c>
      <c r="F347" s="1">
        <v>37101</v>
      </c>
      <c r="G347" s="1" t="s">
        <v>214</v>
      </c>
      <c r="H347" s="1" t="s">
        <v>18</v>
      </c>
      <c r="J347" s="1" t="s">
        <v>239</v>
      </c>
      <c r="K347" s="1" t="s">
        <v>216</v>
      </c>
      <c r="N347" s="1" t="str">
        <f t="shared" si="5"/>
        <v>CARSON NEVES</v>
      </c>
    </row>
    <row r="348" spans="1:14" x14ac:dyDescent="0.3">
      <c r="A348" s="1">
        <v>705045</v>
      </c>
      <c r="B348" s="1" t="s">
        <v>400</v>
      </c>
      <c r="C348" s="5" t="s">
        <v>15</v>
      </c>
      <c r="D348" s="2">
        <v>45635</v>
      </c>
      <c r="E348" s="1" t="s">
        <v>1352</v>
      </c>
      <c r="F348" s="1">
        <v>31102</v>
      </c>
      <c r="G348" s="1" t="s">
        <v>135</v>
      </c>
      <c r="H348" s="1" t="s">
        <v>18</v>
      </c>
      <c r="J348" s="1" t="s">
        <v>136</v>
      </c>
      <c r="K348" s="1" t="s">
        <v>50</v>
      </c>
      <c r="L348" s="1" t="s">
        <v>1382</v>
      </c>
      <c r="M348" s="1" t="s">
        <v>1382</v>
      </c>
      <c r="N348" s="1" t="str">
        <f t="shared" si="5"/>
        <v>ADENILTON RODRIGUES</v>
      </c>
    </row>
    <row r="349" spans="1:14" x14ac:dyDescent="0.3">
      <c r="A349" s="1">
        <v>703237</v>
      </c>
      <c r="B349" s="1" t="s">
        <v>401</v>
      </c>
      <c r="C349" s="5" t="s">
        <v>15</v>
      </c>
      <c r="D349" s="2">
        <v>44760</v>
      </c>
      <c r="E349" s="1" t="s">
        <v>1353</v>
      </c>
      <c r="F349" s="1">
        <v>31102</v>
      </c>
      <c r="G349" s="1" t="s">
        <v>135</v>
      </c>
      <c r="H349" s="1" t="s">
        <v>18</v>
      </c>
      <c r="I349" s="2"/>
      <c r="J349" s="1" t="s">
        <v>136</v>
      </c>
      <c r="K349" s="1" t="s">
        <v>50</v>
      </c>
      <c r="L349" s="1" t="s">
        <v>1382</v>
      </c>
      <c r="M349" s="1" t="s">
        <v>1382</v>
      </c>
      <c r="N349" s="1" t="str">
        <f t="shared" si="5"/>
        <v>ADENILTON RODRIGUES</v>
      </c>
    </row>
    <row r="350" spans="1:14" x14ac:dyDescent="0.3">
      <c r="A350" s="1">
        <v>704130</v>
      </c>
      <c r="B350" s="1" t="s">
        <v>402</v>
      </c>
      <c r="C350" s="5" t="s">
        <v>15</v>
      </c>
      <c r="D350" s="2">
        <v>45244</v>
      </c>
      <c r="E350" s="1" t="s">
        <v>31</v>
      </c>
      <c r="F350" s="1">
        <v>25201</v>
      </c>
      <c r="G350" s="1" t="s">
        <v>89</v>
      </c>
      <c r="H350" s="1" t="s">
        <v>18</v>
      </c>
      <c r="J350" s="1" t="s">
        <v>19</v>
      </c>
      <c r="K350" s="1" t="s">
        <v>1368</v>
      </c>
      <c r="L350" s="1" t="s">
        <v>20</v>
      </c>
      <c r="M350" s="1" t="s">
        <v>1632</v>
      </c>
      <c r="N350" s="1" t="str">
        <f t="shared" si="5"/>
        <v>THIAGO MARCOS</v>
      </c>
    </row>
    <row r="351" spans="1:14" x14ac:dyDescent="0.3">
      <c r="A351" s="1">
        <v>705239</v>
      </c>
      <c r="B351" s="1" t="s">
        <v>1184</v>
      </c>
      <c r="C351" s="5" t="s">
        <v>15</v>
      </c>
      <c r="D351" s="2">
        <v>45754</v>
      </c>
      <c r="E351" s="1" t="s">
        <v>31</v>
      </c>
      <c r="F351" s="1">
        <v>52104</v>
      </c>
      <c r="G351" s="1" t="s">
        <v>17</v>
      </c>
      <c r="H351" s="1" t="s">
        <v>18</v>
      </c>
      <c r="J351" s="1" t="s">
        <v>19</v>
      </c>
      <c r="K351" s="1" t="s">
        <v>1368</v>
      </c>
      <c r="L351" s="1" t="s">
        <v>20</v>
      </c>
      <c r="M351" s="1" t="s">
        <v>1632</v>
      </c>
      <c r="N351" s="1" t="str">
        <f t="shared" si="5"/>
        <v>THIAGO MARCOS</v>
      </c>
    </row>
    <row r="352" spans="1:14" x14ac:dyDescent="0.3">
      <c r="A352" s="1">
        <v>705447</v>
      </c>
      <c r="B352" s="1" t="s">
        <v>1262</v>
      </c>
      <c r="C352" s="5" t="s">
        <v>15</v>
      </c>
      <c r="D352" s="2">
        <v>45797</v>
      </c>
      <c r="E352" s="1" t="s">
        <v>138</v>
      </c>
      <c r="F352" s="1">
        <v>22102</v>
      </c>
      <c r="G352" s="1" t="s">
        <v>68</v>
      </c>
      <c r="H352" s="1" t="s">
        <v>18</v>
      </c>
      <c r="J352" s="1" t="s">
        <v>81</v>
      </c>
      <c r="K352" s="1" t="s">
        <v>1371</v>
      </c>
      <c r="L352" s="1" t="s">
        <v>1509</v>
      </c>
      <c r="M352" s="1" t="s">
        <v>1379</v>
      </c>
      <c r="N352" s="1" t="str">
        <f t="shared" si="5"/>
        <v xml:space="preserve">EDSON/MARCELO LIMA </v>
      </c>
    </row>
    <row r="353" spans="1:14" x14ac:dyDescent="0.3">
      <c r="A353" s="1">
        <v>705411</v>
      </c>
      <c r="B353" s="1" t="s">
        <v>1225</v>
      </c>
      <c r="C353" s="5" t="s">
        <v>15</v>
      </c>
      <c r="D353" s="2">
        <v>45790</v>
      </c>
      <c r="E353" s="1" t="s">
        <v>72</v>
      </c>
      <c r="F353" s="1">
        <v>39304</v>
      </c>
      <c r="G353" s="1" t="s">
        <v>56</v>
      </c>
      <c r="H353" s="1" t="s">
        <v>18</v>
      </c>
      <c r="J353" s="1" t="s">
        <v>57</v>
      </c>
      <c r="K353" s="1" t="s">
        <v>1371</v>
      </c>
      <c r="L353" s="1" t="s">
        <v>1376</v>
      </c>
      <c r="M353" s="1" t="s">
        <v>1635</v>
      </c>
      <c r="N353" s="1" t="str">
        <f t="shared" si="5"/>
        <v>WARLEY RIBEIRO / EUDES FERNANDES</v>
      </c>
    </row>
    <row r="354" spans="1:14" x14ac:dyDescent="0.3">
      <c r="A354" s="1">
        <v>702400</v>
      </c>
      <c r="B354" s="1" t="s">
        <v>403</v>
      </c>
      <c r="C354" s="5" t="s">
        <v>15</v>
      </c>
      <c r="D354" s="2">
        <v>44383</v>
      </c>
      <c r="E354" s="1" t="s">
        <v>60</v>
      </c>
      <c r="F354" s="1">
        <v>22102</v>
      </c>
      <c r="G354" s="1" t="s">
        <v>68</v>
      </c>
      <c r="H354" s="1" t="s">
        <v>18</v>
      </c>
      <c r="J354" s="1" t="s">
        <v>167</v>
      </c>
      <c r="K354" s="1" t="s">
        <v>1371</v>
      </c>
      <c r="L354" s="1" t="s">
        <v>1509</v>
      </c>
      <c r="M354" s="1" t="s">
        <v>1636</v>
      </c>
      <c r="N354" s="1" t="str">
        <f t="shared" si="5"/>
        <v>FABIANO DIAS</v>
      </c>
    </row>
    <row r="355" spans="1:14" x14ac:dyDescent="0.3">
      <c r="A355" s="1">
        <v>702921</v>
      </c>
      <c r="B355" s="1" t="s">
        <v>404</v>
      </c>
      <c r="C355" s="5" t="s">
        <v>15</v>
      </c>
      <c r="D355" s="2">
        <v>44656</v>
      </c>
      <c r="E355" s="1" t="s">
        <v>219</v>
      </c>
      <c r="F355" s="1">
        <v>32101</v>
      </c>
      <c r="G355" s="1" t="s">
        <v>23</v>
      </c>
      <c r="H355" s="1" t="s">
        <v>18</v>
      </c>
      <c r="J355" s="1" t="s">
        <v>24</v>
      </c>
      <c r="K355" s="1" t="s">
        <v>25</v>
      </c>
      <c r="L355" s="1" t="s">
        <v>1369</v>
      </c>
      <c r="M355" s="1" t="s">
        <v>1370</v>
      </c>
      <c r="N355" s="1" t="str">
        <f t="shared" si="5"/>
        <v>JUNIO COSTA</v>
      </c>
    </row>
    <row r="356" spans="1:14" x14ac:dyDescent="0.3">
      <c r="A356" s="1">
        <v>702172</v>
      </c>
      <c r="B356" s="1" t="s">
        <v>405</v>
      </c>
      <c r="C356" s="5" t="s">
        <v>15</v>
      </c>
      <c r="D356" s="2">
        <v>44320</v>
      </c>
      <c r="E356" s="1" t="s">
        <v>105</v>
      </c>
      <c r="F356" s="1">
        <v>22102</v>
      </c>
      <c r="G356" s="1" t="s">
        <v>68</v>
      </c>
      <c r="H356" s="1" t="s">
        <v>18</v>
      </c>
      <c r="J356" s="1" t="s">
        <v>167</v>
      </c>
      <c r="K356" s="1" t="s">
        <v>1371</v>
      </c>
      <c r="L356" s="1" t="s">
        <v>1509</v>
      </c>
      <c r="M356" s="1" t="s">
        <v>1636</v>
      </c>
      <c r="N356" s="1" t="str">
        <f t="shared" si="5"/>
        <v>FABIANO DIAS</v>
      </c>
    </row>
    <row r="357" spans="1:14" x14ac:dyDescent="0.3">
      <c r="A357" s="1">
        <v>701299</v>
      </c>
      <c r="B357" s="1" t="s">
        <v>407</v>
      </c>
      <c r="C357" s="5" t="s">
        <v>15</v>
      </c>
      <c r="D357" s="2">
        <v>43724</v>
      </c>
      <c r="E357" s="1" t="s">
        <v>408</v>
      </c>
      <c r="F357" s="1">
        <v>37101</v>
      </c>
      <c r="G357" s="1" t="s">
        <v>214</v>
      </c>
      <c r="H357" s="1" t="s">
        <v>18</v>
      </c>
      <c r="J357" s="1" t="s">
        <v>239</v>
      </c>
      <c r="K357" s="1" t="s">
        <v>216</v>
      </c>
      <c r="N357" s="1" t="str">
        <f t="shared" si="5"/>
        <v>CARSON NEVES</v>
      </c>
    </row>
    <row r="358" spans="1:14" x14ac:dyDescent="0.3">
      <c r="A358" s="1">
        <v>705541</v>
      </c>
      <c r="B358" s="1" t="s">
        <v>1298</v>
      </c>
      <c r="C358" s="5" t="s">
        <v>15</v>
      </c>
      <c r="D358" s="2">
        <v>45847</v>
      </c>
      <c r="E358" s="1" t="s">
        <v>567</v>
      </c>
      <c r="F358" s="1">
        <v>33301</v>
      </c>
      <c r="G358" s="1" t="s">
        <v>64</v>
      </c>
      <c r="H358" s="1" t="s">
        <v>18</v>
      </c>
      <c r="J358" s="1" t="s">
        <v>65</v>
      </c>
      <c r="K358" s="1" t="s">
        <v>25</v>
      </c>
      <c r="L358" s="1" t="s">
        <v>1375</v>
      </c>
      <c r="N358" s="1" t="str">
        <f t="shared" si="5"/>
        <v>ANDRÉ CUBA</v>
      </c>
    </row>
    <row r="359" spans="1:14" x14ac:dyDescent="0.3">
      <c r="A359" s="1">
        <v>101308</v>
      </c>
      <c r="B359" s="1" t="s">
        <v>409</v>
      </c>
      <c r="C359" s="5" t="s">
        <v>15</v>
      </c>
      <c r="D359" s="2">
        <v>42857</v>
      </c>
      <c r="E359" s="1" t="s">
        <v>410</v>
      </c>
      <c r="F359" s="1">
        <v>14101</v>
      </c>
      <c r="G359" s="1" t="s">
        <v>277</v>
      </c>
      <c r="H359" s="1" t="s">
        <v>18</v>
      </c>
      <c r="J359" s="1" t="s">
        <v>411</v>
      </c>
      <c r="K359" s="1" t="s">
        <v>132</v>
      </c>
      <c r="N359" s="1" t="str">
        <f t="shared" si="5"/>
        <v xml:space="preserve">GISELE NASCENTE </v>
      </c>
    </row>
    <row r="360" spans="1:14" x14ac:dyDescent="0.3">
      <c r="A360" s="1">
        <v>705112</v>
      </c>
      <c r="B360" s="1" t="s">
        <v>412</v>
      </c>
      <c r="C360" s="5" t="s">
        <v>15</v>
      </c>
      <c r="D360" s="2">
        <v>45678</v>
      </c>
      <c r="E360" s="1" t="s">
        <v>31</v>
      </c>
      <c r="F360" s="1">
        <v>52104</v>
      </c>
      <c r="G360" s="1" t="s">
        <v>17</v>
      </c>
      <c r="H360" s="1" t="s">
        <v>18</v>
      </c>
      <c r="J360" s="1" t="s">
        <v>19</v>
      </c>
      <c r="K360" s="1" t="s">
        <v>1368</v>
      </c>
      <c r="L360" s="1" t="s">
        <v>20</v>
      </c>
      <c r="M360" s="1" t="s">
        <v>1632</v>
      </c>
      <c r="N360" s="1" t="str">
        <f t="shared" si="5"/>
        <v>THIAGO MARCOS</v>
      </c>
    </row>
    <row r="361" spans="1:14" x14ac:dyDescent="0.3">
      <c r="A361" s="1">
        <v>101621</v>
      </c>
      <c r="B361" s="1" t="s">
        <v>413</v>
      </c>
      <c r="C361" s="5" t="s">
        <v>15</v>
      </c>
      <c r="D361" s="2">
        <v>43010</v>
      </c>
      <c r="E361" s="1" t="s">
        <v>414</v>
      </c>
      <c r="F361" s="1">
        <v>34201</v>
      </c>
      <c r="G361" s="1" t="s">
        <v>84</v>
      </c>
      <c r="H361" s="1" t="s">
        <v>18</v>
      </c>
      <c r="J361" s="1" t="s">
        <v>85</v>
      </c>
      <c r="K361" s="1" t="s">
        <v>1371</v>
      </c>
      <c r="L361" s="1" t="s">
        <v>1380</v>
      </c>
      <c r="M361" s="1" t="s">
        <v>1380</v>
      </c>
      <c r="N361" s="1" t="str">
        <f t="shared" si="5"/>
        <v xml:space="preserve">LEONARDO SANTOS </v>
      </c>
    </row>
    <row r="362" spans="1:14" x14ac:dyDescent="0.3">
      <c r="A362" s="1">
        <v>701218</v>
      </c>
      <c r="B362" s="1" t="s">
        <v>415</v>
      </c>
      <c r="C362" s="5" t="s">
        <v>15</v>
      </c>
      <c r="D362" s="2">
        <v>42887</v>
      </c>
      <c r="E362" s="1" t="s">
        <v>127</v>
      </c>
      <c r="F362" s="1">
        <v>22102</v>
      </c>
      <c r="G362" s="1" t="s">
        <v>68</v>
      </c>
      <c r="H362" s="1" t="s">
        <v>18</v>
      </c>
      <c r="J362" s="1" t="s">
        <v>81</v>
      </c>
      <c r="K362" s="1" t="s">
        <v>1371</v>
      </c>
      <c r="L362" s="1" t="s">
        <v>1509</v>
      </c>
      <c r="M362" s="1" t="s">
        <v>1379</v>
      </c>
      <c r="N362" s="1" t="str">
        <f t="shared" si="5"/>
        <v xml:space="preserve">EDSON/MARCELO LIMA </v>
      </c>
    </row>
    <row r="363" spans="1:14" x14ac:dyDescent="0.3">
      <c r="A363" s="1">
        <v>705782</v>
      </c>
      <c r="B363" s="1" t="s">
        <v>1548</v>
      </c>
      <c r="C363" s="5" t="s">
        <v>15</v>
      </c>
      <c r="D363" s="2">
        <v>46063</v>
      </c>
      <c r="E363" s="1" t="s">
        <v>31</v>
      </c>
      <c r="F363" s="1">
        <v>52104</v>
      </c>
      <c r="G363" s="1" t="s">
        <v>17</v>
      </c>
      <c r="H363" s="1" t="s">
        <v>18</v>
      </c>
      <c r="J363" s="1" t="s">
        <v>19</v>
      </c>
      <c r="K363" s="1" t="s">
        <v>1368</v>
      </c>
      <c r="L363" s="1" t="s">
        <v>20</v>
      </c>
      <c r="M363" s="1" t="s">
        <v>1632</v>
      </c>
      <c r="N363" s="1" t="str">
        <f t="shared" si="5"/>
        <v>THIAGO MARCOS</v>
      </c>
    </row>
    <row r="364" spans="1:14" x14ac:dyDescent="0.3">
      <c r="A364" s="1">
        <v>106037</v>
      </c>
      <c r="B364" s="1" t="s">
        <v>417</v>
      </c>
      <c r="C364" s="5" t="s">
        <v>15</v>
      </c>
      <c r="D364" s="2">
        <v>43577</v>
      </c>
      <c r="E364" s="1" t="s">
        <v>371</v>
      </c>
      <c r="F364" s="1">
        <v>39301</v>
      </c>
      <c r="G364" s="1" t="s">
        <v>73</v>
      </c>
      <c r="H364" s="1" t="s">
        <v>18</v>
      </c>
      <c r="J364" s="1" t="s">
        <v>74</v>
      </c>
      <c r="K364" s="1" t="s">
        <v>1371</v>
      </c>
      <c r="L364" s="1" t="s">
        <v>1376</v>
      </c>
      <c r="M364" s="1" t="s">
        <v>75</v>
      </c>
      <c r="N364" s="1" t="str">
        <f t="shared" si="5"/>
        <v>ISAC NONATO</v>
      </c>
    </row>
    <row r="365" spans="1:14" x14ac:dyDescent="0.3">
      <c r="A365" s="1">
        <v>704436</v>
      </c>
      <c r="B365" s="1" t="s">
        <v>419</v>
      </c>
      <c r="C365" s="5" t="s">
        <v>15</v>
      </c>
      <c r="D365" s="2">
        <v>45398</v>
      </c>
      <c r="E365" s="1" t="s">
        <v>1354</v>
      </c>
      <c r="F365" s="1">
        <v>37101</v>
      </c>
      <c r="G365" s="1" t="s">
        <v>214</v>
      </c>
      <c r="H365" s="1" t="s">
        <v>18</v>
      </c>
      <c r="J365" s="1" t="s">
        <v>239</v>
      </c>
      <c r="K365" s="1" t="s">
        <v>216</v>
      </c>
      <c r="N365" s="1" t="str">
        <f t="shared" si="5"/>
        <v>CARSON NEVES</v>
      </c>
    </row>
    <row r="366" spans="1:14" x14ac:dyDescent="0.3">
      <c r="A366" s="1">
        <v>705566</v>
      </c>
      <c r="B366" s="1" t="s">
        <v>1318</v>
      </c>
      <c r="C366" s="5" t="s">
        <v>15</v>
      </c>
      <c r="D366" s="2">
        <v>45874</v>
      </c>
      <c r="E366" s="1" t="s">
        <v>31</v>
      </c>
      <c r="F366" s="1">
        <v>25201</v>
      </c>
      <c r="G366" s="1" t="s">
        <v>89</v>
      </c>
      <c r="H366" s="1" t="s">
        <v>18</v>
      </c>
      <c r="J366" s="1" t="s">
        <v>19</v>
      </c>
      <c r="K366" s="1" t="s">
        <v>1368</v>
      </c>
      <c r="L366" s="1" t="s">
        <v>20</v>
      </c>
      <c r="M366" s="1" t="s">
        <v>1632</v>
      </c>
      <c r="N366" s="1" t="str">
        <f t="shared" si="5"/>
        <v>THIAGO MARCOS</v>
      </c>
    </row>
    <row r="367" spans="1:14" x14ac:dyDescent="0.3">
      <c r="A367" s="1">
        <v>705469</v>
      </c>
      <c r="B367" s="1" t="s">
        <v>1279</v>
      </c>
      <c r="C367" s="5" t="s">
        <v>15</v>
      </c>
      <c r="D367" s="2">
        <v>45812</v>
      </c>
      <c r="E367" s="1" t="s">
        <v>31</v>
      </c>
      <c r="F367" s="1">
        <v>39301</v>
      </c>
      <c r="G367" s="1" t="s">
        <v>73</v>
      </c>
      <c r="H367" s="1" t="s">
        <v>18</v>
      </c>
      <c r="J367" s="1" t="s">
        <v>74</v>
      </c>
      <c r="K367" s="1" t="s">
        <v>1371</v>
      </c>
      <c r="L367" s="1" t="s">
        <v>1376</v>
      </c>
      <c r="M367" s="1" t="s">
        <v>75</v>
      </c>
      <c r="N367" s="1" t="str">
        <f t="shared" si="5"/>
        <v>ISAC NONATO</v>
      </c>
    </row>
    <row r="368" spans="1:14" x14ac:dyDescent="0.3">
      <c r="A368" s="1">
        <v>100888</v>
      </c>
      <c r="B368" s="1" t="s">
        <v>420</v>
      </c>
      <c r="C368" s="5" t="s">
        <v>15</v>
      </c>
      <c r="D368" s="2">
        <v>42458</v>
      </c>
      <c r="E368" s="1" t="s">
        <v>127</v>
      </c>
      <c r="F368" s="1">
        <v>22102</v>
      </c>
      <c r="G368" s="1" t="s">
        <v>68</v>
      </c>
      <c r="H368" s="1" t="s">
        <v>18</v>
      </c>
      <c r="J368" s="1" t="s">
        <v>81</v>
      </c>
      <c r="K368" s="1" t="s">
        <v>1371</v>
      </c>
      <c r="L368" s="1" t="s">
        <v>1509</v>
      </c>
      <c r="M368" s="1" t="s">
        <v>1379</v>
      </c>
      <c r="N368" s="1" t="str">
        <f t="shared" si="5"/>
        <v xml:space="preserve">EDSON/MARCELO LIMA </v>
      </c>
    </row>
    <row r="369" spans="1:14" x14ac:dyDescent="0.3">
      <c r="A369" s="1">
        <v>701496</v>
      </c>
      <c r="B369" s="1" t="s">
        <v>421</v>
      </c>
      <c r="C369" s="5" t="s">
        <v>15</v>
      </c>
      <c r="D369" s="2">
        <v>43881</v>
      </c>
      <c r="E369" s="1" t="s">
        <v>199</v>
      </c>
      <c r="F369" s="1">
        <v>22102</v>
      </c>
      <c r="G369" s="1" t="s">
        <v>68</v>
      </c>
      <c r="H369" s="1" t="s">
        <v>18</v>
      </c>
      <c r="J369" s="1" t="s">
        <v>94</v>
      </c>
      <c r="K369" s="1" t="s">
        <v>1371</v>
      </c>
      <c r="L369" s="1" t="s">
        <v>1378</v>
      </c>
      <c r="M369" s="1" t="s">
        <v>95</v>
      </c>
      <c r="N369" s="1" t="str">
        <f t="shared" si="5"/>
        <v>LUAN ABADIA</v>
      </c>
    </row>
    <row r="370" spans="1:14" x14ac:dyDescent="0.3">
      <c r="A370" s="1">
        <v>705746</v>
      </c>
      <c r="B370" s="1" t="s">
        <v>947</v>
      </c>
      <c r="C370" s="5" t="s">
        <v>15</v>
      </c>
      <c r="D370" s="2">
        <v>45993</v>
      </c>
      <c r="E370" s="1" t="s">
        <v>31</v>
      </c>
      <c r="F370" s="1">
        <v>22102</v>
      </c>
      <c r="G370" s="1" t="s">
        <v>68</v>
      </c>
      <c r="H370" s="1" t="s">
        <v>18</v>
      </c>
      <c r="J370" s="1" t="s">
        <v>81</v>
      </c>
      <c r="K370" s="1" t="s">
        <v>1371</v>
      </c>
      <c r="L370" s="1" t="s">
        <v>1509</v>
      </c>
      <c r="M370" s="1" t="s">
        <v>1379</v>
      </c>
      <c r="N370" s="1" t="str">
        <f t="shared" si="5"/>
        <v xml:space="preserve">EDSON/MARCELO LIMA </v>
      </c>
    </row>
    <row r="371" spans="1:14" x14ac:dyDescent="0.3">
      <c r="A371" s="1">
        <v>705698</v>
      </c>
      <c r="B371" s="1" t="s">
        <v>424</v>
      </c>
      <c r="C371" s="5" t="s">
        <v>15</v>
      </c>
      <c r="D371" s="2">
        <v>45971</v>
      </c>
      <c r="E371" s="1" t="s">
        <v>91</v>
      </c>
      <c r="F371" s="1">
        <v>34201</v>
      </c>
      <c r="G371" s="1" t="s">
        <v>84</v>
      </c>
      <c r="H371" s="1" t="s">
        <v>18</v>
      </c>
      <c r="J371" s="1" t="s">
        <v>85</v>
      </c>
      <c r="K371" s="1" t="s">
        <v>1371</v>
      </c>
      <c r="L371" s="1" t="s">
        <v>1380</v>
      </c>
      <c r="M371" s="1" t="s">
        <v>1380</v>
      </c>
      <c r="N371" s="1" t="str">
        <f t="shared" si="5"/>
        <v xml:space="preserve">LEONARDO SANTOS </v>
      </c>
    </row>
    <row r="372" spans="1:14" x14ac:dyDescent="0.3">
      <c r="A372" s="1">
        <v>705600</v>
      </c>
      <c r="B372" s="1" t="s">
        <v>1319</v>
      </c>
      <c r="C372" s="5" t="s">
        <v>15</v>
      </c>
      <c r="D372" s="2">
        <v>45888</v>
      </c>
      <c r="E372" s="1" t="s">
        <v>31</v>
      </c>
      <c r="F372" s="1">
        <v>39301</v>
      </c>
      <c r="G372" s="1" t="s">
        <v>73</v>
      </c>
      <c r="H372" s="1" t="s">
        <v>18</v>
      </c>
      <c r="J372" s="1" t="s">
        <v>74</v>
      </c>
      <c r="K372" s="1" t="s">
        <v>1371</v>
      </c>
      <c r="L372" s="1" t="s">
        <v>1376</v>
      </c>
      <c r="M372" s="1" t="s">
        <v>75</v>
      </c>
      <c r="N372" s="1" t="str">
        <f t="shared" si="5"/>
        <v>ISAC NONATO</v>
      </c>
    </row>
    <row r="373" spans="1:14" x14ac:dyDescent="0.3">
      <c r="A373" s="1">
        <v>705763</v>
      </c>
      <c r="B373" s="1" t="s">
        <v>1486</v>
      </c>
      <c r="C373" s="5" t="s">
        <v>92</v>
      </c>
      <c r="D373" s="2">
        <v>45993</v>
      </c>
      <c r="E373" s="1" t="s">
        <v>31</v>
      </c>
      <c r="F373" s="1">
        <v>52104</v>
      </c>
      <c r="G373" s="1" t="s">
        <v>17</v>
      </c>
      <c r="H373" s="1" t="s">
        <v>18</v>
      </c>
      <c r="I373" s="2">
        <v>46082</v>
      </c>
      <c r="J373" s="1" t="s">
        <v>19</v>
      </c>
      <c r="K373" s="1" t="s">
        <v>1368</v>
      </c>
      <c r="L373" s="1" t="s">
        <v>20</v>
      </c>
      <c r="M373" s="1" t="s">
        <v>1632</v>
      </c>
      <c r="N373" s="1" t="str">
        <f t="shared" si="5"/>
        <v>THIAGO MARCOS</v>
      </c>
    </row>
    <row r="374" spans="1:14" x14ac:dyDescent="0.3">
      <c r="A374" s="1">
        <v>704358</v>
      </c>
      <c r="B374" s="1" t="s">
        <v>425</v>
      </c>
      <c r="C374" s="5" t="s">
        <v>15</v>
      </c>
      <c r="D374" s="2">
        <v>45384</v>
      </c>
      <c r="E374" s="1" t="s">
        <v>1215</v>
      </c>
      <c r="F374" s="1">
        <v>33101</v>
      </c>
      <c r="G374" s="1" t="s">
        <v>186</v>
      </c>
      <c r="H374" s="1" t="s">
        <v>18</v>
      </c>
      <c r="J374" s="1" t="s">
        <v>44</v>
      </c>
      <c r="K374" s="1" t="s">
        <v>25</v>
      </c>
      <c r="L374" s="1" t="s">
        <v>1385</v>
      </c>
      <c r="N374" s="1" t="str">
        <f t="shared" si="5"/>
        <v>TALLES RYAN</v>
      </c>
    </row>
    <row r="375" spans="1:14" x14ac:dyDescent="0.3">
      <c r="A375" s="1">
        <v>705760</v>
      </c>
      <c r="B375" s="1" t="s">
        <v>1487</v>
      </c>
      <c r="C375" s="5" t="s">
        <v>15</v>
      </c>
      <c r="D375" s="2">
        <v>45993</v>
      </c>
      <c r="E375" s="1" t="s">
        <v>31</v>
      </c>
      <c r="F375" s="1">
        <v>52104</v>
      </c>
      <c r="G375" s="1" t="s">
        <v>17</v>
      </c>
      <c r="H375" s="1" t="s">
        <v>18</v>
      </c>
      <c r="J375" s="1" t="s">
        <v>19</v>
      </c>
      <c r="K375" s="1" t="s">
        <v>1368</v>
      </c>
      <c r="L375" s="1" t="s">
        <v>20</v>
      </c>
      <c r="M375" s="1" t="s">
        <v>1632</v>
      </c>
      <c r="N375" s="1" t="str">
        <f t="shared" si="5"/>
        <v>THIAGO MARCOS</v>
      </c>
    </row>
    <row r="376" spans="1:14" x14ac:dyDescent="0.3">
      <c r="A376" s="1">
        <v>702915</v>
      </c>
      <c r="B376" s="1" t="s">
        <v>426</v>
      </c>
      <c r="C376" s="5" t="s">
        <v>15</v>
      </c>
      <c r="D376" s="2">
        <v>44656</v>
      </c>
      <c r="E376" s="1" t="s">
        <v>427</v>
      </c>
      <c r="F376" s="1">
        <v>39302</v>
      </c>
      <c r="G376" s="1" t="s">
        <v>102</v>
      </c>
      <c r="H376" s="1" t="s">
        <v>18</v>
      </c>
      <c r="J376" s="1" t="s">
        <v>57</v>
      </c>
      <c r="K376" s="1" t="s">
        <v>1371</v>
      </c>
      <c r="L376" s="1" t="s">
        <v>1376</v>
      </c>
      <c r="M376" s="1" t="s">
        <v>1635</v>
      </c>
      <c r="N376" s="1" t="str">
        <f t="shared" si="5"/>
        <v>WARLEY RIBEIRO / EUDES FERNANDES</v>
      </c>
    </row>
    <row r="377" spans="1:14" x14ac:dyDescent="0.3">
      <c r="A377" s="1">
        <v>705194</v>
      </c>
      <c r="B377" s="1" t="s">
        <v>1162</v>
      </c>
      <c r="C377" s="5" t="s">
        <v>15</v>
      </c>
      <c r="D377" s="2">
        <v>45727</v>
      </c>
      <c r="E377" s="1" t="s">
        <v>166</v>
      </c>
      <c r="F377" s="1">
        <v>22102</v>
      </c>
      <c r="G377" s="1" t="s">
        <v>68</v>
      </c>
      <c r="H377" s="1" t="s">
        <v>18</v>
      </c>
      <c r="J377" s="1" t="s">
        <v>94</v>
      </c>
      <c r="K377" s="1" t="s">
        <v>1371</v>
      </c>
      <c r="L377" s="1" t="s">
        <v>1378</v>
      </c>
      <c r="M377" s="1" t="s">
        <v>95</v>
      </c>
      <c r="N377" s="1" t="str">
        <f t="shared" si="5"/>
        <v>LUAN ABADIA</v>
      </c>
    </row>
    <row r="378" spans="1:14" x14ac:dyDescent="0.3">
      <c r="A378" s="1">
        <v>705790</v>
      </c>
      <c r="B378" s="1" t="s">
        <v>1523</v>
      </c>
      <c r="C378" s="5" t="s">
        <v>15</v>
      </c>
      <c r="D378" s="2">
        <v>46029</v>
      </c>
      <c r="E378" s="1" t="s">
        <v>31</v>
      </c>
      <c r="F378" s="1">
        <v>52104</v>
      </c>
      <c r="G378" s="1" t="s">
        <v>17</v>
      </c>
      <c r="H378" s="1" t="s">
        <v>18</v>
      </c>
      <c r="J378" s="1" t="s">
        <v>19</v>
      </c>
      <c r="K378" s="1" t="s">
        <v>1368</v>
      </c>
      <c r="L378" s="1" t="s">
        <v>20</v>
      </c>
      <c r="M378" s="1" t="s">
        <v>1632</v>
      </c>
      <c r="N378" s="1" t="str">
        <f t="shared" si="5"/>
        <v>THIAGO MARCOS</v>
      </c>
    </row>
    <row r="379" spans="1:14" x14ac:dyDescent="0.3">
      <c r="A379" s="1">
        <v>705893</v>
      </c>
      <c r="B379" s="1" t="s">
        <v>1549</v>
      </c>
      <c r="C379" s="5" t="s">
        <v>15</v>
      </c>
      <c r="D379" s="2">
        <v>46063</v>
      </c>
      <c r="E379" s="1" t="s">
        <v>31</v>
      </c>
      <c r="F379" s="1">
        <v>34201</v>
      </c>
      <c r="G379" s="1" t="s">
        <v>84</v>
      </c>
      <c r="H379" s="1" t="s">
        <v>18</v>
      </c>
      <c r="J379" s="1" t="s">
        <v>85</v>
      </c>
      <c r="K379" s="1" t="s">
        <v>1371</v>
      </c>
      <c r="L379" s="1" t="s">
        <v>1380</v>
      </c>
      <c r="M379" s="1" t="s">
        <v>1380</v>
      </c>
      <c r="N379" s="1" t="str">
        <f t="shared" si="5"/>
        <v xml:space="preserve">LEONARDO SANTOS </v>
      </c>
    </row>
    <row r="380" spans="1:14" x14ac:dyDescent="0.3">
      <c r="A380" s="1">
        <v>703615</v>
      </c>
      <c r="B380" s="1" t="s">
        <v>429</v>
      </c>
      <c r="C380" s="5" t="s">
        <v>15</v>
      </c>
      <c r="D380" s="2">
        <v>44991</v>
      </c>
      <c r="E380" s="1" t="s">
        <v>31</v>
      </c>
      <c r="F380" s="1">
        <v>22102</v>
      </c>
      <c r="G380" s="1" t="s">
        <v>68</v>
      </c>
      <c r="H380" s="1" t="s">
        <v>18</v>
      </c>
      <c r="J380" s="1" t="s">
        <v>167</v>
      </c>
      <c r="K380" s="1" t="s">
        <v>1371</v>
      </c>
      <c r="L380" s="1" t="s">
        <v>1509</v>
      </c>
      <c r="M380" s="1" t="s">
        <v>1636</v>
      </c>
      <c r="N380" s="1" t="str">
        <f t="shared" si="5"/>
        <v>FABIANO DIAS</v>
      </c>
    </row>
    <row r="381" spans="1:14" x14ac:dyDescent="0.3">
      <c r="A381" s="1">
        <v>701407</v>
      </c>
      <c r="B381" s="1" t="s">
        <v>430</v>
      </c>
      <c r="C381" s="5" t="s">
        <v>15</v>
      </c>
      <c r="D381" s="2">
        <v>43773</v>
      </c>
      <c r="E381" s="1" t="s">
        <v>105</v>
      </c>
      <c r="F381" s="1">
        <v>22102</v>
      </c>
      <c r="G381" s="1" t="s">
        <v>68</v>
      </c>
      <c r="H381" s="1" t="s">
        <v>18</v>
      </c>
      <c r="J381" s="1" t="s">
        <v>142</v>
      </c>
      <c r="K381" s="1" t="s">
        <v>1371</v>
      </c>
      <c r="L381" s="1" t="s">
        <v>1509</v>
      </c>
      <c r="M381" s="1" t="s">
        <v>1633</v>
      </c>
      <c r="N381" s="1" t="str">
        <f t="shared" si="5"/>
        <v>CRISTIANO BARBOSA</v>
      </c>
    </row>
    <row r="382" spans="1:14" x14ac:dyDescent="0.3">
      <c r="A382" s="1">
        <v>703541</v>
      </c>
      <c r="B382" s="1" t="s">
        <v>431</v>
      </c>
      <c r="C382" s="5" t="s">
        <v>15</v>
      </c>
      <c r="D382" s="2">
        <v>44907</v>
      </c>
      <c r="E382" s="1" t="s">
        <v>138</v>
      </c>
      <c r="F382" s="1">
        <v>22102</v>
      </c>
      <c r="G382" s="1" t="s">
        <v>68</v>
      </c>
      <c r="H382" s="1" t="s">
        <v>18</v>
      </c>
      <c r="J382" s="1" t="s">
        <v>94</v>
      </c>
      <c r="K382" s="1" t="s">
        <v>1371</v>
      </c>
      <c r="L382" s="1" t="s">
        <v>1378</v>
      </c>
      <c r="M382" s="1" t="s">
        <v>95</v>
      </c>
      <c r="N382" s="1" t="str">
        <f t="shared" si="5"/>
        <v>LUAN ABADIA</v>
      </c>
    </row>
    <row r="383" spans="1:14" x14ac:dyDescent="0.3">
      <c r="A383" s="1">
        <v>705058</v>
      </c>
      <c r="B383" s="1" t="s">
        <v>1163</v>
      </c>
      <c r="C383" s="5" t="s">
        <v>15</v>
      </c>
      <c r="D383" s="2">
        <v>45643</v>
      </c>
      <c r="E383" s="1" t="s">
        <v>93</v>
      </c>
      <c r="F383" s="1">
        <v>22102</v>
      </c>
      <c r="G383" s="1" t="s">
        <v>68</v>
      </c>
      <c r="H383" s="1" t="s">
        <v>18</v>
      </c>
      <c r="J383" s="1" t="s">
        <v>94</v>
      </c>
      <c r="K383" s="1" t="s">
        <v>1371</v>
      </c>
      <c r="L383" s="1" t="s">
        <v>1378</v>
      </c>
      <c r="M383" s="1" t="s">
        <v>95</v>
      </c>
      <c r="N383" s="1" t="str">
        <f t="shared" si="5"/>
        <v>LUAN ABADIA</v>
      </c>
    </row>
    <row r="384" spans="1:14" x14ac:dyDescent="0.3">
      <c r="A384" s="1">
        <v>703316</v>
      </c>
      <c r="B384" s="1" t="s">
        <v>432</v>
      </c>
      <c r="C384" s="5" t="s">
        <v>15</v>
      </c>
      <c r="D384" s="2">
        <v>44824</v>
      </c>
      <c r="E384" s="1" t="s">
        <v>138</v>
      </c>
      <c r="F384" s="1">
        <v>22102</v>
      </c>
      <c r="G384" s="1" t="s">
        <v>68</v>
      </c>
      <c r="H384" s="1" t="s">
        <v>18</v>
      </c>
      <c r="J384" s="1" t="s">
        <v>81</v>
      </c>
      <c r="K384" s="1" t="s">
        <v>1371</v>
      </c>
      <c r="L384" s="1" t="s">
        <v>1509</v>
      </c>
      <c r="M384" s="1" t="s">
        <v>1379</v>
      </c>
      <c r="N384" s="1" t="str">
        <f t="shared" si="5"/>
        <v xml:space="preserve">EDSON/MARCELO LIMA </v>
      </c>
    </row>
    <row r="385" spans="1:14" x14ac:dyDescent="0.3">
      <c r="A385" s="1">
        <v>705742</v>
      </c>
      <c r="B385" s="1" t="s">
        <v>1488</v>
      </c>
      <c r="C385" s="5" t="s">
        <v>15</v>
      </c>
      <c r="D385" s="2">
        <v>45993</v>
      </c>
      <c r="E385" s="1" t="s">
        <v>16</v>
      </c>
      <c r="F385" s="1">
        <v>22102</v>
      </c>
      <c r="G385" s="1" t="s">
        <v>68</v>
      </c>
      <c r="H385" s="1" t="s">
        <v>18</v>
      </c>
      <c r="J385" s="1" t="s">
        <v>94</v>
      </c>
      <c r="K385" s="1" t="s">
        <v>1371</v>
      </c>
      <c r="L385" s="1" t="s">
        <v>1378</v>
      </c>
      <c r="M385" s="1" t="s">
        <v>95</v>
      </c>
      <c r="N385" s="1" t="str">
        <f t="shared" si="5"/>
        <v>LUAN ABADIA</v>
      </c>
    </row>
    <row r="386" spans="1:14" x14ac:dyDescent="0.3">
      <c r="A386" s="1">
        <v>705926</v>
      </c>
      <c r="B386" s="1" t="s">
        <v>1612</v>
      </c>
      <c r="C386" s="5" t="s">
        <v>15</v>
      </c>
      <c r="D386" s="2">
        <v>46091</v>
      </c>
      <c r="E386" s="1" t="s">
        <v>152</v>
      </c>
      <c r="F386" s="1">
        <v>39201</v>
      </c>
      <c r="G386" s="1" t="s">
        <v>153</v>
      </c>
      <c r="H386" s="1" t="s">
        <v>18</v>
      </c>
      <c r="J386" s="1" t="s">
        <v>154</v>
      </c>
      <c r="K386" s="1" t="s">
        <v>50</v>
      </c>
      <c r="L386" s="1" t="s">
        <v>1382</v>
      </c>
      <c r="M386" s="1" t="s">
        <v>1382</v>
      </c>
      <c r="N386" s="1" t="str">
        <f t="shared" si="5"/>
        <v>ADENILTON RODRIGUES</v>
      </c>
    </row>
    <row r="387" spans="1:14" x14ac:dyDescent="0.3">
      <c r="A387" s="1">
        <v>702544</v>
      </c>
      <c r="B387" s="1" t="s">
        <v>434</v>
      </c>
      <c r="C387" s="5" t="s">
        <v>15</v>
      </c>
      <c r="D387" s="2">
        <v>44452</v>
      </c>
      <c r="E387" s="1" t="s">
        <v>109</v>
      </c>
      <c r="F387" s="1">
        <v>32101</v>
      </c>
      <c r="G387" s="1" t="s">
        <v>23</v>
      </c>
      <c r="H387" s="1" t="s">
        <v>18</v>
      </c>
      <c r="J387" s="1" t="s">
        <v>24</v>
      </c>
      <c r="K387" s="1" t="s">
        <v>25</v>
      </c>
      <c r="L387" s="1" t="s">
        <v>1369</v>
      </c>
      <c r="M387" s="1" t="s">
        <v>1370</v>
      </c>
      <c r="N387" s="1" t="str">
        <f t="shared" ref="N387:N450" si="6">IF(M387&lt;&gt;"", M387, IF(L387&lt;&gt;"", L387, K387))</f>
        <v>JUNIO COSTA</v>
      </c>
    </row>
    <row r="388" spans="1:14" x14ac:dyDescent="0.3">
      <c r="A388" s="1">
        <v>701017</v>
      </c>
      <c r="B388" s="1" t="s">
        <v>435</v>
      </c>
      <c r="C388" s="5" t="s">
        <v>15</v>
      </c>
      <c r="D388" s="2">
        <v>42500</v>
      </c>
      <c r="E388" s="1" t="s">
        <v>105</v>
      </c>
      <c r="F388" s="1">
        <v>22102</v>
      </c>
      <c r="G388" s="1" t="s">
        <v>68</v>
      </c>
      <c r="H388" s="1" t="s">
        <v>18</v>
      </c>
      <c r="J388" s="1" t="s">
        <v>81</v>
      </c>
      <c r="K388" s="1" t="s">
        <v>1371</v>
      </c>
      <c r="L388" s="1" t="s">
        <v>1509</v>
      </c>
      <c r="M388" s="1" t="s">
        <v>1379</v>
      </c>
      <c r="N388" s="1" t="str">
        <f t="shared" si="6"/>
        <v xml:space="preserve">EDSON/MARCELO LIMA </v>
      </c>
    </row>
    <row r="389" spans="1:14" x14ac:dyDescent="0.3">
      <c r="A389" s="1">
        <v>703946</v>
      </c>
      <c r="B389" s="1" t="s">
        <v>436</v>
      </c>
      <c r="C389" s="5" t="s">
        <v>15</v>
      </c>
      <c r="D389" s="2">
        <v>45089</v>
      </c>
      <c r="E389" s="1" t="s">
        <v>16</v>
      </c>
      <c r="F389" s="1">
        <v>37101</v>
      </c>
      <c r="G389" s="1" t="s">
        <v>214</v>
      </c>
      <c r="H389" s="1" t="s">
        <v>18</v>
      </c>
      <c r="J389" s="1" t="s">
        <v>239</v>
      </c>
      <c r="K389" s="1" t="s">
        <v>216</v>
      </c>
      <c r="N389" s="1" t="str">
        <f t="shared" si="6"/>
        <v>CARSON NEVES</v>
      </c>
    </row>
    <row r="390" spans="1:14" x14ac:dyDescent="0.3">
      <c r="A390" s="1">
        <v>705622</v>
      </c>
      <c r="B390" s="1" t="s">
        <v>1355</v>
      </c>
      <c r="C390" s="5" t="s">
        <v>15</v>
      </c>
      <c r="D390" s="2">
        <v>45916</v>
      </c>
      <c r="E390" s="1" t="s">
        <v>1356</v>
      </c>
      <c r="F390" s="1">
        <v>39308</v>
      </c>
      <c r="G390" s="1" t="s">
        <v>256</v>
      </c>
      <c r="H390" s="1" t="s">
        <v>18</v>
      </c>
      <c r="J390" s="1" t="s">
        <v>257</v>
      </c>
      <c r="K390" s="1" t="s">
        <v>666</v>
      </c>
      <c r="L390" s="1" t="s">
        <v>258</v>
      </c>
      <c r="N390" s="1" t="str">
        <f t="shared" si="6"/>
        <v>MATHEUS ALMEIDA</v>
      </c>
    </row>
    <row r="391" spans="1:14" x14ac:dyDescent="0.3">
      <c r="A391" s="1">
        <v>704845</v>
      </c>
      <c r="B391" s="1" t="s">
        <v>437</v>
      </c>
      <c r="C391" s="5" t="s">
        <v>15</v>
      </c>
      <c r="D391" s="2">
        <v>45573</v>
      </c>
      <c r="E391" s="1" t="s">
        <v>16</v>
      </c>
      <c r="F391" s="1">
        <v>22102</v>
      </c>
      <c r="G391" s="1" t="s">
        <v>68</v>
      </c>
      <c r="H391" s="1" t="s">
        <v>18</v>
      </c>
      <c r="J391" s="1" t="s">
        <v>81</v>
      </c>
      <c r="K391" s="1" t="s">
        <v>1371</v>
      </c>
      <c r="L391" s="1" t="s">
        <v>1509</v>
      </c>
      <c r="M391" s="1" t="s">
        <v>1379</v>
      </c>
      <c r="N391" s="1" t="str">
        <f t="shared" si="6"/>
        <v xml:space="preserve">EDSON/MARCELO LIMA </v>
      </c>
    </row>
    <row r="392" spans="1:14" x14ac:dyDescent="0.3">
      <c r="A392" s="1">
        <v>1718</v>
      </c>
      <c r="B392" s="1" t="s">
        <v>438</v>
      </c>
      <c r="C392" s="5" t="s">
        <v>15</v>
      </c>
      <c r="D392" s="2">
        <v>40555</v>
      </c>
      <c r="E392" s="1" t="s">
        <v>166</v>
      </c>
      <c r="F392" s="1">
        <v>51219</v>
      </c>
      <c r="G392" s="1" t="s">
        <v>61</v>
      </c>
      <c r="H392" s="1" t="s">
        <v>18</v>
      </c>
      <c r="J392" s="1" t="s">
        <v>19</v>
      </c>
      <c r="K392" s="1" t="s">
        <v>1368</v>
      </c>
      <c r="L392" s="1" t="s">
        <v>20</v>
      </c>
      <c r="M392" s="1" t="s">
        <v>1632</v>
      </c>
      <c r="N392" s="1" t="str">
        <f t="shared" si="6"/>
        <v>THIAGO MARCOS</v>
      </c>
    </row>
    <row r="393" spans="1:14" x14ac:dyDescent="0.3">
      <c r="A393" s="1">
        <v>700877</v>
      </c>
      <c r="B393" s="1" t="s">
        <v>439</v>
      </c>
      <c r="C393" s="5" t="s">
        <v>15</v>
      </c>
      <c r="D393" s="2">
        <v>43529</v>
      </c>
      <c r="E393" s="1" t="s">
        <v>146</v>
      </c>
      <c r="F393" s="1">
        <v>39304</v>
      </c>
      <c r="G393" s="1" t="s">
        <v>56</v>
      </c>
      <c r="H393" s="1" t="s">
        <v>18</v>
      </c>
      <c r="J393" s="1" t="s">
        <v>57</v>
      </c>
      <c r="K393" s="1" t="s">
        <v>1371</v>
      </c>
      <c r="L393" s="1" t="s">
        <v>1376</v>
      </c>
      <c r="M393" s="1" t="s">
        <v>1635</v>
      </c>
      <c r="N393" s="1" t="str">
        <f t="shared" si="6"/>
        <v>WARLEY RIBEIRO / EUDES FERNANDES</v>
      </c>
    </row>
    <row r="394" spans="1:14" x14ac:dyDescent="0.3">
      <c r="A394" s="1">
        <v>704237</v>
      </c>
      <c r="B394" s="1" t="s">
        <v>440</v>
      </c>
      <c r="C394" s="5" t="s">
        <v>15</v>
      </c>
      <c r="D394" s="2">
        <v>45328</v>
      </c>
      <c r="E394" s="1" t="s">
        <v>80</v>
      </c>
      <c r="F394" s="1">
        <v>22102</v>
      </c>
      <c r="G394" s="1" t="s">
        <v>68</v>
      </c>
      <c r="H394" s="1" t="s">
        <v>18</v>
      </c>
      <c r="J394" s="1" t="s">
        <v>81</v>
      </c>
      <c r="K394" s="1" t="s">
        <v>1371</v>
      </c>
      <c r="L394" s="1" t="s">
        <v>1509</v>
      </c>
      <c r="M394" s="1" t="s">
        <v>1379</v>
      </c>
      <c r="N394" s="1" t="str">
        <f t="shared" si="6"/>
        <v xml:space="preserve">EDSON/MARCELO LIMA </v>
      </c>
    </row>
    <row r="395" spans="1:14" x14ac:dyDescent="0.3">
      <c r="A395" s="1">
        <v>705153</v>
      </c>
      <c r="B395" s="1" t="s">
        <v>1150</v>
      </c>
      <c r="C395" s="5" t="s">
        <v>15</v>
      </c>
      <c r="D395" s="2">
        <v>45705</v>
      </c>
      <c r="E395" s="1" t="s">
        <v>91</v>
      </c>
      <c r="F395" s="1">
        <v>34201</v>
      </c>
      <c r="G395" s="1" t="s">
        <v>84</v>
      </c>
      <c r="H395" s="1" t="s">
        <v>18</v>
      </c>
      <c r="J395" s="1" t="s">
        <v>85</v>
      </c>
      <c r="K395" s="1" t="s">
        <v>1371</v>
      </c>
      <c r="L395" s="1" t="s">
        <v>1380</v>
      </c>
      <c r="M395" s="1" t="s">
        <v>1380</v>
      </c>
      <c r="N395" s="1" t="str">
        <f t="shared" si="6"/>
        <v xml:space="preserve">LEONARDO SANTOS </v>
      </c>
    </row>
    <row r="396" spans="1:14" x14ac:dyDescent="0.3">
      <c r="A396" s="1">
        <v>705645</v>
      </c>
      <c r="B396" s="1" t="s">
        <v>1409</v>
      </c>
      <c r="C396" s="5" t="s">
        <v>15</v>
      </c>
      <c r="D396" s="2">
        <v>45937</v>
      </c>
      <c r="E396" s="1" t="s">
        <v>31</v>
      </c>
      <c r="F396" s="1">
        <v>52104</v>
      </c>
      <c r="G396" s="1" t="s">
        <v>17</v>
      </c>
      <c r="H396" s="1" t="s">
        <v>18</v>
      </c>
      <c r="J396" s="1" t="s">
        <v>19</v>
      </c>
      <c r="K396" s="1" t="s">
        <v>1368</v>
      </c>
      <c r="L396" s="1" t="s">
        <v>20</v>
      </c>
      <c r="M396" s="1" t="s">
        <v>1632</v>
      </c>
      <c r="N396" s="1" t="str">
        <f t="shared" si="6"/>
        <v>THIAGO MARCOS</v>
      </c>
    </row>
    <row r="397" spans="1:14" x14ac:dyDescent="0.3">
      <c r="A397" s="1">
        <v>702658</v>
      </c>
      <c r="B397" s="1" t="s">
        <v>441</v>
      </c>
      <c r="C397" s="5" t="s">
        <v>15</v>
      </c>
      <c r="D397" s="2">
        <v>44509</v>
      </c>
      <c r="E397" s="1" t="s">
        <v>188</v>
      </c>
      <c r="F397" s="1">
        <v>22102</v>
      </c>
      <c r="G397" s="1" t="s">
        <v>68</v>
      </c>
      <c r="H397" s="1" t="s">
        <v>18</v>
      </c>
      <c r="J397" s="1" t="s">
        <v>81</v>
      </c>
      <c r="K397" s="1" t="s">
        <v>1371</v>
      </c>
      <c r="L397" s="1" t="s">
        <v>1509</v>
      </c>
      <c r="M397" s="1" t="s">
        <v>1379</v>
      </c>
      <c r="N397" s="1" t="str">
        <f t="shared" si="6"/>
        <v xml:space="preserve">EDSON/MARCELO LIMA </v>
      </c>
    </row>
    <row r="398" spans="1:14" x14ac:dyDescent="0.3">
      <c r="A398" s="1">
        <v>702838</v>
      </c>
      <c r="B398" s="1" t="s">
        <v>442</v>
      </c>
      <c r="C398" s="5" t="s">
        <v>15</v>
      </c>
      <c r="D398" s="2">
        <v>44628</v>
      </c>
      <c r="E398" s="1" t="s">
        <v>31</v>
      </c>
      <c r="F398" s="1">
        <v>22102</v>
      </c>
      <c r="G398" s="1" t="s">
        <v>68</v>
      </c>
      <c r="H398" s="1" t="s">
        <v>18</v>
      </c>
      <c r="J398" s="1" t="s">
        <v>167</v>
      </c>
      <c r="K398" s="1" t="s">
        <v>1371</v>
      </c>
      <c r="L398" s="1" t="s">
        <v>1509</v>
      </c>
      <c r="M398" s="1" t="s">
        <v>1636</v>
      </c>
      <c r="N398" s="1" t="str">
        <f t="shared" si="6"/>
        <v>FABIANO DIAS</v>
      </c>
    </row>
    <row r="399" spans="1:14" x14ac:dyDescent="0.3">
      <c r="A399" s="1">
        <v>702839</v>
      </c>
      <c r="B399" s="1" t="s">
        <v>443</v>
      </c>
      <c r="C399" s="5" t="s">
        <v>15</v>
      </c>
      <c r="D399" s="2">
        <v>44628</v>
      </c>
      <c r="E399" s="1" t="s">
        <v>31</v>
      </c>
      <c r="F399" s="1">
        <v>22102</v>
      </c>
      <c r="G399" s="1" t="s">
        <v>68</v>
      </c>
      <c r="H399" s="1" t="s">
        <v>18</v>
      </c>
      <c r="J399" s="1" t="s">
        <v>167</v>
      </c>
      <c r="K399" s="1" t="s">
        <v>1371</v>
      </c>
      <c r="L399" s="1" t="s">
        <v>1509</v>
      </c>
      <c r="M399" s="1" t="s">
        <v>1636</v>
      </c>
      <c r="N399" s="1" t="str">
        <f t="shared" si="6"/>
        <v>FABIANO DIAS</v>
      </c>
    </row>
    <row r="400" spans="1:14" x14ac:dyDescent="0.3">
      <c r="A400" s="1">
        <v>705130</v>
      </c>
      <c r="B400" s="1" t="s">
        <v>1144</v>
      </c>
      <c r="C400" s="5" t="s">
        <v>15</v>
      </c>
      <c r="D400" s="2">
        <v>45698</v>
      </c>
      <c r="E400" s="1" t="s">
        <v>31</v>
      </c>
      <c r="F400" s="1">
        <v>22102</v>
      </c>
      <c r="G400" s="1" t="s">
        <v>68</v>
      </c>
      <c r="H400" s="1" t="s">
        <v>18</v>
      </c>
      <c r="J400" s="1" t="s">
        <v>94</v>
      </c>
      <c r="K400" s="1" t="s">
        <v>1371</v>
      </c>
      <c r="L400" s="1" t="s">
        <v>1378</v>
      </c>
      <c r="M400" s="1" t="s">
        <v>95</v>
      </c>
      <c r="N400" s="1" t="str">
        <f t="shared" si="6"/>
        <v>LUAN ABADIA</v>
      </c>
    </row>
    <row r="401" spans="1:14" x14ac:dyDescent="0.3">
      <c r="A401" s="1">
        <v>705845</v>
      </c>
      <c r="B401" s="1" t="s">
        <v>1550</v>
      </c>
      <c r="C401" s="5" t="s">
        <v>15</v>
      </c>
      <c r="D401" s="2">
        <v>46063</v>
      </c>
      <c r="E401" s="1" t="s">
        <v>31</v>
      </c>
      <c r="F401" s="1">
        <v>52104</v>
      </c>
      <c r="G401" s="1" t="s">
        <v>17</v>
      </c>
      <c r="H401" s="1" t="s">
        <v>18</v>
      </c>
      <c r="J401" s="1" t="s">
        <v>19</v>
      </c>
      <c r="K401" s="1" t="s">
        <v>1368</v>
      </c>
      <c r="L401" s="1" t="s">
        <v>20</v>
      </c>
      <c r="M401" s="1" t="s">
        <v>1632</v>
      </c>
      <c r="N401" s="1" t="str">
        <f t="shared" si="6"/>
        <v>THIAGO MARCOS</v>
      </c>
    </row>
    <row r="402" spans="1:14" x14ac:dyDescent="0.3">
      <c r="A402" s="1">
        <v>702903</v>
      </c>
      <c r="B402" s="1" t="s">
        <v>445</v>
      </c>
      <c r="C402" s="5" t="s">
        <v>15</v>
      </c>
      <c r="D402" s="2">
        <v>44656</v>
      </c>
      <c r="E402" s="1" t="s">
        <v>199</v>
      </c>
      <c r="F402" s="1">
        <v>22102</v>
      </c>
      <c r="G402" s="1" t="s">
        <v>68</v>
      </c>
      <c r="H402" s="1" t="s">
        <v>18</v>
      </c>
      <c r="J402" s="1" t="s">
        <v>81</v>
      </c>
      <c r="K402" s="1" t="s">
        <v>1371</v>
      </c>
      <c r="L402" s="1" t="s">
        <v>1509</v>
      </c>
      <c r="M402" s="1" t="s">
        <v>1379</v>
      </c>
      <c r="N402" s="1" t="str">
        <f t="shared" si="6"/>
        <v xml:space="preserve">EDSON/MARCELO LIMA </v>
      </c>
    </row>
    <row r="403" spans="1:14" x14ac:dyDescent="0.3">
      <c r="A403" s="1">
        <v>701982</v>
      </c>
      <c r="B403" s="1" t="s">
        <v>1504</v>
      </c>
      <c r="C403" s="5" t="s">
        <v>15</v>
      </c>
      <c r="D403" s="2">
        <v>44172</v>
      </c>
      <c r="E403" s="1" t="s">
        <v>446</v>
      </c>
      <c r="F403" s="1">
        <v>15101</v>
      </c>
      <c r="G403" s="1" t="s">
        <v>447</v>
      </c>
      <c r="H403" s="1" t="s">
        <v>18</v>
      </c>
      <c r="J403" s="1" t="s">
        <v>448</v>
      </c>
      <c r="K403" s="1" t="s">
        <v>449</v>
      </c>
      <c r="N403" s="1" t="str">
        <f t="shared" si="6"/>
        <v xml:space="preserve">RAFAEL VIRGENS </v>
      </c>
    </row>
    <row r="404" spans="1:14" x14ac:dyDescent="0.3">
      <c r="A404" s="1">
        <v>704953</v>
      </c>
      <c r="B404" s="1" t="s">
        <v>450</v>
      </c>
      <c r="C404" s="5" t="s">
        <v>15</v>
      </c>
      <c r="D404" s="2">
        <v>45607</v>
      </c>
      <c r="E404" s="1" t="s">
        <v>138</v>
      </c>
      <c r="F404" s="1">
        <v>22102</v>
      </c>
      <c r="G404" s="1" t="s">
        <v>68</v>
      </c>
      <c r="H404" s="1" t="s">
        <v>18</v>
      </c>
      <c r="J404" s="1" t="s">
        <v>81</v>
      </c>
      <c r="K404" s="1" t="s">
        <v>1371</v>
      </c>
      <c r="L404" s="1" t="s">
        <v>1509</v>
      </c>
      <c r="M404" s="1" t="s">
        <v>1379</v>
      </c>
      <c r="N404" s="1" t="str">
        <f t="shared" si="6"/>
        <v xml:space="preserve">EDSON/MARCELO LIMA </v>
      </c>
    </row>
    <row r="405" spans="1:14" x14ac:dyDescent="0.3">
      <c r="A405" s="1">
        <v>702980</v>
      </c>
      <c r="B405" s="1" t="s">
        <v>451</v>
      </c>
      <c r="C405" s="5" t="s">
        <v>15</v>
      </c>
      <c r="D405" s="2">
        <v>44684</v>
      </c>
      <c r="E405" s="1" t="s">
        <v>109</v>
      </c>
      <c r="F405" s="1">
        <v>32101</v>
      </c>
      <c r="G405" s="1" t="s">
        <v>23</v>
      </c>
      <c r="H405" s="1" t="s">
        <v>18</v>
      </c>
      <c r="J405" s="1" t="s">
        <v>24</v>
      </c>
      <c r="K405" s="1" t="s">
        <v>25</v>
      </c>
      <c r="L405" s="1" t="s">
        <v>1369</v>
      </c>
      <c r="M405" s="1" t="s">
        <v>1370</v>
      </c>
      <c r="N405" s="1" t="str">
        <f t="shared" si="6"/>
        <v>JUNIO COSTA</v>
      </c>
    </row>
    <row r="406" spans="1:14" x14ac:dyDescent="0.3">
      <c r="A406" s="1">
        <v>704187</v>
      </c>
      <c r="B406" s="1" t="s">
        <v>452</v>
      </c>
      <c r="C406" s="5" t="s">
        <v>15</v>
      </c>
      <c r="D406" s="2">
        <v>45300</v>
      </c>
      <c r="E406" s="1" t="s">
        <v>67</v>
      </c>
      <c r="F406" s="1">
        <v>22102</v>
      </c>
      <c r="G406" s="1" t="s">
        <v>68</v>
      </c>
      <c r="H406" s="1" t="s">
        <v>18</v>
      </c>
      <c r="J406" s="1" t="s">
        <v>94</v>
      </c>
      <c r="K406" s="1" t="s">
        <v>1371</v>
      </c>
      <c r="L406" s="1" t="s">
        <v>1378</v>
      </c>
      <c r="M406" s="1" t="s">
        <v>95</v>
      </c>
      <c r="N406" s="1" t="str">
        <f t="shared" si="6"/>
        <v>LUAN ABADIA</v>
      </c>
    </row>
    <row r="407" spans="1:14" x14ac:dyDescent="0.3">
      <c r="A407" s="1">
        <v>705016</v>
      </c>
      <c r="B407" s="1" t="s">
        <v>453</v>
      </c>
      <c r="C407" s="5" t="s">
        <v>15</v>
      </c>
      <c r="D407" s="2">
        <v>45635</v>
      </c>
      <c r="E407" s="1" t="s">
        <v>121</v>
      </c>
      <c r="F407" s="1">
        <v>22101</v>
      </c>
      <c r="G407" s="1" t="s">
        <v>122</v>
      </c>
      <c r="H407" s="1" t="s">
        <v>18</v>
      </c>
      <c r="J407" s="1" t="s">
        <v>123</v>
      </c>
      <c r="K407" s="1" t="s">
        <v>124</v>
      </c>
      <c r="N407" s="1" t="str">
        <f t="shared" si="6"/>
        <v>MATHEUS FERNANDES</v>
      </c>
    </row>
    <row r="408" spans="1:14" x14ac:dyDescent="0.3">
      <c r="A408" s="1">
        <v>704712</v>
      </c>
      <c r="B408" s="1" t="s">
        <v>977</v>
      </c>
      <c r="C408" s="5" t="s">
        <v>15</v>
      </c>
      <c r="D408" s="2">
        <v>45518</v>
      </c>
      <c r="E408" s="1" t="s">
        <v>138</v>
      </c>
      <c r="F408" s="1">
        <v>22102</v>
      </c>
      <c r="G408" s="1" t="s">
        <v>68</v>
      </c>
      <c r="H408" s="1" t="s">
        <v>18</v>
      </c>
      <c r="J408" s="1" t="s">
        <v>81</v>
      </c>
      <c r="K408" s="1" t="s">
        <v>1371</v>
      </c>
      <c r="L408" s="1" t="s">
        <v>1509</v>
      </c>
      <c r="M408" s="1" t="s">
        <v>1379</v>
      </c>
      <c r="N408" s="1" t="str">
        <f t="shared" si="6"/>
        <v xml:space="preserve">EDSON/MARCELO LIMA </v>
      </c>
    </row>
    <row r="409" spans="1:14" x14ac:dyDescent="0.3">
      <c r="A409" s="1">
        <v>101622</v>
      </c>
      <c r="B409" s="1" t="s">
        <v>455</v>
      </c>
      <c r="C409" s="5" t="s">
        <v>15</v>
      </c>
      <c r="D409" s="2">
        <v>43010</v>
      </c>
      <c r="E409" s="1" t="s">
        <v>146</v>
      </c>
      <c r="F409" s="1">
        <v>52104</v>
      </c>
      <c r="G409" s="1" t="s">
        <v>17</v>
      </c>
      <c r="H409" s="1" t="s">
        <v>18</v>
      </c>
      <c r="J409" s="1" t="s">
        <v>37</v>
      </c>
      <c r="K409" s="1" t="s">
        <v>1368</v>
      </c>
      <c r="L409" s="1" t="s">
        <v>20</v>
      </c>
      <c r="M409" s="1" t="s">
        <v>1634</v>
      </c>
      <c r="N409" s="1" t="str">
        <f t="shared" si="6"/>
        <v>IRON SANTOS</v>
      </c>
    </row>
    <row r="410" spans="1:14" x14ac:dyDescent="0.3">
      <c r="A410" s="1">
        <v>705312</v>
      </c>
      <c r="B410" s="1" t="s">
        <v>1226</v>
      </c>
      <c r="C410" s="5" t="s">
        <v>92</v>
      </c>
      <c r="D410" s="2">
        <v>45784</v>
      </c>
      <c r="E410" s="1" t="s">
        <v>31</v>
      </c>
      <c r="F410" s="1">
        <v>52104</v>
      </c>
      <c r="G410" s="1" t="s">
        <v>17</v>
      </c>
      <c r="H410" s="1" t="s">
        <v>18</v>
      </c>
      <c r="I410" s="2">
        <v>46087</v>
      </c>
      <c r="J410" s="1" t="s">
        <v>19</v>
      </c>
      <c r="K410" s="1" t="s">
        <v>1368</v>
      </c>
      <c r="L410" s="1" t="s">
        <v>20</v>
      </c>
      <c r="M410" s="1" t="s">
        <v>1632</v>
      </c>
      <c r="N410" s="1" t="str">
        <f t="shared" si="6"/>
        <v>THIAGO MARCOS</v>
      </c>
    </row>
    <row r="411" spans="1:14" x14ac:dyDescent="0.3">
      <c r="A411" s="1">
        <v>702936</v>
      </c>
      <c r="B411" s="1" t="s">
        <v>456</v>
      </c>
      <c r="C411" s="5" t="s">
        <v>15</v>
      </c>
      <c r="D411" s="2">
        <v>44663</v>
      </c>
      <c r="E411" s="1" t="s">
        <v>149</v>
      </c>
      <c r="F411" s="1">
        <v>39302</v>
      </c>
      <c r="G411" s="1" t="s">
        <v>102</v>
      </c>
      <c r="H411" s="1" t="s">
        <v>18</v>
      </c>
      <c r="J411" s="1" t="s">
        <v>57</v>
      </c>
      <c r="K411" s="1" t="s">
        <v>1371</v>
      </c>
      <c r="L411" s="1" t="s">
        <v>1376</v>
      </c>
      <c r="M411" s="1" t="s">
        <v>1635</v>
      </c>
      <c r="N411" s="1" t="str">
        <f t="shared" si="6"/>
        <v>WARLEY RIBEIRO / EUDES FERNANDES</v>
      </c>
    </row>
    <row r="412" spans="1:14" x14ac:dyDescent="0.3">
      <c r="A412" s="1">
        <v>705608</v>
      </c>
      <c r="B412" s="1" t="s">
        <v>982</v>
      </c>
      <c r="C412" s="5" t="s">
        <v>15</v>
      </c>
      <c r="D412" s="2">
        <v>45902</v>
      </c>
      <c r="E412" s="1" t="s">
        <v>31</v>
      </c>
      <c r="F412" s="1">
        <v>52104</v>
      </c>
      <c r="G412" s="1" t="s">
        <v>17</v>
      </c>
      <c r="H412" s="1" t="s">
        <v>18</v>
      </c>
      <c r="J412" s="1" t="s">
        <v>19</v>
      </c>
      <c r="K412" s="1" t="s">
        <v>1368</v>
      </c>
      <c r="L412" s="1" t="s">
        <v>20</v>
      </c>
      <c r="M412" s="1" t="s">
        <v>1632</v>
      </c>
      <c r="N412" s="1" t="str">
        <f t="shared" si="6"/>
        <v>THIAGO MARCOS</v>
      </c>
    </row>
    <row r="413" spans="1:14" x14ac:dyDescent="0.3">
      <c r="A413" s="1">
        <v>705625</v>
      </c>
      <c r="B413" s="1" t="s">
        <v>1410</v>
      </c>
      <c r="C413" s="5" t="s">
        <v>15</v>
      </c>
      <c r="D413" s="2">
        <v>45937</v>
      </c>
      <c r="E413" s="1" t="s">
        <v>175</v>
      </c>
      <c r="F413" s="1">
        <v>31102</v>
      </c>
      <c r="G413" s="1" t="s">
        <v>135</v>
      </c>
      <c r="H413" s="1" t="s">
        <v>18</v>
      </c>
      <c r="J413" s="1" t="s">
        <v>136</v>
      </c>
      <c r="K413" s="1" t="s">
        <v>50</v>
      </c>
      <c r="L413" s="1" t="s">
        <v>1382</v>
      </c>
      <c r="M413" s="1" t="s">
        <v>1382</v>
      </c>
      <c r="N413" s="1" t="str">
        <f t="shared" si="6"/>
        <v>ADENILTON RODRIGUES</v>
      </c>
    </row>
    <row r="414" spans="1:14" x14ac:dyDescent="0.3">
      <c r="A414" s="1">
        <v>705379</v>
      </c>
      <c r="B414" s="1" t="s">
        <v>1227</v>
      </c>
      <c r="C414" s="5" t="s">
        <v>15</v>
      </c>
      <c r="D414" s="2">
        <v>45784</v>
      </c>
      <c r="E414" s="1" t="s">
        <v>22</v>
      </c>
      <c r="F414" s="1">
        <v>34101</v>
      </c>
      <c r="G414" s="1" t="s">
        <v>43</v>
      </c>
      <c r="H414" s="1" t="s">
        <v>18</v>
      </c>
      <c r="J414" s="1" t="s">
        <v>237</v>
      </c>
      <c r="K414" s="1" t="s">
        <v>25</v>
      </c>
      <c r="L414" s="1" t="s">
        <v>1384</v>
      </c>
      <c r="N414" s="1" t="str">
        <f t="shared" si="6"/>
        <v xml:space="preserve">MARCOS VINICIUS </v>
      </c>
    </row>
    <row r="415" spans="1:14" x14ac:dyDescent="0.3">
      <c r="A415" s="1">
        <v>702020</v>
      </c>
      <c r="B415" s="1" t="s">
        <v>458</v>
      </c>
      <c r="C415" s="5" t="s">
        <v>15</v>
      </c>
      <c r="D415" s="2">
        <v>44242</v>
      </c>
      <c r="E415" s="1" t="s">
        <v>459</v>
      </c>
      <c r="F415" s="1">
        <v>34101</v>
      </c>
      <c r="G415" s="1" t="s">
        <v>43</v>
      </c>
      <c r="H415" s="1" t="s">
        <v>18</v>
      </c>
      <c r="J415" s="1" t="s">
        <v>237</v>
      </c>
      <c r="K415" s="1" t="s">
        <v>25</v>
      </c>
      <c r="L415" s="1" t="s">
        <v>1384</v>
      </c>
      <c r="N415" s="1" t="str">
        <f t="shared" si="6"/>
        <v xml:space="preserve">MARCOS VINICIUS </v>
      </c>
    </row>
    <row r="416" spans="1:14" x14ac:dyDescent="0.3">
      <c r="A416" s="1">
        <v>703719</v>
      </c>
      <c r="B416" s="1" t="s">
        <v>460</v>
      </c>
      <c r="C416" s="5" t="s">
        <v>15</v>
      </c>
      <c r="D416" s="2">
        <v>45026</v>
      </c>
      <c r="E416" s="1" t="s">
        <v>188</v>
      </c>
      <c r="F416" s="1">
        <v>22102</v>
      </c>
      <c r="G416" s="1" t="s">
        <v>68</v>
      </c>
      <c r="H416" s="1" t="s">
        <v>18</v>
      </c>
      <c r="J416" s="1" t="s">
        <v>94</v>
      </c>
      <c r="K416" s="1" t="s">
        <v>1371</v>
      </c>
      <c r="L416" s="1" t="s">
        <v>1378</v>
      </c>
      <c r="M416" s="1" t="s">
        <v>95</v>
      </c>
      <c r="N416" s="1" t="str">
        <f t="shared" si="6"/>
        <v>LUAN ABADIA</v>
      </c>
    </row>
    <row r="417" spans="1:14" x14ac:dyDescent="0.3">
      <c r="A417" s="1">
        <v>705704</v>
      </c>
      <c r="B417" s="1" t="s">
        <v>1452</v>
      </c>
      <c r="C417" s="5" t="s">
        <v>15</v>
      </c>
      <c r="D417" s="2">
        <v>45971</v>
      </c>
      <c r="E417" s="1" t="s">
        <v>31</v>
      </c>
      <c r="F417" s="1">
        <v>52104</v>
      </c>
      <c r="G417" s="1" t="s">
        <v>17</v>
      </c>
      <c r="H417" s="1" t="s">
        <v>18</v>
      </c>
      <c r="J417" s="1" t="s">
        <v>19</v>
      </c>
      <c r="K417" s="1" t="s">
        <v>1368</v>
      </c>
      <c r="L417" s="1" t="s">
        <v>20</v>
      </c>
      <c r="M417" s="1" t="s">
        <v>1632</v>
      </c>
      <c r="N417" s="1" t="str">
        <f t="shared" si="6"/>
        <v>THIAGO MARCOS</v>
      </c>
    </row>
    <row r="418" spans="1:14" x14ac:dyDescent="0.3">
      <c r="A418" s="1">
        <v>700440</v>
      </c>
      <c r="B418" s="1" t="s">
        <v>991</v>
      </c>
      <c r="C418" s="5" t="s">
        <v>15</v>
      </c>
      <c r="D418" s="2">
        <v>43326</v>
      </c>
      <c r="E418" s="1" t="s">
        <v>326</v>
      </c>
      <c r="F418" s="1">
        <v>32101</v>
      </c>
      <c r="G418" s="1" t="s">
        <v>23</v>
      </c>
      <c r="H418" s="1" t="s">
        <v>18</v>
      </c>
      <c r="J418" s="1" t="s">
        <v>24</v>
      </c>
      <c r="K418" s="1" t="s">
        <v>25</v>
      </c>
      <c r="L418" s="1" t="s">
        <v>1369</v>
      </c>
      <c r="M418" s="1" t="s">
        <v>1370</v>
      </c>
      <c r="N418" s="1" t="str">
        <f t="shared" si="6"/>
        <v>JUNIO COSTA</v>
      </c>
    </row>
    <row r="419" spans="1:14" x14ac:dyDescent="0.3">
      <c r="A419" s="1">
        <v>702394</v>
      </c>
      <c r="B419" s="1" t="s">
        <v>461</v>
      </c>
      <c r="C419" s="5" t="s">
        <v>15</v>
      </c>
      <c r="D419" s="2">
        <v>44383</v>
      </c>
      <c r="E419" s="1" t="s">
        <v>230</v>
      </c>
      <c r="F419" s="1">
        <v>38101</v>
      </c>
      <c r="G419" s="1" t="s">
        <v>35</v>
      </c>
      <c r="H419" s="1" t="s">
        <v>18</v>
      </c>
      <c r="J419" s="1" t="s">
        <v>36</v>
      </c>
      <c r="K419" s="1" t="s">
        <v>1372</v>
      </c>
      <c r="L419" s="1" t="s">
        <v>1373</v>
      </c>
      <c r="M419" s="1" t="s">
        <v>1373</v>
      </c>
      <c r="N419" s="1" t="str">
        <f t="shared" si="6"/>
        <v>DENIS ACASSIO</v>
      </c>
    </row>
    <row r="420" spans="1:14" x14ac:dyDescent="0.3">
      <c r="A420" s="1">
        <v>100155</v>
      </c>
      <c r="B420" s="1" t="s">
        <v>462</v>
      </c>
      <c r="C420" s="5" t="s">
        <v>15</v>
      </c>
      <c r="D420" s="2">
        <v>41367</v>
      </c>
      <c r="E420" s="1" t="s">
        <v>31</v>
      </c>
      <c r="F420" s="1">
        <v>38101</v>
      </c>
      <c r="G420" s="1" t="s">
        <v>35</v>
      </c>
      <c r="H420" s="1" t="s">
        <v>18</v>
      </c>
      <c r="J420" s="1" t="s">
        <v>36</v>
      </c>
      <c r="K420" s="1" t="s">
        <v>1372</v>
      </c>
      <c r="L420" s="1" t="s">
        <v>1373</v>
      </c>
      <c r="M420" s="1" t="s">
        <v>1373</v>
      </c>
      <c r="N420" s="1" t="str">
        <f t="shared" si="6"/>
        <v>DENIS ACASSIO</v>
      </c>
    </row>
    <row r="421" spans="1:14" x14ac:dyDescent="0.3">
      <c r="A421" s="1">
        <v>705632</v>
      </c>
      <c r="B421" s="1" t="s">
        <v>1411</v>
      </c>
      <c r="C421" s="5" t="s">
        <v>15</v>
      </c>
      <c r="D421" s="2">
        <v>45937</v>
      </c>
      <c r="E421" s="1" t="s">
        <v>31</v>
      </c>
      <c r="F421" s="1">
        <v>25201</v>
      </c>
      <c r="G421" s="1" t="s">
        <v>89</v>
      </c>
      <c r="H421" s="1" t="s">
        <v>18</v>
      </c>
      <c r="J421" s="1" t="s">
        <v>19</v>
      </c>
      <c r="K421" s="1" t="s">
        <v>1368</v>
      </c>
      <c r="L421" s="1" t="s">
        <v>20</v>
      </c>
      <c r="M421" s="1" t="s">
        <v>1632</v>
      </c>
      <c r="N421" s="1" t="str">
        <f t="shared" si="6"/>
        <v>THIAGO MARCOS</v>
      </c>
    </row>
    <row r="422" spans="1:14" x14ac:dyDescent="0.3">
      <c r="A422" s="1">
        <v>700862</v>
      </c>
      <c r="B422" s="1" t="s">
        <v>463</v>
      </c>
      <c r="C422" s="5" t="s">
        <v>15</v>
      </c>
      <c r="D422" s="2">
        <v>43507</v>
      </c>
      <c r="E422" s="1" t="s">
        <v>230</v>
      </c>
      <c r="F422" s="1">
        <v>38101</v>
      </c>
      <c r="G422" s="1" t="s">
        <v>35</v>
      </c>
      <c r="H422" s="1" t="s">
        <v>18</v>
      </c>
      <c r="J422" s="1" t="s">
        <v>36</v>
      </c>
      <c r="K422" s="1" t="s">
        <v>1372</v>
      </c>
      <c r="L422" s="1" t="s">
        <v>1373</v>
      </c>
      <c r="M422" s="1" t="s">
        <v>1373</v>
      </c>
      <c r="N422" s="1" t="str">
        <f t="shared" si="6"/>
        <v>DENIS ACASSIO</v>
      </c>
    </row>
    <row r="423" spans="1:14" x14ac:dyDescent="0.3">
      <c r="A423" s="1">
        <v>704883</v>
      </c>
      <c r="B423" s="1" t="s">
        <v>464</v>
      </c>
      <c r="C423" s="5" t="s">
        <v>92</v>
      </c>
      <c r="D423" s="2">
        <v>45586</v>
      </c>
      <c r="E423" s="1" t="s">
        <v>77</v>
      </c>
      <c r="F423" s="1">
        <v>38107</v>
      </c>
      <c r="G423" s="1" t="s">
        <v>1503</v>
      </c>
      <c r="H423" s="1" t="s">
        <v>18</v>
      </c>
      <c r="I423" s="2">
        <v>46092</v>
      </c>
      <c r="J423" s="1" t="s">
        <v>78</v>
      </c>
      <c r="K423" s="1" t="s">
        <v>1372</v>
      </c>
      <c r="N423" s="1" t="str">
        <f t="shared" si="6"/>
        <v xml:space="preserve">LEIDJANE MARTINS </v>
      </c>
    </row>
    <row r="424" spans="1:14" x14ac:dyDescent="0.3">
      <c r="A424" s="1">
        <v>705902</v>
      </c>
      <c r="B424" s="1" t="s">
        <v>1613</v>
      </c>
      <c r="C424" s="5" t="s">
        <v>15</v>
      </c>
      <c r="D424" s="2">
        <v>46091</v>
      </c>
      <c r="E424" s="1" t="s">
        <v>31</v>
      </c>
      <c r="F424" s="1">
        <v>25201</v>
      </c>
      <c r="G424" s="1" t="s">
        <v>89</v>
      </c>
      <c r="H424" s="1" t="s">
        <v>18</v>
      </c>
      <c r="J424" s="1" t="s">
        <v>19</v>
      </c>
      <c r="K424" s="1" t="s">
        <v>1368</v>
      </c>
      <c r="L424" s="1" t="s">
        <v>20</v>
      </c>
      <c r="M424" s="1" t="s">
        <v>1632</v>
      </c>
      <c r="N424" s="1" t="str">
        <f t="shared" si="6"/>
        <v>THIAGO MARCOS</v>
      </c>
    </row>
    <row r="425" spans="1:14" x14ac:dyDescent="0.3">
      <c r="A425" s="1">
        <v>704880</v>
      </c>
      <c r="B425" s="1" t="s">
        <v>465</v>
      </c>
      <c r="C425" s="5" t="s">
        <v>92</v>
      </c>
      <c r="D425" s="2">
        <v>45586</v>
      </c>
      <c r="E425" s="1" t="s">
        <v>77</v>
      </c>
      <c r="F425" s="1">
        <v>38107</v>
      </c>
      <c r="G425" s="1" t="s">
        <v>1503</v>
      </c>
      <c r="H425" s="1" t="s">
        <v>18</v>
      </c>
      <c r="I425" s="2">
        <v>46092</v>
      </c>
      <c r="J425" s="1" t="s">
        <v>78</v>
      </c>
      <c r="K425" s="1" t="s">
        <v>1372</v>
      </c>
      <c r="N425" s="1" t="str">
        <f t="shared" si="6"/>
        <v xml:space="preserve">LEIDJANE MARTINS </v>
      </c>
    </row>
    <row r="426" spans="1:14" x14ac:dyDescent="0.3">
      <c r="A426" s="1">
        <v>704933</v>
      </c>
      <c r="B426" s="1" t="s">
        <v>466</v>
      </c>
      <c r="C426" s="5" t="s">
        <v>15</v>
      </c>
      <c r="D426" s="2">
        <v>45607</v>
      </c>
      <c r="E426" s="1" t="s">
        <v>31</v>
      </c>
      <c r="F426" s="1">
        <v>52202</v>
      </c>
      <c r="G426" s="1" t="s">
        <v>32</v>
      </c>
      <c r="H426" s="1" t="s">
        <v>18</v>
      </c>
      <c r="J426" s="1" t="s">
        <v>33</v>
      </c>
      <c r="K426" s="1" t="s">
        <v>1368</v>
      </c>
      <c r="L426" s="1" t="s">
        <v>20</v>
      </c>
      <c r="M426" s="1" t="s">
        <v>1634</v>
      </c>
      <c r="N426" s="1" t="str">
        <f t="shared" si="6"/>
        <v>IRON SANTOS</v>
      </c>
    </row>
    <row r="427" spans="1:14" x14ac:dyDescent="0.3">
      <c r="A427" s="1">
        <v>705903</v>
      </c>
      <c r="B427" s="1" t="s">
        <v>1614</v>
      </c>
      <c r="C427" s="5" t="s">
        <v>15</v>
      </c>
      <c r="D427" s="2">
        <v>46091</v>
      </c>
      <c r="E427" s="1" t="s">
        <v>31</v>
      </c>
      <c r="F427" s="1">
        <v>25201</v>
      </c>
      <c r="G427" s="1" t="s">
        <v>89</v>
      </c>
      <c r="H427" s="1" t="s">
        <v>18</v>
      </c>
      <c r="J427" s="1" t="s">
        <v>19</v>
      </c>
      <c r="K427" s="1" t="s">
        <v>1368</v>
      </c>
      <c r="L427" s="1" t="s">
        <v>20</v>
      </c>
      <c r="M427" s="1" t="s">
        <v>1632</v>
      </c>
      <c r="N427" s="1" t="str">
        <f t="shared" si="6"/>
        <v>THIAGO MARCOS</v>
      </c>
    </row>
    <row r="428" spans="1:14" x14ac:dyDescent="0.3">
      <c r="A428" s="1">
        <v>702406</v>
      </c>
      <c r="B428" s="1" t="s">
        <v>467</v>
      </c>
      <c r="C428" s="5" t="s">
        <v>15</v>
      </c>
      <c r="D428" s="2">
        <v>44383</v>
      </c>
      <c r="E428" s="1" t="s">
        <v>127</v>
      </c>
      <c r="F428" s="1">
        <v>22102</v>
      </c>
      <c r="G428" s="1" t="s">
        <v>68</v>
      </c>
      <c r="H428" s="1" t="s">
        <v>18</v>
      </c>
      <c r="J428" s="1" t="s">
        <v>81</v>
      </c>
      <c r="K428" s="1" t="s">
        <v>1371</v>
      </c>
      <c r="L428" s="1" t="s">
        <v>1509</v>
      </c>
      <c r="M428" s="1" t="s">
        <v>1379</v>
      </c>
      <c r="N428" s="1" t="str">
        <f t="shared" si="6"/>
        <v xml:space="preserve">EDSON/MARCELO LIMA </v>
      </c>
    </row>
    <row r="429" spans="1:14" x14ac:dyDescent="0.3">
      <c r="A429" s="1">
        <v>701126</v>
      </c>
      <c r="B429" s="1" t="s">
        <v>468</v>
      </c>
      <c r="C429" s="5" t="s">
        <v>15</v>
      </c>
      <c r="D429" s="2">
        <v>42380</v>
      </c>
      <c r="E429" s="1" t="s">
        <v>1299</v>
      </c>
      <c r="F429" s="1">
        <v>33101</v>
      </c>
      <c r="G429" s="1" t="s">
        <v>186</v>
      </c>
      <c r="H429" s="1" t="s">
        <v>18</v>
      </c>
      <c r="J429" s="1" t="s">
        <v>44</v>
      </c>
      <c r="K429" s="1" t="s">
        <v>25</v>
      </c>
      <c r="L429" s="1" t="s">
        <v>1385</v>
      </c>
      <c r="N429" s="1" t="str">
        <f t="shared" si="6"/>
        <v>TALLES RYAN</v>
      </c>
    </row>
    <row r="430" spans="1:14" x14ac:dyDescent="0.3">
      <c r="A430" s="1">
        <v>704893</v>
      </c>
      <c r="B430" s="1" t="s">
        <v>469</v>
      </c>
      <c r="C430" s="5" t="s">
        <v>15</v>
      </c>
      <c r="D430" s="2">
        <v>45601</v>
      </c>
      <c r="E430" s="1" t="s">
        <v>31</v>
      </c>
      <c r="F430" s="1">
        <v>52202</v>
      </c>
      <c r="G430" s="1" t="s">
        <v>32</v>
      </c>
      <c r="H430" s="1" t="s">
        <v>18</v>
      </c>
      <c r="J430" s="1" t="s">
        <v>33</v>
      </c>
      <c r="K430" s="1" t="s">
        <v>1368</v>
      </c>
      <c r="L430" s="1" t="s">
        <v>20</v>
      </c>
      <c r="M430" s="1" t="s">
        <v>1634</v>
      </c>
      <c r="N430" s="1" t="str">
        <f t="shared" si="6"/>
        <v>IRON SANTOS</v>
      </c>
    </row>
    <row r="431" spans="1:14" x14ac:dyDescent="0.3">
      <c r="A431" s="1">
        <v>705836</v>
      </c>
      <c r="B431" s="1" t="s">
        <v>1551</v>
      </c>
      <c r="C431" s="5" t="s">
        <v>15</v>
      </c>
      <c r="D431" s="2">
        <v>46063</v>
      </c>
      <c r="E431" s="1" t="s">
        <v>31</v>
      </c>
      <c r="F431" s="1">
        <v>52104</v>
      </c>
      <c r="G431" s="1" t="s">
        <v>17</v>
      </c>
      <c r="H431" s="1" t="s">
        <v>18</v>
      </c>
      <c r="J431" s="1" t="s">
        <v>19</v>
      </c>
      <c r="K431" s="1" t="s">
        <v>1368</v>
      </c>
      <c r="L431" s="1" t="s">
        <v>20</v>
      </c>
      <c r="M431" s="1" t="s">
        <v>1632</v>
      </c>
      <c r="N431" s="1" t="str">
        <f t="shared" si="6"/>
        <v>THIAGO MARCOS</v>
      </c>
    </row>
    <row r="432" spans="1:14" x14ac:dyDescent="0.3">
      <c r="A432" s="1">
        <v>705116</v>
      </c>
      <c r="B432" s="1" t="s">
        <v>472</v>
      </c>
      <c r="C432" s="5" t="s">
        <v>92</v>
      </c>
      <c r="D432" s="2">
        <v>45678</v>
      </c>
      <c r="E432" s="1" t="s">
        <v>31</v>
      </c>
      <c r="F432" s="1">
        <v>52104</v>
      </c>
      <c r="G432" s="1" t="s">
        <v>17</v>
      </c>
      <c r="H432" s="1" t="s">
        <v>18</v>
      </c>
      <c r="I432" s="2">
        <v>46093</v>
      </c>
      <c r="J432" s="1" t="s">
        <v>19</v>
      </c>
      <c r="K432" s="1" t="s">
        <v>1368</v>
      </c>
      <c r="L432" s="1" t="s">
        <v>20</v>
      </c>
      <c r="M432" s="1" t="s">
        <v>1632</v>
      </c>
      <c r="N432" s="1" t="str">
        <f t="shared" si="6"/>
        <v>THIAGO MARCOS</v>
      </c>
    </row>
    <row r="433" spans="1:14" x14ac:dyDescent="0.3">
      <c r="A433" s="1">
        <v>704936</v>
      </c>
      <c r="B433" s="1" t="s">
        <v>473</v>
      </c>
      <c r="C433" s="5" t="s">
        <v>15</v>
      </c>
      <c r="D433" s="2">
        <v>45608</v>
      </c>
      <c r="E433" s="1" t="s">
        <v>22</v>
      </c>
      <c r="F433" s="1">
        <v>32101</v>
      </c>
      <c r="G433" s="1" t="s">
        <v>23</v>
      </c>
      <c r="H433" s="1" t="s">
        <v>18</v>
      </c>
      <c r="J433" s="1" t="s">
        <v>24</v>
      </c>
      <c r="K433" s="1" t="s">
        <v>25</v>
      </c>
      <c r="L433" s="1" t="s">
        <v>1369</v>
      </c>
      <c r="M433" s="1" t="s">
        <v>1370</v>
      </c>
      <c r="N433" s="1" t="str">
        <f t="shared" si="6"/>
        <v>JUNIO COSTA</v>
      </c>
    </row>
    <row r="434" spans="1:14" x14ac:dyDescent="0.3">
      <c r="A434" s="1">
        <v>705638</v>
      </c>
      <c r="B434" s="1" t="s">
        <v>1412</v>
      </c>
      <c r="C434" s="5" t="s">
        <v>15</v>
      </c>
      <c r="D434" s="2">
        <v>45937</v>
      </c>
      <c r="E434" s="1" t="s">
        <v>446</v>
      </c>
      <c r="F434" s="1">
        <v>22101</v>
      </c>
      <c r="G434" s="1" t="s">
        <v>122</v>
      </c>
      <c r="H434" s="1" t="s">
        <v>18</v>
      </c>
      <c r="J434" s="1" t="s">
        <v>123</v>
      </c>
      <c r="K434" s="1" t="s">
        <v>124</v>
      </c>
      <c r="N434" s="1" t="str">
        <f t="shared" si="6"/>
        <v>MATHEUS FERNANDES</v>
      </c>
    </row>
    <row r="435" spans="1:14" x14ac:dyDescent="0.3">
      <c r="A435" s="1">
        <v>702887</v>
      </c>
      <c r="B435" s="1" t="s">
        <v>475</v>
      </c>
      <c r="C435" s="5" t="s">
        <v>15</v>
      </c>
      <c r="D435" s="2">
        <v>44634</v>
      </c>
      <c r="E435" s="1" t="s">
        <v>476</v>
      </c>
      <c r="F435" s="1">
        <v>21101</v>
      </c>
      <c r="G435" s="1" t="s">
        <v>196</v>
      </c>
      <c r="H435" s="1" t="s">
        <v>18</v>
      </c>
      <c r="J435" s="1" t="s">
        <v>197</v>
      </c>
      <c r="K435" s="1" t="s">
        <v>1508</v>
      </c>
      <c r="N435" s="1" t="str">
        <f t="shared" si="6"/>
        <v xml:space="preserve">CARLOS OLIVEIRA </v>
      </c>
    </row>
    <row r="436" spans="1:14" x14ac:dyDescent="0.3">
      <c r="A436" s="1">
        <v>705741</v>
      </c>
      <c r="B436" s="1" t="s">
        <v>1489</v>
      </c>
      <c r="C436" s="5" t="s">
        <v>15</v>
      </c>
      <c r="D436" s="2">
        <v>45993</v>
      </c>
      <c r="E436" s="1" t="s">
        <v>67</v>
      </c>
      <c r="F436" s="1">
        <v>22101</v>
      </c>
      <c r="G436" s="1" t="s">
        <v>122</v>
      </c>
      <c r="H436" s="1" t="s">
        <v>18</v>
      </c>
      <c r="J436" s="1" t="s">
        <v>123</v>
      </c>
      <c r="K436" s="1" t="s">
        <v>124</v>
      </c>
      <c r="N436" s="1" t="str">
        <f t="shared" si="6"/>
        <v>MATHEUS FERNANDES</v>
      </c>
    </row>
    <row r="437" spans="1:14" x14ac:dyDescent="0.3">
      <c r="A437" s="1">
        <v>106026</v>
      </c>
      <c r="B437" s="1" t="s">
        <v>477</v>
      </c>
      <c r="C437" s="5" t="s">
        <v>15</v>
      </c>
      <c r="D437" s="2">
        <v>43556</v>
      </c>
      <c r="E437" s="1" t="s">
        <v>179</v>
      </c>
      <c r="F437" s="1">
        <v>32101</v>
      </c>
      <c r="G437" s="1" t="s">
        <v>23</v>
      </c>
      <c r="H437" s="1" t="s">
        <v>18</v>
      </c>
      <c r="J437" s="1" t="s">
        <v>24</v>
      </c>
      <c r="K437" s="1" t="s">
        <v>25</v>
      </c>
      <c r="L437" s="1" t="s">
        <v>1369</v>
      </c>
      <c r="M437" s="1" t="s">
        <v>1370</v>
      </c>
      <c r="N437" s="1" t="str">
        <f t="shared" si="6"/>
        <v>JUNIO COSTA</v>
      </c>
    </row>
    <row r="438" spans="1:14" x14ac:dyDescent="0.3">
      <c r="A438" s="1">
        <v>703500</v>
      </c>
      <c r="B438" s="1" t="s">
        <v>478</v>
      </c>
      <c r="C438" s="5" t="s">
        <v>15</v>
      </c>
      <c r="D438" s="2">
        <v>44887</v>
      </c>
      <c r="E438" s="1" t="s">
        <v>97</v>
      </c>
      <c r="F438" s="1">
        <v>32101</v>
      </c>
      <c r="G438" s="1" t="s">
        <v>23</v>
      </c>
      <c r="H438" s="1" t="s">
        <v>18</v>
      </c>
      <c r="J438" s="1" t="s">
        <v>24</v>
      </c>
      <c r="K438" s="1" t="s">
        <v>25</v>
      </c>
      <c r="L438" s="1" t="s">
        <v>1369</v>
      </c>
      <c r="M438" s="1" t="s">
        <v>1370</v>
      </c>
      <c r="N438" s="1" t="str">
        <f t="shared" si="6"/>
        <v>JUNIO COSTA</v>
      </c>
    </row>
    <row r="439" spans="1:14" x14ac:dyDescent="0.3">
      <c r="A439" s="1">
        <v>705690</v>
      </c>
      <c r="B439" s="1" t="s">
        <v>1453</v>
      </c>
      <c r="C439" s="5" t="s">
        <v>15</v>
      </c>
      <c r="D439" s="2">
        <v>45966</v>
      </c>
      <c r="E439" s="1" t="s">
        <v>111</v>
      </c>
      <c r="F439" s="1">
        <v>22102</v>
      </c>
      <c r="G439" s="1" t="s">
        <v>68</v>
      </c>
      <c r="H439" s="1" t="s">
        <v>18</v>
      </c>
      <c r="J439" s="1" t="s">
        <v>1547</v>
      </c>
      <c r="K439" s="1" t="s">
        <v>1371</v>
      </c>
      <c r="N439" s="1" t="str">
        <f t="shared" si="6"/>
        <v>PAULO BONIFÁCIO</v>
      </c>
    </row>
    <row r="440" spans="1:14" x14ac:dyDescent="0.3">
      <c r="A440" s="1">
        <v>100318</v>
      </c>
      <c r="B440" s="1" t="s">
        <v>1505</v>
      </c>
      <c r="C440" s="5" t="s">
        <v>15</v>
      </c>
      <c r="D440" s="2">
        <v>41792</v>
      </c>
      <c r="E440" s="1" t="s">
        <v>245</v>
      </c>
      <c r="F440" s="1">
        <v>37101</v>
      </c>
      <c r="G440" s="1" t="s">
        <v>214</v>
      </c>
      <c r="H440" s="1" t="s">
        <v>18</v>
      </c>
      <c r="J440" s="1" t="s">
        <v>215</v>
      </c>
      <c r="K440" s="1" t="s">
        <v>216</v>
      </c>
      <c r="N440" s="1" t="str">
        <f t="shared" si="6"/>
        <v>CARSON NEVES</v>
      </c>
    </row>
    <row r="441" spans="1:14" x14ac:dyDescent="0.3">
      <c r="A441" s="1">
        <v>705825</v>
      </c>
      <c r="B441" s="1" t="s">
        <v>1552</v>
      </c>
      <c r="C441" s="5" t="s">
        <v>15</v>
      </c>
      <c r="D441" s="2">
        <v>46063</v>
      </c>
      <c r="E441" s="1" t="s">
        <v>31</v>
      </c>
      <c r="F441" s="1">
        <v>52104</v>
      </c>
      <c r="G441" s="1" t="s">
        <v>17</v>
      </c>
      <c r="H441" s="1" t="s">
        <v>18</v>
      </c>
      <c r="J441" s="1" t="s">
        <v>19</v>
      </c>
      <c r="K441" s="1" t="s">
        <v>1368</v>
      </c>
      <c r="L441" s="1" t="s">
        <v>20</v>
      </c>
      <c r="M441" s="1" t="s">
        <v>1632</v>
      </c>
      <c r="N441" s="1" t="str">
        <f t="shared" si="6"/>
        <v>THIAGO MARCOS</v>
      </c>
    </row>
    <row r="442" spans="1:14" x14ac:dyDescent="0.3">
      <c r="A442" s="1">
        <v>703504</v>
      </c>
      <c r="B442" s="1" t="s">
        <v>480</v>
      </c>
      <c r="C442" s="5" t="s">
        <v>15</v>
      </c>
      <c r="D442" s="2">
        <v>44887</v>
      </c>
      <c r="E442" s="1" t="s">
        <v>160</v>
      </c>
      <c r="F442" s="1">
        <v>32101</v>
      </c>
      <c r="G442" s="1" t="s">
        <v>23</v>
      </c>
      <c r="H442" s="1" t="s">
        <v>18</v>
      </c>
      <c r="J442" s="1" t="s">
        <v>24</v>
      </c>
      <c r="K442" s="1" t="s">
        <v>25</v>
      </c>
      <c r="L442" s="1" t="s">
        <v>1369</v>
      </c>
      <c r="M442" s="1" t="s">
        <v>1370</v>
      </c>
      <c r="N442" s="1" t="str">
        <f t="shared" si="6"/>
        <v>JUNIO COSTA</v>
      </c>
    </row>
    <row r="443" spans="1:14" x14ac:dyDescent="0.3">
      <c r="A443" s="1">
        <v>705800</v>
      </c>
      <c r="B443" s="1" t="s">
        <v>1524</v>
      </c>
      <c r="C443" s="5" t="s">
        <v>15</v>
      </c>
      <c r="D443" s="2">
        <v>46035</v>
      </c>
      <c r="E443" s="1" t="s">
        <v>31</v>
      </c>
      <c r="F443" s="1">
        <v>52104</v>
      </c>
      <c r="G443" s="1" t="s">
        <v>17</v>
      </c>
      <c r="H443" s="1" t="s">
        <v>18</v>
      </c>
      <c r="J443" s="1" t="s">
        <v>19</v>
      </c>
      <c r="K443" s="1" t="s">
        <v>1368</v>
      </c>
      <c r="L443" s="1" t="s">
        <v>20</v>
      </c>
      <c r="M443" s="1" t="s">
        <v>1632</v>
      </c>
      <c r="N443" s="1" t="str">
        <f t="shared" si="6"/>
        <v>THIAGO MARCOS</v>
      </c>
    </row>
    <row r="444" spans="1:14" x14ac:dyDescent="0.3">
      <c r="A444" s="1">
        <v>705198</v>
      </c>
      <c r="B444" s="1" t="s">
        <v>1164</v>
      </c>
      <c r="C444" s="5" t="s">
        <v>15</v>
      </c>
      <c r="D444" s="2">
        <v>45727</v>
      </c>
      <c r="E444" s="1" t="s">
        <v>93</v>
      </c>
      <c r="F444" s="1">
        <v>22102</v>
      </c>
      <c r="G444" s="1" t="s">
        <v>68</v>
      </c>
      <c r="H444" s="1" t="s">
        <v>18</v>
      </c>
      <c r="J444" s="1" t="s">
        <v>69</v>
      </c>
      <c r="K444" s="1" t="s">
        <v>1371</v>
      </c>
      <c r="L444" s="1" t="s">
        <v>1378</v>
      </c>
      <c r="N444" s="1" t="str">
        <f t="shared" si="6"/>
        <v xml:space="preserve">JOÃO KOMURA </v>
      </c>
    </row>
    <row r="445" spans="1:14" x14ac:dyDescent="0.3">
      <c r="A445" s="1">
        <v>705605</v>
      </c>
      <c r="B445" s="1" t="s">
        <v>1357</v>
      </c>
      <c r="C445" s="5" t="s">
        <v>15</v>
      </c>
      <c r="D445" s="2">
        <v>45902</v>
      </c>
      <c r="E445" s="1" t="s">
        <v>31</v>
      </c>
      <c r="F445" s="1">
        <v>25201</v>
      </c>
      <c r="G445" s="1" t="s">
        <v>89</v>
      </c>
      <c r="H445" s="1" t="s">
        <v>18</v>
      </c>
      <c r="J445" s="1" t="s">
        <v>19</v>
      </c>
      <c r="K445" s="1" t="s">
        <v>1368</v>
      </c>
      <c r="L445" s="1" t="s">
        <v>20</v>
      </c>
      <c r="M445" s="1" t="s">
        <v>1632</v>
      </c>
      <c r="N445" s="1" t="str">
        <f t="shared" si="6"/>
        <v>THIAGO MARCOS</v>
      </c>
    </row>
    <row r="446" spans="1:14" x14ac:dyDescent="0.3">
      <c r="A446" s="1">
        <v>705578</v>
      </c>
      <c r="B446" s="1" t="s">
        <v>1321</v>
      </c>
      <c r="C446" s="5" t="s">
        <v>15</v>
      </c>
      <c r="D446" s="2">
        <v>45881</v>
      </c>
      <c r="E446" s="1" t="s">
        <v>31</v>
      </c>
      <c r="F446" s="1">
        <v>39301</v>
      </c>
      <c r="G446" s="1" t="s">
        <v>73</v>
      </c>
      <c r="H446" s="1" t="s">
        <v>18</v>
      </c>
      <c r="J446" s="1" t="s">
        <v>74</v>
      </c>
      <c r="K446" s="1" t="s">
        <v>1371</v>
      </c>
      <c r="L446" s="1" t="s">
        <v>1376</v>
      </c>
      <c r="M446" s="1" t="s">
        <v>75</v>
      </c>
      <c r="N446" s="1" t="str">
        <f t="shared" si="6"/>
        <v>ISAC NONATO</v>
      </c>
    </row>
    <row r="447" spans="1:14" x14ac:dyDescent="0.3">
      <c r="A447" s="1">
        <v>700691</v>
      </c>
      <c r="B447" s="1" t="s">
        <v>1506</v>
      </c>
      <c r="C447" s="5" t="s">
        <v>15</v>
      </c>
      <c r="D447" s="2">
        <v>43389</v>
      </c>
      <c r="E447" s="1" t="s">
        <v>138</v>
      </c>
      <c r="F447" s="1">
        <v>52104</v>
      </c>
      <c r="G447" s="1" t="s">
        <v>17</v>
      </c>
      <c r="H447" s="1" t="s">
        <v>18</v>
      </c>
      <c r="J447" s="1" t="s">
        <v>37</v>
      </c>
      <c r="K447" s="1" t="s">
        <v>1368</v>
      </c>
      <c r="L447" s="1" t="s">
        <v>20</v>
      </c>
      <c r="M447" s="1" t="s">
        <v>1634</v>
      </c>
      <c r="N447" s="1" t="str">
        <f t="shared" si="6"/>
        <v>IRON SANTOS</v>
      </c>
    </row>
    <row r="448" spans="1:14" x14ac:dyDescent="0.3">
      <c r="A448" s="1">
        <v>703938</v>
      </c>
      <c r="B448" s="1" t="s">
        <v>481</v>
      </c>
      <c r="C448" s="5" t="s">
        <v>15</v>
      </c>
      <c r="D448" s="2">
        <v>45089</v>
      </c>
      <c r="E448" s="1" t="s">
        <v>60</v>
      </c>
      <c r="F448" s="1">
        <v>52104</v>
      </c>
      <c r="G448" s="1" t="s">
        <v>17</v>
      </c>
      <c r="H448" s="1" t="s">
        <v>18</v>
      </c>
      <c r="J448" s="1" t="s">
        <v>19</v>
      </c>
      <c r="K448" s="1" t="s">
        <v>1368</v>
      </c>
      <c r="L448" s="1" t="s">
        <v>20</v>
      </c>
      <c r="M448" s="1" t="s">
        <v>1632</v>
      </c>
      <c r="N448" s="1" t="str">
        <f t="shared" si="6"/>
        <v>THIAGO MARCOS</v>
      </c>
    </row>
    <row r="449" spans="1:14" x14ac:dyDescent="0.3">
      <c r="A449" s="1">
        <v>705601</v>
      </c>
      <c r="B449" s="1" t="s">
        <v>1358</v>
      </c>
      <c r="C449" s="5" t="s">
        <v>15</v>
      </c>
      <c r="D449" s="2">
        <v>45902</v>
      </c>
      <c r="E449" s="1" t="s">
        <v>1359</v>
      </c>
      <c r="F449" s="1">
        <v>38101</v>
      </c>
      <c r="G449" s="1" t="s">
        <v>35</v>
      </c>
      <c r="H449" s="1" t="s">
        <v>18</v>
      </c>
      <c r="J449" s="1" t="s">
        <v>36</v>
      </c>
      <c r="K449" s="1" t="s">
        <v>1372</v>
      </c>
      <c r="L449" s="1" t="s">
        <v>1373</v>
      </c>
      <c r="M449" s="1" t="s">
        <v>1373</v>
      </c>
      <c r="N449" s="1" t="str">
        <f t="shared" si="6"/>
        <v>DENIS ACASSIO</v>
      </c>
    </row>
    <row r="450" spans="1:14" x14ac:dyDescent="0.3">
      <c r="A450" s="1">
        <v>705547</v>
      </c>
      <c r="B450" s="1" t="s">
        <v>1342</v>
      </c>
      <c r="C450" s="5" t="s">
        <v>15</v>
      </c>
      <c r="D450" s="2">
        <v>45881</v>
      </c>
      <c r="E450" s="1" t="s">
        <v>1553</v>
      </c>
      <c r="F450" s="1">
        <v>34201</v>
      </c>
      <c r="G450" s="1" t="s">
        <v>84</v>
      </c>
      <c r="H450" s="1" t="s">
        <v>18</v>
      </c>
      <c r="J450" s="1" t="s">
        <v>85</v>
      </c>
      <c r="K450" s="1" t="s">
        <v>1371</v>
      </c>
      <c r="L450" s="1" t="s">
        <v>1380</v>
      </c>
      <c r="M450" s="1" t="s">
        <v>1380</v>
      </c>
      <c r="N450" s="1" t="str">
        <f t="shared" si="6"/>
        <v xml:space="preserve">LEONARDO SANTOS </v>
      </c>
    </row>
    <row r="451" spans="1:14" x14ac:dyDescent="0.3">
      <c r="A451" s="1">
        <v>704872</v>
      </c>
      <c r="B451" s="1" t="s">
        <v>482</v>
      </c>
      <c r="C451" s="5" t="s">
        <v>15</v>
      </c>
      <c r="D451" s="2">
        <v>45573</v>
      </c>
      <c r="E451" s="1" t="s">
        <v>446</v>
      </c>
      <c r="F451" s="1">
        <v>32101</v>
      </c>
      <c r="G451" s="1" t="s">
        <v>23</v>
      </c>
      <c r="H451" s="1" t="s">
        <v>18</v>
      </c>
      <c r="J451" s="1" t="s">
        <v>24</v>
      </c>
      <c r="K451" s="1" t="s">
        <v>25</v>
      </c>
      <c r="L451" s="1" t="s">
        <v>1369</v>
      </c>
      <c r="M451" s="1" t="s">
        <v>1370</v>
      </c>
      <c r="N451" s="1" t="str">
        <f t="shared" ref="N451:N514" si="7">IF(M451&lt;&gt;"", M451, IF(L451&lt;&gt;"", L451, K451))</f>
        <v>JUNIO COSTA</v>
      </c>
    </row>
    <row r="452" spans="1:14" x14ac:dyDescent="0.3">
      <c r="A452" s="1">
        <v>704836</v>
      </c>
      <c r="B452" s="1" t="s">
        <v>483</v>
      </c>
      <c r="C452" s="5" t="s">
        <v>15</v>
      </c>
      <c r="D452" s="2">
        <v>45566</v>
      </c>
      <c r="E452" s="1" t="s">
        <v>27</v>
      </c>
      <c r="F452" s="1">
        <v>39302</v>
      </c>
      <c r="G452" s="1" t="s">
        <v>102</v>
      </c>
      <c r="H452" s="1" t="s">
        <v>18</v>
      </c>
      <c r="J452" s="1" t="s">
        <v>57</v>
      </c>
      <c r="K452" s="1" t="s">
        <v>1371</v>
      </c>
      <c r="L452" s="1" t="s">
        <v>1376</v>
      </c>
      <c r="M452" s="1" t="s">
        <v>1635</v>
      </c>
      <c r="N452" s="1" t="str">
        <f t="shared" si="7"/>
        <v>WARLEY RIBEIRO / EUDES FERNANDES</v>
      </c>
    </row>
    <row r="453" spans="1:14" x14ac:dyDescent="0.3">
      <c r="A453" s="1">
        <v>100753</v>
      </c>
      <c r="B453" s="1" t="s">
        <v>484</v>
      </c>
      <c r="C453" s="5" t="s">
        <v>15</v>
      </c>
      <c r="D453" s="2">
        <v>42179</v>
      </c>
      <c r="E453" s="1" t="s">
        <v>141</v>
      </c>
      <c r="F453" s="1">
        <v>22102</v>
      </c>
      <c r="G453" s="1" t="s">
        <v>68</v>
      </c>
      <c r="H453" s="1" t="s">
        <v>18</v>
      </c>
      <c r="J453" s="1" t="s">
        <v>81</v>
      </c>
      <c r="K453" s="1" t="s">
        <v>1371</v>
      </c>
      <c r="L453" s="1" t="s">
        <v>1509</v>
      </c>
      <c r="M453" s="1" t="s">
        <v>1379</v>
      </c>
      <c r="N453" s="1" t="str">
        <f t="shared" si="7"/>
        <v xml:space="preserve">EDSON/MARCELO LIMA </v>
      </c>
    </row>
    <row r="454" spans="1:14" x14ac:dyDescent="0.3">
      <c r="A454" s="1">
        <v>702692</v>
      </c>
      <c r="B454" s="1" t="s">
        <v>485</v>
      </c>
      <c r="C454" s="5" t="s">
        <v>15</v>
      </c>
      <c r="D454" s="2">
        <v>44537</v>
      </c>
      <c r="E454" s="1" t="s">
        <v>255</v>
      </c>
      <c r="F454" s="1">
        <v>39501</v>
      </c>
      <c r="G454" s="1" t="s">
        <v>28</v>
      </c>
      <c r="H454" s="1" t="s">
        <v>18</v>
      </c>
      <c r="J454" s="1" t="s">
        <v>29</v>
      </c>
      <c r="K454" s="1" t="s">
        <v>1368</v>
      </c>
      <c r="L454" s="1" t="s">
        <v>20</v>
      </c>
      <c r="M454" s="1" t="s">
        <v>1634</v>
      </c>
      <c r="N454" s="1" t="str">
        <f t="shared" si="7"/>
        <v>IRON SANTOS</v>
      </c>
    </row>
    <row r="455" spans="1:14" x14ac:dyDescent="0.3">
      <c r="A455" s="1">
        <v>705367</v>
      </c>
      <c r="B455" s="1" t="s">
        <v>1228</v>
      </c>
      <c r="C455" s="5" t="s">
        <v>15</v>
      </c>
      <c r="D455" s="2">
        <v>45784</v>
      </c>
      <c r="E455" s="1" t="s">
        <v>55</v>
      </c>
      <c r="F455" s="1">
        <v>39304</v>
      </c>
      <c r="G455" s="1" t="s">
        <v>56</v>
      </c>
      <c r="H455" s="1" t="s">
        <v>18</v>
      </c>
      <c r="J455" s="1" t="s">
        <v>57</v>
      </c>
      <c r="K455" s="1" t="s">
        <v>1371</v>
      </c>
      <c r="L455" s="1" t="s">
        <v>1376</v>
      </c>
      <c r="M455" s="1" t="s">
        <v>1635</v>
      </c>
      <c r="N455" s="1" t="str">
        <f t="shared" si="7"/>
        <v>WARLEY RIBEIRO / EUDES FERNANDES</v>
      </c>
    </row>
    <row r="456" spans="1:14" x14ac:dyDescent="0.3">
      <c r="A456" s="1">
        <v>700067</v>
      </c>
      <c r="B456" s="1" t="s">
        <v>486</v>
      </c>
      <c r="C456" s="5" t="s">
        <v>15</v>
      </c>
      <c r="D456" s="2">
        <v>39114</v>
      </c>
      <c r="E456" s="1" t="s">
        <v>158</v>
      </c>
      <c r="F456" s="1">
        <v>15101</v>
      </c>
      <c r="G456" s="1" t="s">
        <v>447</v>
      </c>
      <c r="H456" s="1" t="s">
        <v>18</v>
      </c>
      <c r="J456" s="1" t="s">
        <v>448</v>
      </c>
      <c r="K456" s="1" t="s">
        <v>449</v>
      </c>
      <c r="N456" s="1" t="str">
        <f t="shared" si="7"/>
        <v xml:space="preserve">RAFAEL VIRGENS </v>
      </c>
    </row>
    <row r="457" spans="1:14" x14ac:dyDescent="0.3">
      <c r="A457" s="1">
        <v>704124</v>
      </c>
      <c r="B457" s="1" t="s">
        <v>487</v>
      </c>
      <c r="C457" s="5" t="s">
        <v>15</v>
      </c>
      <c r="D457" s="2">
        <v>45238</v>
      </c>
      <c r="E457" s="1" t="s">
        <v>31</v>
      </c>
      <c r="F457" s="1">
        <v>52104</v>
      </c>
      <c r="G457" s="1" t="s">
        <v>17</v>
      </c>
      <c r="H457" s="1" t="s">
        <v>18</v>
      </c>
      <c r="J457" s="1" t="s">
        <v>19</v>
      </c>
      <c r="K457" s="1" t="s">
        <v>1368</v>
      </c>
      <c r="L457" s="1" t="s">
        <v>20</v>
      </c>
      <c r="M457" s="1" t="s">
        <v>1632</v>
      </c>
      <c r="N457" s="1" t="str">
        <f t="shared" si="7"/>
        <v>THIAGO MARCOS</v>
      </c>
    </row>
    <row r="458" spans="1:14" x14ac:dyDescent="0.3">
      <c r="A458" s="1">
        <v>703843</v>
      </c>
      <c r="B458" s="1" t="s">
        <v>488</v>
      </c>
      <c r="C458" s="5" t="s">
        <v>15</v>
      </c>
      <c r="D458" s="2">
        <v>45054</v>
      </c>
      <c r="E458" s="1" t="s">
        <v>446</v>
      </c>
      <c r="F458" s="1">
        <v>22101</v>
      </c>
      <c r="G458" s="1" t="s">
        <v>122</v>
      </c>
      <c r="H458" s="1" t="s">
        <v>18</v>
      </c>
      <c r="J458" s="1" t="s">
        <v>123</v>
      </c>
      <c r="K458" s="1" t="s">
        <v>124</v>
      </c>
      <c r="N458" s="1" t="str">
        <f t="shared" si="7"/>
        <v>MATHEUS FERNANDES</v>
      </c>
    </row>
    <row r="459" spans="1:14" x14ac:dyDescent="0.3">
      <c r="A459" s="1">
        <v>700103</v>
      </c>
      <c r="B459" s="1" t="s">
        <v>489</v>
      </c>
      <c r="C459" s="5" t="s">
        <v>15</v>
      </c>
      <c r="D459" s="2">
        <v>43164</v>
      </c>
      <c r="E459" s="1" t="s">
        <v>60</v>
      </c>
      <c r="F459" s="1">
        <v>52104</v>
      </c>
      <c r="G459" s="1" t="s">
        <v>17</v>
      </c>
      <c r="H459" s="1" t="s">
        <v>18</v>
      </c>
      <c r="J459" s="1" t="s">
        <v>37</v>
      </c>
      <c r="K459" s="1" t="s">
        <v>1368</v>
      </c>
      <c r="L459" s="1" t="s">
        <v>20</v>
      </c>
      <c r="M459" s="1" t="s">
        <v>1634</v>
      </c>
      <c r="N459" s="1" t="str">
        <f t="shared" si="7"/>
        <v>IRON SANTOS</v>
      </c>
    </row>
    <row r="460" spans="1:14" x14ac:dyDescent="0.3">
      <c r="A460" s="1">
        <v>702152</v>
      </c>
      <c r="B460" s="1" t="s">
        <v>490</v>
      </c>
      <c r="C460" s="5" t="s">
        <v>15</v>
      </c>
      <c r="D460" s="2">
        <v>44299</v>
      </c>
      <c r="E460" s="1" t="s">
        <v>166</v>
      </c>
      <c r="F460" s="1">
        <v>22102</v>
      </c>
      <c r="G460" s="1" t="s">
        <v>68</v>
      </c>
      <c r="H460" s="1" t="s">
        <v>18</v>
      </c>
      <c r="J460" s="1" t="s">
        <v>167</v>
      </c>
      <c r="K460" s="1" t="s">
        <v>1371</v>
      </c>
      <c r="L460" s="1" t="s">
        <v>1509</v>
      </c>
      <c r="M460" s="1" t="s">
        <v>1636</v>
      </c>
      <c r="N460" s="1" t="str">
        <f t="shared" si="7"/>
        <v>FABIANO DIAS</v>
      </c>
    </row>
    <row r="461" spans="1:14" x14ac:dyDescent="0.3">
      <c r="A461" s="1">
        <v>704377</v>
      </c>
      <c r="B461" s="1" t="s">
        <v>491</v>
      </c>
      <c r="C461" s="5" t="s">
        <v>15</v>
      </c>
      <c r="D461" s="2">
        <v>45384</v>
      </c>
      <c r="E461" s="1" t="s">
        <v>138</v>
      </c>
      <c r="F461" s="1">
        <v>52104</v>
      </c>
      <c r="G461" s="1" t="s">
        <v>17</v>
      </c>
      <c r="H461" s="1" t="s">
        <v>18</v>
      </c>
      <c r="J461" s="1" t="s">
        <v>19</v>
      </c>
      <c r="K461" s="1" t="s">
        <v>1368</v>
      </c>
      <c r="L461" s="1" t="s">
        <v>20</v>
      </c>
      <c r="M461" s="1" t="s">
        <v>1632</v>
      </c>
      <c r="N461" s="1" t="str">
        <f t="shared" si="7"/>
        <v>THIAGO MARCOS</v>
      </c>
    </row>
    <row r="462" spans="1:14" x14ac:dyDescent="0.3">
      <c r="A462" s="1">
        <v>705781</v>
      </c>
      <c r="B462" s="1" t="s">
        <v>1525</v>
      </c>
      <c r="C462" s="5" t="s">
        <v>15</v>
      </c>
      <c r="D462" s="2">
        <v>46029</v>
      </c>
      <c r="E462" s="1" t="s">
        <v>31</v>
      </c>
      <c r="F462" s="1">
        <v>25201</v>
      </c>
      <c r="G462" s="1" t="s">
        <v>89</v>
      </c>
      <c r="H462" s="1" t="s">
        <v>18</v>
      </c>
      <c r="J462" s="1" t="s">
        <v>19</v>
      </c>
      <c r="K462" s="1" t="s">
        <v>1368</v>
      </c>
      <c r="L462" s="1" t="s">
        <v>20</v>
      </c>
      <c r="M462" s="1" t="s">
        <v>1632</v>
      </c>
      <c r="N462" s="1" t="str">
        <f t="shared" si="7"/>
        <v>THIAGO MARCOS</v>
      </c>
    </row>
    <row r="463" spans="1:14" x14ac:dyDescent="0.3">
      <c r="A463" s="1">
        <v>703003</v>
      </c>
      <c r="B463" s="1" t="s">
        <v>492</v>
      </c>
      <c r="C463" s="5" t="s">
        <v>15</v>
      </c>
      <c r="D463" s="2">
        <v>44691</v>
      </c>
      <c r="E463" s="1" t="s">
        <v>16</v>
      </c>
      <c r="F463" s="1">
        <v>38101</v>
      </c>
      <c r="G463" s="1" t="s">
        <v>35</v>
      </c>
      <c r="H463" s="1" t="s">
        <v>18</v>
      </c>
      <c r="J463" s="1" t="s">
        <v>36</v>
      </c>
      <c r="K463" s="1" t="s">
        <v>1372</v>
      </c>
      <c r="L463" s="1" t="s">
        <v>1373</v>
      </c>
      <c r="M463" s="1" t="s">
        <v>1373</v>
      </c>
      <c r="N463" s="1" t="str">
        <f t="shared" si="7"/>
        <v>DENIS ACASSIO</v>
      </c>
    </row>
    <row r="464" spans="1:14" x14ac:dyDescent="0.3">
      <c r="A464" s="1">
        <v>705917</v>
      </c>
      <c r="B464" s="1" t="s">
        <v>1615</v>
      </c>
      <c r="C464" s="5" t="s">
        <v>15</v>
      </c>
      <c r="D464" s="2">
        <v>46091</v>
      </c>
      <c r="E464" s="1" t="s">
        <v>31</v>
      </c>
      <c r="F464" s="1">
        <v>52104</v>
      </c>
      <c r="G464" s="1" t="s">
        <v>17</v>
      </c>
      <c r="H464" s="1" t="s">
        <v>18</v>
      </c>
      <c r="J464" s="1" t="s">
        <v>19</v>
      </c>
      <c r="K464" s="1" t="s">
        <v>1368</v>
      </c>
      <c r="L464" s="1" t="s">
        <v>20</v>
      </c>
      <c r="M464" s="1" t="s">
        <v>1632</v>
      </c>
      <c r="N464" s="1" t="str">
        <f t="shared" si="7"/>
        <v>THIAGO MARCOS</v>
      </c>
    </row>
    <row r="465" spans="1:14" x14ac:dyDescent="0.3">
      <c r="A465" s="1">
        <v>703154</v>
      </c>
      <c r="B465" s="1" t="s">
        <v>493</v>
      </c>
      <c r="C465" s="5" t="s">
        <v>15</v>
      </c>
      <c r="D465" s="2">
        <v>44746</v>
      </c>
      <c r="E465" s="1" t="s">
        <v>138</v>
      </c>
      <c r="F465" s="1">
        <v>22102</v>
      </c>
      <c r="G465" s="1" t="s">
        <v>68</v>
      </c>
      <c r="H465" s="1" t="s">
        <v>18</v>
      </c>
      <c r="J465" s="1" t="s">
        <v>81</v>
      </c>
      <c r="K465" s="1" t="s">
        <v>1371</v>
      </c>
      <c r="L465" s="1" t="s">
        <v>1509</v>
      </c>
      <c r="M465" s="1" t="s">
        <v>1379</v>
      </c>
      <c r="N465" s="1" t="str">
        <f t="shared" si="7"/>
        <v xml:space="preserve">EDSON/MARCELO LIMA </v>
      </c>
    </row>
    <row r="466" spans="1:14" x14ac:dyDescent="0.3">
      <c r="A466" s="1">
        <v>704564</v>
      </c>
      <c r="B466" s="1" t="s">
        <v>494</v>
      </c>
      <c r="C466" s="5" t="s">
        <v>15</v>
      </c>
      <c r="D466" s="2">
        <v>45433</v>
      </c>
      <c r="E466" s="1" t="s">
        <v>217</v>
      </c>
      <c r="F466" s="1">
        <v>39302</v>
      </c>
      <c r="G466" s="1" t="s">
        <v>102</v>
      </c>
      <c r="H466" s="1" t="s">
        <v>18</v>
      </c>
      <c r="J466" s="1" t="s">
        <v>57</v>
      </c>
      <c r="K466" s="1" t="s">
        <v>1371</v>
      </c>
      <c r="L466" s="1" t="s">
        <v>1376</v>
      </c>
      <c r="M466" s="1" t="s">
        <v>1635</v>
      </c>
      <c r="N466" s="1" t="str">
        <f t="shared" si="7"/>
        <v>WARLEY RIBEIRO / EUDES FERNANDES</v>
      </c>
    </row>
    <row r="467" spans="1:14" x14ac:dyDescent="0.3">
      <c r="A467" s="1">
        <v>705507</v>
      </c>
      <c r="B467" s="1" t="s">
        <v>1300</v>
      </c>
      <c r="C467" s="5" t="s">
        <v>15</v>
      </c>
      <c r="D467" s="2">
        <v>45847</v>
      </c>
      <c r="E467" s="1" t="s">
        <v>138</v>
      </c>
      <c r="F467" s="1">
        <v>22102</v>
      </c>
      <c r="G467" s="1" t="s">
        <v>68</v>
      </c>
      <c r="H467" s="1" t="s">
        <v>18</v>
      </c>
      <c r="J467" s="1" t="s">
        <v>81</v>
      </c>
      <c r="K467" s="1" t="s">
        <v>1371</v>
      </c>
      <c r="L467" s="1" t="s">
        <v>1509</v>
      </c>
      <c r="M467" s="1" t="s">
        <v>1379</v>
      </c>
      <c r="N467" s="1" t="str">
        <f t="shared" si="7"/>
        <v xml:space="preserve">EDSON/MARCELO LIMA </v>
      </c>
    </row>
    <row r="468" spans="1:14" x14ac:dyDescent="0.3">
      <c r="A468" s="1">
        <v>705775</v>
      </c>
      <c r="B468" s="1" t="s">
        <v>1025</v>
      </c>
      <c r="C468" s="5" t="s">
        <v>15</v>
      </c>
      <c r="D468" s="2">
        <v>45993</v>
      </c>
      <c r="E468" s="1" t="s">
        <v>129</v>
      </c>
      <c r="F468" s="1">
        <v>31104</v>
      </c>
      <c r="G468" s="1" t="s">
        <v>130</v>
      </c>
      <c r="H468" s="1" t="s">
        <v>18</v>
      </c>
      <c r="J468" s="1" t="s">
        <v>131</v>
      </c>
      <c r="K468" s="1" t="s">
        <v>1381</v>
      </c>
      <c r="N468" s="1" t="str">
        <f t="shared" si="7"/>
        <v>MARCOS OLIVEIRA</v>
      </c>
    </row>
    <row r="469" spans="1:14" x14ac:dyDescent="0.3">
      <c r="A469" s="1">
        <v>701027</v>
      </c>
      <c r="B469" s="1" t="s">
        <v>495</v>
      </c>
      <c r="C469" s="5" t="s">
        <v>15</v>
      </c>
      <c r="D469" s="2">
        <v>43605</v>
      </c>
      <c r="E469" s="1" t="s">
        <v>255</v>
      </c>
      <c r="F469" s="1">
        <v>52104</v>
      </c>
      <c r="G469" s="1" t="s">
        <v>17</v>
      </c>
      <c r="H469" s="1" t="s">
        <v>18</v>
      </c>
      <c r="J469" s="1" t="s">
        <v>19</v>
      </c>
      <c r="K469" s="1" t="s">
        <v>1368</v>
      </c>
      <c r="L469" s="1" t="s">
        <v>20</v>
      </c>
      <c r="M469" s="1" t="s">
        <v>1632</v>
      </c>
      <c r="N469" s="1" t="str">
        <f t="shared" si="7"/>
        <v>THIAGO MARCOS</v>
      </c>
    </row>
    <row r="470" spans="1:14" x14ac:dyDescent="0.3">
      <c r="A470" s="1">
        <v>705715</v>
      </c>
      <c r="B470" s="1" t="s">
        <v>1454</v>
      </c>
      <c r="C470" s="5" t="s">
        <v>15</v>
      </c>
      <c r="D470" s="2">
        <v>45971</v>
      </c>
      <c r="E470" s="1" t="s">
        <v>31</v>
      </c>
      <c r="F470" s="1">
        <v>52104</v>
      </c>
      <c r="G470" s="1" t="s">
        <v>17</v>
      </c>
      <c r="H470" s="1" t="s">
        <v>18</v>
      </c>
      <c r="J470" s="1" t="s">
        <v>19</v>
      </c>
      <c r="K470" s="1" t="s">
        <v>1368</v>
      </c>
      <c r="L470" s="1" t="s">
        <v>20</v>
      </c>
      <c r="M470" s="1" t="s">
        <v>1632</v>
      </c>
      <c r="N470" s="1" t="str">
        <f t="shared" si="7"/>
        <v>THIAGO MARCOS</v>
      </c>
    </row>
    <row r="471" spans="1:14" x14ac:dyDescent="0.3">
      <c r="A471" s="1">
        <v>705546</v>
      </c>
      <c r="B471" s="1" t="s">
        <v>1322</v>
      </c>
      <c r="C471" s="5" t="s">
        <v>15</v>
      </c>
      <c r="D471" s="2">
        <v>45874</v>
      </c>
      <c r="E471" s="1" t="s">
        <v>1179</v>
      </c>
      <c r="F471" s="1">
        <v>21101</v>
      </c>
      <c r="G471" s="1" t="s">
        <v>196</v>
      </c>
      <c r="H471" s="1" t="s">
        <v>18</v>
      </c>
      <c r="J471" s="1" t="s">
        <v>197</v>
      </c>
      <c r="K471" s="1" t="s">
        <v>1508</v>
      </c>
      <c r="N471" s="1" t="str">
        <f t="shared" si="7"/>
        <v xml:space="preserve">CARLOS OLIVEIRA </v>
      </c>
    </row>
    <row r="472" spans="1:14" x14ac:dyDescent="0.3">
      <c r="A472" s="1">
        <v>705751</v>
      </c>
      <c r="B472" s="1" t="s">
        <v>1490</v>
      </c>
      <c r="C472" s="5" t="s">
        <v>92</v>
      </c>
      <c r="D472" s="2">
        <v>45993</v>
      </c>
      <c r="E472" s="1" t="s">
        <v>31</v>
      </c>
      <c r="F472" s="1">
        <v>52104</v>
      </c>
      <c r="G472" s="1" t="s">
        <v>17</v>
      </c>
      <c r="H472" s="1" t="s">
        <v>18</v>
      </c>
      <c r="I472" s="2">
        <v>46082</v>
      </c>
      <c r="J472" s="1" t="s">
        <v>19</v>
      </c>
      <c r="K472" s="1" t="s">
        <v>1368</v>
      </c>
      <c r="L472" s="1" t="s">
        <v>20</v>
      </c>
      <c r="M472" s="1" t="s">
        <v>1632</v>
      </c>
      <c r="N472" s="1" t="str">
        <f t="shared" si="7"/>
        <v>THIAGO MARCOS</v>
      </c>
    </row>
    <row r="473" spans="1:14" x14ac:dyDescent="0.3">
      <c r="A473" s="1">
        <v>704144</v>
      </c>
      <c r="B473" s="1" t="s">
        <v>497</v>
      </c>
      <c r="C473" s="5" t="s">
        <v>15</v>
      </c>
      <c r="D473" s="2">
        <v>45264</v>
      </c>
      <c r="E473" s="1" t="s">
        <v>138</v>
      </c>
      <c r="F473" s="1">
        <v>22102</v>
      </c>
      <c r="G473" s="1" t="s">
        <v>68</v>
      </c>
      <c r="H473" s="1" t="s">
        <v>18</v>
      </c>
      <c r="J473" s="1" t="s">
        <v>81</v>
      </c>
      <c r="K473" s="1" t="s">
        <v>1371</v>
      </c>
      <c r="L473" s="1" t="s">
        <v>1509</v>
      </c>
      <c r="M473" s="1" t="s">
        <v>1379</v>
      </c>
      <c r="N473" s="1" t="str">
        <f t="shared" si="7"/>
        <v xml:space="preserve">EDSON/MARCELO LIMA </v>
      </c>
    </row>
    <row r="474" spans="1:14" x14ac:dyDescent="0.3">
      <c r="A474" s="1">
        <v>704974</v>
      </c>
      <c r="B474" s="1" t="s">
        <v>498</v>
      </c>
      <c r="C474" s="5" t="s">
        <v>15</v>
      </c>
      <c r="D474" s="2">
        <v>45629</v>
      </c>
      <c r="E474" s="1" t="s">
        <v>93</v>
      </c>
      <c r="F474" s="1">
        <v>22102</v>
      </c>
      <c r="G474" s="1" t="s">
        <v>68</v>
      </c>
      <c r="H474" s="1" t="s">
        <v>18</v>
      </c>
      <c r="J474" s="1" t="s">
        <v>94</v>
      </c>
      <c r="K474" s="1" t="s">
        <v>1371</v>
      </c>
      <c r="L474" s="1" t="s">
        <v>1378</v>
      </c>
      <c r="M474" s="1" t="s">
        <v>95</v>
      </c>
      <c r="N474" s="1" t="str">
        <f t="shared" si="7"/>
        <v>LUAN ABADIA</v>
      </c>
    </row>
    <row r="475" spans="1:14" x14ac:dyDescent="0.3">
      <c r="A475" s="1">
        <v>705230</v>
      </c>
      <c r="B475" s="1" t="s">
        <v>1185</v>
      </c>
      <c r="C475" s="5" t="s">
        <v>15</v>
      </c>
      <c r="D475" s="2">
        <v>45755</v>
      </c>
      <c r="E475" s="1" t="s">
        <v>446</v>
      </c>
      <c r="F475" s="1">
        <v>22101</v>
      </c>
      <c r="G475" s="1" t="s">
        <v>122</v>
      </c>
      <c r="H475" s="1" t="s">
        <v>18</v>
      </c>
      <c r="J475" s="1" t="s">
        <v>123</v>
      </c>
      <c r="K475" s="1" t="s">
        <v>124</v>
      </c>
      <c r="N475" s="1" t="str">
        <f t="shared" si="7"/>
        <v>MATHEUS FERNANDES</v>
      </c>
    </row>
    <row r="476" spans="1:14" x14ac:dyDescent="0.3">
      <c r="A476" s="1">
        <v>705921</v>
      </c>
      <c r="B476" s="1" t="s">
        <v>1616</v>
      </c>
      <c r="C476" s="5" t="s">
        <v>15</v>
      </c>
      <c r="D476" s="2">
        <v>46091</v>
      </c>
      <c r="E476" s="1" t="s">
        <v>31</v>
      </c>
      <c r="F476" s="1">
        <v>52104</v>
      </c>
      <c r="G476" s="1" t="s">
        <v>17</v>
      </c>
      <c r="H476" s="1" t="s">
        <v>18</v>
      </c>
      <c r="J476" s="1" t="s">
        <v>19</v>
      </c>
      <c r="K476" s="1" t="s">
        <v>1368</v>
      </c>
      <c r="L476" s="1" t="s">
        <v>20</v>
      </c>
      <c r="M476" s="1" t="s">
        <v>1632</v>
      </c>
      <c r="N476" s="1" t="str">
        <f t="shared" si="7"/>
        <v>THIAGO MARCOS</v>
      </c>
    </row>
    <row r="477" spans="1:14" x14ac:dyDescent="0.3">
      <c r="A477" s="1">
        <v>705640</v>
      </c>
      <c r="B477" s="1" t="s">
        <v>499</v>
      </c>
      <c r="C477" s="5" t="s">
        <v>15</v>
      </c>
      <c r="D477" s="2">
        <v>45937</v>
      </c>
      <c r="E477" s="1" t="s">
        <v>302</v>
      </c>
      <c r="F477" s="1">
        <v>39301</v>
      </c>
      <c r="G477" s="1" t="s">
        <v>73</v>
      </c>
      <c r="H477" s="1" t="s">
        <v>18</v>
      </c>
      <c r="J477" s="1" t="s">
        <v>74</v>
      </c>
      <c r="K477" s="1" t="s">
        <v>1371</v>
      </c>
      <c r="L477" s="1" t="s">
        <v>1376</v>
      </c>
      <c r="M477" s="1" t="s">
        <v>75</v>
      </c>
      <c r="N477" s="1" t="str">
        <f t="shared" si="7"/>
        <v>ISAC NONATO</v>
      </c>
    </row>
    <row r="478" spans="1:14" x14ac:dyDescent="0.3">
      <c r="A478" s="1">
        <v>705749</v>
      </c>
      <c r="B478" s="1" t="s">
        <v>1491</v>
      </c>
      <c r="C478" s="5" t="s">
        <v>15</v>
      </c>
      <c r="D478" s="2">
        <v>45993</v>
      </c>
      <c r="E478" s="1" t="s">
        <v>336</v>
      </c>
      <c r="F478" s="1">
        <v>51219</v>
      </c>
      <c r="G478" s="1" t="s">
        <v>61</v>
      </c>
      <c r="H478" s="1" t="s">
        <v>18</v>
      </c>
      <c r="J478" s="1" t="s">
        <v>19</v>
      </c>
      <c r="K478" s="1" t="s">
        <v>1368</v>
      </c>
      <c r="L478" s="1" t="s">
        <v>20</v>
      </c>
      <c r="M478" s="1" t="s">
        <v>1632</v>
      </c>
      <c r="N478" s="1" t="str">
        <f t="shared" si="7"/>
        <v>THIAGO MARCOS</v>
      </c>
    </row>
    <row r="479" spans="1:14" x14ac:dyDescent="0.3">
      <c r="A479" s="1">
        <v>703456</v>
      </c>
      <c r="B479" s="1" t="s">
        <v>500</v>
      </c>
      <c r="C479" s="5" t="s">
        <v>15</v>
      </c>
      <c r="D479" s="2">
        <v>44881</v>
      </c>
      <c r="E479" s="1" t="s">
        <v>91</v>
      </c>
      <c r="F479" s="1">
        <v>34201</v>
      </c>
      <c r="G479" s="1" t="s">
        <v>84</v>
      </c>
      <c r="H479" s="1" t="s">
        <v>18</v>
      </c>
      <c r="J479" s="1" t="s">
        <v>85</v>
      </c>
      <c r="K479" s="1" t="s">
        <v>1371</v>
      </c>
      <c r="L479" s="1" t="s">
        <v>1380</v>
      </c>
      <c r="M479" s="1" t="s">
        <v>1380</v>
      </c>
      <c r="N479" s="1" t="str">
        <f t="shared" si="7"/>
        <v xml:space="preserve">LEONARDO SANTOS </v>
      </c>
    </row>
    <row r="480" spans="1:14" x14ac:dyDescent="0.3">
      <c r="A480" s="1">
        <v>704529</v>
      </c>
      <c r="B480" s="1" t="s">
        <v>501</v>
      </c>
      <c r="C480" s="5" t="s">
        <v>15</v>
      </c>
      <c r="D480" s="2">
        <v>45420</v>
      </c>
      <c r="E480" s="1" t="s">
        <v>55</v>
      </c>
      <c r="F480" s="1">
        <v>39304</v>
      </c>
      <c r="G480" s="1" t="s">
        <v>56</v>
      </c>
      <c r="H480" s="1" t="s">
        <v>18</v>
      </c>
      <c r="J480" s="1" t="s">
        <v>57</v>
      </c>
      <c r="K480" s="1" t="s">
        <v>1371</v>
      </c>
      <c r="L480" s="1" t="s">
        <v>1376</v>
      </c>
      <c r="M480" s="1" t="s">
        <v>1635</v>
      </c>
      <c r="N480" s="1" t="str">
        <f t="shared" si="7"/>
        <v>WARLEY RIBEIRO / EUDES FERNANDES</v>
      </c>
    </row>
    <row r="481" spans="1:14" x14ac:dyDescent="0.3">
      <c r="A481" s="1">
        <v>705882</v>
      </c>
      <c r="B481" s="1" t="s">
        <v>1554</v>
      </c>
      <c r="C481" s="5" t="s">
        <v>15</v>
      </c>
      <c r="D481" s="2">
        <v>46063</v>
      </c>
      <c r="E481" s="1" t="s">
        <v>138</v>
      </c>
      <c r="F481" s="1">
        <v>52104</v>
      </c>
      <c r="G481" s="1" t="s">
        <v>17</v>
      </c>
      <c r="H481" s="1" t="s">
        <v>18</v>
      </c>
      <c r="J481" s="1" t="s">
        <v>19</v>
      </c>
      <c r="K481" s="1" t="s">
        <v>1368</v>
      </c>
      <c r="L481" s="1" t="s">
        <v>20</v>
      </c>
      <c r="M481" s="1" t="s">
        <v>1632</v>
      </c>
      <c r="N481" s="1" t="str">
        <f t="shared" si="7"/>
        <v>THIAGO MARCOS</v>
      </c>
    </row>
    <row r="482" spans="1:14" x14ac:dyDescent="0.3">
      <c r="A482" s="1">
        <v>703706</v>
      </c>
      <c r="B482" s="1" t="s">
        <v>502</v>
      </c>
      <c r="C482" s="5" t="s">
        <v>15</v>
      </c>
      <c r="D482" s="2">
        <v>45019</v>
      </c>
      <c r="E482" s="1" t="s">
        <v>276</v>
      </c>
      <c r="F482" s="1">
        <v>14101</v>
      </c>
      <c r="G482" s="1" t="s">
        <v>277</v>
      </c>
      <c r="H482" s="1" t="s">
        <v>18</v>
      </c>
      <c r="J482" s="1" t="s">
        <v>278</v>
      </c>
      <c r="K482" s="1" t="s">
        <v>1372</v>
      </c>
      <c r="N482" s="1" t="str">
        <f t="shared" si="7"/>
        <v xml:space="preserve">LEIDJANE MARTINS </v>
      </c>
    </row>
    <row r="483" spans="1:14" x14ac:dyDescent="0.3">
      <c r="A483" s="1">
        <v>705833</v>
      </c>
      <c r="B483" s="1" t="s">
        <v>1555</v>
      </c>
      <c r="C483" s="5" t="s">
        <v>15</v>
      </c>
      <c r="D483" s="2">
        <v>46063</v>
      </c>
      <c r="E483" s="1" t="s">
        <v>31</v>
      </c>
      <c r="F483" s="1">
        <v>52104</v>
      </c>
      <c r="G483" s="1" t="s">
        <v>17</v>
      </c>
      <c r="H483" s="1" t="s">
        <v>18</v>
      </c>
      <c r="J483" s="1" t="s">
        <v>19</v>
      </c>
      <c r="K483" s="1" t="s">
        <v>1368</v>
      </c>
      <c r="L483" s="1" t="s">
        <v>20</v>
      </c>
      <c r="M483" s="1" t="s">
        <v>1632</v>
      </c>
      <c r="N483" s="1" t="str">
        <f t="shared" si="7"/>
        <v>THIAGO MARCOS</v>
      </c>
    </row>
    <row r="484" spans="1:14" x14ac:dyDescent="0.3">
      <c r="A484" s="1">
        <v>704795</v>
      </c>
      <c r="B484" s="1" t="s">
        <v>503</v>
      </c>
      <c r="C484" s="5" t="s">
        <v>15</v>
      </c>
      <c r="D484" s="2">
        <v>45572</v>
      </c>
      <c r="E484" s="1" t="s">
        <v>31</v>
      </c>
      <c r="F484" s="1">
        <v>52104</v>
      </c>
      <c r="G484" s="1" t="s">
        <v>17</v>
      </c>
      <c r="H484" s="1" t="s">
        <v>18</v>
      </c>
      <c r="J484" s="1" t="s">
        <v>19</v>
      </c>
      <c r="K484" s="1" t="s">
        <v>1368</v>
      </c>
      <c r="L484" s="1" t="s">
        <v>20</v>
      </c>
      <c r="M484" s="1" t="s">
        <v>1632</v>
      </c>
      <c r="N484" s="1" t="str">
        <f t="shared" si="7"/>
        <v>THIAGO MARCOS</v>
      </c>
    </row>
    <row r="485" spans="1:14" x14ac:dyDescent="0.3">
      <c r="A485" s="1">
        <v>705224</v>
      </c>
      <c r="B485" s="1" t="s">
        <v>1165</v>
      </c>
      <c r="C485" s="5" t="s">
        <v>15</v>
      </c>
      <c r="D485" s="2">
        <v>45734</v>
      </c>
      <c r="E485" s="1" t="s">
        <v>31</v>
      </c>
      <c r="F485" s="1">
        <v>22102</v>
      </c>
      <c r="G485" s="1" t="s">
        <v>68</v>
      </c>
      <c r="H485" s="1" t="s">
        <v>18</v>
      </c>
      <c r="J485" s="1" t="s">
        <v>167</v>
      </c>
      <c r="K485" s="1" t="s">
        <v>1371</v>
      </c>
      <c r="L485" s="1" t="s">
        <v>1509</v>
      </c>
      <c r="M485" s="1" t="s">
        <v>1636</v>
      </c>
      <c r="N485" s="1" t="str">
        <f t="shared" si="7"/>
        <v>FABIANO DIAS</v>
      </c>
    </row>
    <row r="486" spans="1:14" x14ac:dyDescent="0.3">
      <c r="A486" s="1">
        <v>705793</v>
      </c>
      <c r="B486" s="1" t="s">
        <v>1526</v>
      </c>
      <c r="C486" s="5" t="s">
        <v>15</v>
      </c>
      <c r="D486" s="2">
        <v>46029</v>
      </c>
      <c r="E486" s="1" t="s">
        <v>31</v>
      </c>
      <c r="F486" s="1">
        <v>52104</v>
      </c>
      <c r="G486" s="1" t="s">
        <v>17</v>
      </c>
      <c r="H486" s="1" t="s">
        <v>18</v>
      </c>
      <c r="I486" s="2"/>
      <c r="J486" s="1" t="s">
        <v>19</v>
      </c>
      <c r="K486" s="1" t="s">
        <v>1368</v>
      </c>
      <c r="L486" s="1" t="s">
        <v>20</v>
      </c>
      <c r="M486" s="1" t="s">
        <v>1632</v>
      </c>
      <c r="N486" s="1" t="str">
        <f t="shared" si="7"/>
        <v>THIAGO MARCOS</v>
      </c>
    </row>
    <row r="487" spans="1:14" x14ac:dyDescent="0.3">
      <c r="A487" s="1">
        <v>703495</v>
      </c>
      <c r="B487" s="1" t="s">
        <v>505</v>
      </c>
      <c r="C487" s="5" t="s">
        <v>15</v>
      </c>
      <c r="D487" s="2">
        <v>44887</v>
      </c>
      <c r="E487" s="1" t="s">
        <v>1556</v>
      </c>
      <c r="F487" s="1">
        <v>37101</v>
      </c>
      <c r="G487" s="1" t="s">
        <v>214</v>
      </c>
      <c r="H487" s="1" t="s">
        <v>18</v>
      </c>
      <c r="J487" s="1" t="s">
        <v>239</v>
      </c>
      <c r="K487" s="1" t="s">
        <v>216</v>
      </c>
      <c r="N487" s="1" t="str">
        <f t="shared" si="7"/>
        <v>CARSON NEVES</v>
      </c>
    </row>
    <row r="488" spans="1:14" x14ac:dyDescent="0.3">
      <c r="A488" s="1">
        <v>705066</v>
      </c>
      <c r="B488" s="1" t="s">
        <v>506</v>
      </c>
      <c r="C488" s="5" t="s">
        <v>15</v>
      </c>
      <c r="D488" s="2">
        <v>45670</v>
      </c>
      <c r="E488" s="1" t="s">
        <v>31</v>
      </c>
      <c r="F488" s="1">
        <v>25201</v>
      </c>
      <c r="G488" s="1" t="s">
        <v>89</v>
      </c>
      <c r="H488" s="1" t="s">
        <v>18</v>
      </c>
      <c r="J488" s="1" t="s">
        <v>37</v>
      </c>
      <c r="K488" s="1" t="s">
        <v>1368</v>
      </c>
      <c r="L488" s="1" t="s">
        <v>20</v>
      </c>
      <c r="M488" s="1" t="s">
        <v>1634</v>
      </c>
      <c r="N488" s="1" t="str">
        <f t="shared" si="7"/>
        <v>IRON SANTOS</v>
      </c>
    </row>
    <row r="489" spans="1:14" x14ac:dyDescent="0.3">
      <c r="A489" s="1">
        <v>701476</v>
      </c>
      <c r="B489" s="1" t="s">
        <v>509</v>
      </c>
      <c r="C489" s="5" t="s">
        <v>15</v>
      </c>
      <c r="D489" s="2">
        <v>41400</v>
      </c>
      <c r="E489" s="1" t="s">
        <v>105</v>
      </c>
      <c r="F489" s="1">
        <v>22102</v>
      </c>
      <c r="G489" s="1" t="s">
        <v>68</v>
      </c>
      <c r="H489" s="1" t="s">
        <v>18</v>
      </c>
      <c r="J489" s="1" t="s">
        <v>167</v>
      </c>
      <c r="K489" s="1" t="s">
        <v>1371</v>
      </c>
      <c r="L489" s="1" t="s">
        <v>1509</v>
      </c>
      <c r="M489" s="1" t="s">
        <v>1636</v>
      </c>
      <c r="N489" s="1" t="str">
        <f t="shared" si="7"/>
        <v>FABIANO DIAS</v>
      </c>
    </row>
    <row r="490" spans="1:14" x14ac:dyDescent="0.3">
      <c r="A490" s="1">
        <v>101347</v>
      </c>
      <c r="B490" s="1" t="s">
        <v>510</v>
      </c>
      <c r="C490" s="5" t="s">
        <v>15</v>
      </c>
      <c r="D490" s="2">
        <v>42905</v>
      </c>
      <c r="E490" s="1" t="s">
        <v>276</v>
      </c>
      <c r="F490" s="1">
        <v>14101</v>
      </c>
      <c r="G490" s="1" t="s">
        <v>277</v>
      </c>
      <c r="H490" s="1" t="s">
        <v>18</v>
      </c>
      <c r="J490" s="1" t="s">
        <v>278</v>
      </c>
      <c r="K490" s="1" t="s">
        <v>1372</v>
      </c>
      <c r="N490" s="1" t="str">
        <f t="shared" si="7"/>
        <v xml:space="preserve">LEIDJANE MARTINS </v>
      </c>
    </row>
    <row r="491" spans="1:14" x14ac:dyDescent="0.3">
      <c r="A491" s="1">
        <v>703009</v>
      </c>
      <c r="B491" s="1" t="s">
        <v>1042</v>
      </c>
      <c r="C491" s="5" t="s">
        <v>15</v>
      </c>
      <c r="D491" s="2">
        <v>44691</v>
      </c>
      <c r="E491" s="1" t="s">
        <v>457</v>
      </c>
      <c r="F491" s="1">
        <v>22102</v>
      </c>
      <c r="G491" s="1" t="s">
        <v>68</v>
      </c>
      <c r="H491" s="1" t="s">
        <v>18</v>
      </c>
      <c r="J491" s="1" t="s">
        <v>81</v>
      </c>
      <c r="K491" s="1" t="s">
        <v>1371</v>
      </c>
      <c r="L491" s="1" t="s">
        <v>1509</v>
      </c>
      <c r="M491" s="1" t="s">
        <v>1379</v>
      </c>
      <c r="N491" s="1" t="str">
        <f t="shared" si="7"/>
        <v xml:space="preserve">EDSON/MARCELO LIMA </v>
      </c>
    </row>
    <row r="492" spans="1:14" x14ac:dyDescent="0.3">
      <c r="A492" s="1">
        <v>705909</v>
      </c>
      <c r="B492" s="1" t="s">
        <v>1617</v>
      </c>
      <c r="C492" s="5" t="s">
        <v>15</v>
      </c>
      <c r="D492" s="2">
        <v>46091</v>
      </c>
      <c r="E492" s="1" t="s">
        <v>31</v>
      </c>
      <c r="F492" s="1">
        <v>52104</v>
      </c>
      <c r="G492" s="1" t="s">
        <v>17</v>
      </c>
      <c r="H492" s="1" t="s">
        <v>18</v>
      </c>
      <c r="J492" s="1" t="s">
        <v>19</v>
      </c>
      <c r="K492" s="1" t="s">
        <v>1368</v>
      </c>
      <c r="L492" s="1" t="s">
        <v>20</v>
      </c>
      <c r="M492" s="1" t="s">
        <v>1632</v>
      </c>
      <c r="N492" s="1" t="str">
        <f t="shared" si="7"/>
        <v>THIAGO MARCOS</v>
      </c>
    </row>
    <row r="493" spans="1:14" x14ac:dyDescent="0.3">
      <c r="A493" s="1">
        <v>704940</v>
      </c>
      <c r="B493" s="1" t="s">
        <v>512</v>
      </c>
      <c r="C493" s="5" t="s">
        <v>15</v>
      </c>
      <c r="D493" s="2">
        <v>45607</v>
      </c>
      <c r="E493" s="1" t="s">
        <v>31</v>
      </c>
      <c r="F493" s="1">
        <v>22102</v>
      </c>
      <c r="G493" s="1" t="s">
        <v>68</v>
      </c>
      <c r="H493" s="1" t="s">
        <v>18</v>
      </c>
      <c r="J493" s="1" t="s">
        <v>81</v>
      </c>
      <c r="K493" s="1" t="s">
        <v>1371</v>
      </c>
      <c r="L493" s="1" t="s">
        <v>1509</v>
      </c>
      <c r="M493" s="1" t="s">
        <v>1379</v>
      </c>
      <c r="N493" s="1" t="str">
        <f t="shared" si="7"/>
        <v xml:space="preserve">EDSON/MARCELO LIMA </v>
      </c>
    </row>
    <row r="494" spans="1:14" x14ac:dyDescent="0.3">
      <c r="A494" s="1">
        <v>705222</v>
      </c>
      <c r="B494" s="1" t="s">
        <v>1166</v>
      </c>
      <c r="C494" s="5" t="s">
        <v>15</v>
      </c>
      <c r="D494" s="2">
        <v>45734</v>
      </c>
      <c r="E494" s="1" t="s">
        <v>31</v>
      </c>
      <c r="F494" s="1">
        <v>22101</v>
      </c>
      <c r="G494" s="1" t="s">
        <v>122</v>
      </c>
      <c r="H494" s="1" t="s">
        <v>18</v>
      </c>
      <c r="J494" s="1" t="s">
        <v>167</v>
      </c>
      <c r="K494" s="1" t="s">
        <v>1371</v>
      </c>
      <c r="L494" s="1" t="s">
        <v>1509</v>
      </c>
      <c r="M494" s="1" t="s">
        <v>1636</v>
      </c>
      <c r="N494" s="1" t="str">
        <f t="shared" si="7"/>
        <v>FABIANO DIAS</v>
      </c>
    </row>
    <row r="495" spans="1:14" x14ac:dyDescent="0.3">
      <c r="A495" s="1">
        <v>704359</v>
      </c>
      <c r="B495" s="1" t="s">
        <v>513</v>
      </c>
      <c r="C495" s="5" t="s">
        <v>15</v>
      </c>
      <c r="D495" s="2">
        <v>45384</v>
      </c>
      <c r="E495" s="1" t="s">
        <v>91</v>
      </c>
      <c r="F495" s="1">
        <v>34201</v>
      </c>
      <c r="G495" s="1" t="s">
        <v>84</v>
      </c>
      <c r="H495" s="1" t="s">
        <v>18</v>
      </c>
      <c r="I495" s="2">
        <v>46082</v>
      </c>
      <c r="J495" s="1" t="s">
        <v>85</v>
      </c>
      <c r="K495" s="1" t="s">
        <v>1371</v>
      </c>
      <c r="L495" s="1" t="s">
        <v>1380</v>
      </c>
      <c r="M495" s="1" t="s">
        <v>1380</v>
      </c>
      <c r="N495" s="1" t="str">
        <f t="shared" si="7"/>
        <v xml:space="preserve">LEONARDO SANTOS </v>
      </c>
    </row>
    <row r="496" spans="1:14" x14ac:dyDescent="0.3">
      <c r="A496" s="1">
        <v>701016</v>
      </c>
      <c r="B496" s="1" t="s">
        <v>514</v>
      </c>
      <c r="C496" s="5" t="s">
        <v>15</v>
      </c>
      <c r="D496" s="2">
        <v>41764</v>
      </c>
      <c r="E496" s="1" t="s">
        <v>515</v>
      </c>
      <c r="F496" s="1">
        <v>22102</v>
      </c>
      <c r="G496" s="1" t="s">
        <v>68</v>
      </c>
      <c r="H496" s="1" t="s">
        <v>18</v>
      </c>
      <c r="J496" s="1" t="s">
        <v>81</v>
      </c>
      <c r="K496" s="1" t="s">
        <v>1371</v>
      </c>
      <c r="L496" s="1" t="s">
        <v>1509</v>
      </c>
      <c r="M496" s="1" t="s">
        <v>1379</v>
      </c>
      <c r="N496" s="1" t="str">
        <f t="shared" si="7"/>
        <v xml:space="preserve">EDSON/MARCELO LIMA </v>
      </c>
    </row>
    <row r="497" spans="1:14" x14ac:dyDescent="0.3">
      <c r="A497" s="1">
        <v>703285</v>
      </c>
      <c r="B497" s="1" t="s">
        <v>516</v>
      </c>
      <c r="C497" s="5" t="s">
        <v>15</v>
      </c>
      <c r="D497" s="2">
        <v>44788</v>
      </c>
      <c r="E497" s="1" t="s">
        <v>185</v>
      </c>
      <c r="F497" s="1">
        <v>33101</v>
      </c>
      <c r="G497" s="1" t="s">
        <v>186</v>
      </c>
      <c r="H497" s="1" t="s">
        <v>18</v>
      </c>
      <c r="J497" s="1" t="s">
        <v>44</v>
      </c>
      <c r="K497" s="1" t="s">
        <v>25</v>
      </c>
      <c r="L497" s="1" t="s">
        <v>1385</v>
      </c>
      <c r="N497" s="1" t="str">
        <f t="shared" si="7"/>
        <v>TALLES RYAN</v>
      </c>
    </row>
    <row r="498" spans="1:14" x14ac:dyDescent="0.3">
      <c r="A498" s="1">
        <v>705918</v>
      </c>
      <c r="B498" s="1" t="s">
        <v>1618</v>
      </c>
      <c r="C498" s="5" t="s">
        <v>15</v>
      </c>
      <c r="D498" s="2">
        <v>46091</v>
      </c>
      <c r="E498" s="1" t="s">
        <v>31</v>
      </c>
      <c r="F498" s="1">
        <v>52104</v>
      </c>
      <c r="G498" s="1" t="s">
        <v>17</v>
      </c>
      <c r="H498" s="1" t="s">
        <v>18</v>
      </c>
      <c r="J498" s="1" t="s">
        <v>19</v>
      </c>
      <c r="K498" s="1" t="s">
        <v>1368</v>
      </c>
      <c r="L498" s="1" t="s">
        <v>20</v>
      </c>
      <c r="M498" s="1" t="s">
        <v>1632</v>
      </c>
      <c r="N498" s="1" t="str">
        <f t="shared" si="7"/>
        <v>THIAGO MARCOS</v>
      </c>
    </row>
    <row r="499" spans="1:14" x14ac:dyDescent="0.3">
      <c r="A499" s="1">
        <v>101445</v>
      </c>
      <c r="B499" s="1" t="s">
        <v>517</v>
      </c>
      <c r="C499" s="5" t="s">
        <v>15</v>
      </c>
      <c r="D499" s="2">
        <v>42954</v>
      </c>
      <c r="E499" s="1" t="s">
        <v>160</v>
      </c>
      <c r="F499" s="1">
        <v>32101</v>
      </c>
      <c r="G499" s="1" t="s">
        <v>23</v>
      </c>
      <c r="H499" s="1" t="s">
        <v>18</v>
      </c>
      <c r="J499" s="1" t="s">
        <v>24</v>
      </c>
      <c r="K499" s="1" t="s">
        <v>25</v>
      </c>
      <c r="L499" s="1" t="s">
        <v>1369</v>
      </c>
      <c r="M499" s="1" t="s">
        <v>1370</v>
      </c>
      <c r="N499" s="1" t="str">
        <f t="shared" si="7"/>
        <v>JUNIO COSTA</v>
      </c>
    </row>
    <row r="500" spans="1:14" x14ac:dyDescent="0.3">
      <c r="A500" s="1">
        <v>702675</v>
      </c>
      <c r="B500" s="1" t="s">
        <v>518</v>
      </c>
      <c r="C500" s="5" t="s">
        <v>15</v>
      </c>
      <c r="D500" s="2">
        <v>44517</v>
      </c>
      <c r="E500" s="1" t="s">
        <v>166</v>
      </c>
      <c r="F500" s="1">
        <v>22102</v>
      </c>
      <c r="G500" s="1" t="s">
        <v>68</v>
      </c>
      <c r="H500" s="1" t="s">
        <v>18</v>
      </c>
      <c r="J500" s="1" t="s">
        <v>69</v>
      </c>
      <c r="K500" s="1" t="s">
        <v>1371</v>
      </c>
      <c r="L500" s="1" t="s">
        <v>1378</v>
      </c>
      <c r="N500" s="1" t="str">
        <f t="shared" si="7"/>
        <v xml:space="preserve">JOÃO KOMURA </v>
      </c>
    </row>
    <row r="501" spans="1:14" x14ac:dyDescent="0.3">
      <c r="A501" s="1">
        <v>704179</v>
      </c>
      <c r="B501" s="1" t="s">
        <v>519</v>
      </c>
      <c r="C501" s="5" t="s">
        <v>15</v>
      </c>
      <c r="D501" s="2">
        <v>45300</v>
      </c>
      <c r="E501" s="1" t="s">
        <v>67</v>
      </c>
      <c r="F501" s="1">
        <v>22102</v>
      </c>
      <c r="G501" s="1" t="s">
        <v>68</v>
      </c>
      <c r="H501" s="1" t="s">
        <v>18</v>
      </c>
      <c r="J501" s="1" t="s">
        <v>94</v>
      </c>
      <c r="K501" s="1" t="s">
        <v>1371</v>
      </c>
      <c r="L501" s="1" t="s">
        <v>1378</v>
      </c>
      <c r="M501" s="1" t="s">
        <v>95</v>
      </c>
      <c r="N501" s="1" t="str">
        <f t="shared" si="7"/>
        <v>LUAN ABADIA</v>
      </c>
    </row>
    <row r="502" spans="1:14" x14ac:dyDescent="0.3">
      <c r="A502" s="1">
        <v>705062</v>
      </c>
      <c r="B502" s="1" t="s">
        <v>520</v>
      </c>
      <c r="C502" s="5" t="s">
        <v>15</v>
      </c>
      <c r="D502" s="2">
        <v>45664</v>
      </c>
      <c r="E502" s="1" t="s">
        <v>138</v>
      </c>
      <c r="F502" s="1">
        <v>22102</v>
      </c>
      <c r="G502" s="1" t="s">
        <v>68</v>
      </c>
      <c r="H502" s="1" t="s">
        <v>18</v>
      </c>
      <c r="J502" s="1" t="s">
        <v>142</v>
      </c>
      <c r="K502" s="1" t="s">
        <v>1371</v>
      </c>
      <c r="L502" s="1" t="s">
        <v>1509</v>
      </c>
      <c r="M502" s="1" t="s">
        <v>1633</v>
      </c>
      <c r="N502" s="1" t="str">
        <f t="shared" si="7"/>
        <v>CRISTIANO BARBOSA</v>
      </c>
    </row>
    <row r="503" spans="1:14" x14ac:dyDescent="0.3">
      <c r="A503" s="1">
        <v>703682</v>
      </c>
      <c r="B503" s="1" t="s">
        <v>521</v>
      </c>
      <c r="C503" s="5" t="s">
        <v>15</v>
      </c>
      <c r="D503" s="2">
        <v>45019</v>
      </c>
      <c r="E503" s="1" t="s">
        <v>109</v>
      </c>
      <c r="F503" s="1">
        <v>32101</v>
      </c>
      <c r="G503" s="1" t="s">
        <v>23</v>
      </c>
      <c r="H503" s="1" t="s">
        <v>18</v>
      </c>
      <c r="J503" s="1" t="s">
        <v>24</v>
      </c>
      <c r="K503" s="1" t="s">
        <v>25</v>
      </c>
      <c r="L503" s="1" t="s">
        <v>1369</v>
      </c>
      <c r="M503" s="1" t="s">
        <v>1370</v>
      </c>
      <c r="N503" s="1" t="str">
        <f t="shared" si="7"/>
        <v>JUNIO COSTA</v>
      </c>
    </row>
    <row r="504" spans="1:14" x14ac:dyDescent="0.3">
      <c r="A504" s="1">
        <v>705575</v>
      </c>
      <c r="B504" s="1" t="s">
        <v>1323</v>
      </c>
      <c r="C504" s="5" t="s">
        <v>15</v>
      </c>
      <c r="D504" s="2">
        <v>45874</v>
      </c>
      <c r="E504" s="1" t="s">
        <v>138</v>
      </c>
      <c r="F504" s="1">
        <v>22102</v>
      </c>
      <c r="G504" s="1" t="s">
        <v>68</v>
      </c>
      <c r="H504" s="1" t="s">
        <v>18</v>
      </c>
      <c r="J504" s="1" t="s">
        <v>81</v>
      </c>
      <c r="K504" s="1" t="s">
        <v>1371</v>
      </c>
      <c r="L504" s="1" t="s">
        <v>1509</v>
      </c>
      <c r="M504" s="1" t="s">
        <v>1379</v>
      </c>
      <c r="N504" s="1" t="str">
        <f t="shared" si="7"/>
        <v xml:space="preserve">EDSON/MARCELO LIMA </v>
      </c>
    </row>
    <row r="505" spans="1:14" x14ac:dyDescent="0.3">
      <c r="A505" s="1">
        <v>705895</v>
      </c>
      <c r="B505" s="1" t="s">
        <v>1619</v>
      </c>
      <c r="C505" s="5" t="s">
        <v>15</v>
      </c>
      <c r="D505" s="2">
        <v>46091</v>
      </c>
      <c r="E505" s="1" t="s">
        <v>1620</v>
      </c>
      <c r="F505" s="1">
        <v>37101</v>
      </c>
      <c r="G505" s="1" t="s">
        <v>214</v>
      </c>
      <c r="H505" s="1" t="s">
        <v>18</v>
      </c>
      <c r="J505" s="1" t="s">
        <v>239</v>
      </c>
      <c r="K505" s="1" t="s">
        <v>216</v>
      </c>
      <c r="N505" s="1" t="str">
        <f t="shared" si="7"/>
        <v>CARSON NEVES</v>
      </c>
    </row>
    <row r="506" spans="1:14" x14ac:dyDescent="0.3">
      <c r="A506" s="1">
        <v>705808</v>
      </c>
      <c r="B506" s="1" t="s">
        <v>1529</v>
      </c>
      <c r="C506" s="5" t="s">
        <v>15</v>
      </c>
      <c r="D506" s="2">
        <v>46035</v>
      </c>
      <c r="E506" s="1" t="s">
        <v>31</v>
      </c>
      <c r="F506" s="1">
        <v>52104</v>
      </c>
      <c r="G506" s="1" t="s">
        <v>17</v>
      </c>
      <c r="H506" s="1" t="s">
        <v>18</v>
      </c>
      <c r="J506" s="1" t="s">
        <v>19</v>
      </c>
      <c r="K506" s="1" t="s">
        <v>1368</v>
      </c>
      <c r="L506" s="1" t="s">
        <v>20</v>
      </c>
      <c r="M506" s="1" t="s">
        <v>1632</v>
      </c>
      <c r="N506" s="1" t="str">
        <f t="shared" si="7"/>
        <v>THIAGO MARCOS</v>
      </c>
    </row>
    <row r="507" spans="1:14" x14ac:dyDescent="0.3">
      <c r="A507" s="1">
        <v>704741</v>
      </c>
      <c r="B507" s="1" t="s">
        <v>522</v>
      </c>
      <c r="C507" s="5" t="s">
        <v>15</v>
      </c>
      <c r="D507" s="2">
        <v>45538</v>
      </c>
      <c r="E507" s="1" t="s">
        <v>87</v>
      </c>
      <c r="F507" s="1">
        <v>33301</v>
      </c>
      <c r="G507" s="1" t="s">
        <v>64</v>
      </c>
      <c r="H507" s="1" t="s">
        <v>18</v>
      </c>
      <c r="J507" s="1" t="s">
        <v>65</v>
      </c>
      <c r="K507" s="1" t="s">
        <v>25</v>
      </c>
      <c r="L507" s="1" t="s">
        <v>1375</v>
      </c>
      <c r="N507" s="1" t="str">
        <f t="shared" si="7"/>
        <v>ANDRÉ CUBA</v>
      </c>
    </row>
    <row r="508" spans="1:14" x14ac:dyDescent="0.3">
      <c r="A508" s="1">
        <v>703016</v>
      </c>
      <c r="B508" s="1" t="s">
        <v>523</v>
      </c>
      <c r="C508" s="5" t="s">
        <v>15</v>
      </c>
      <c r="D508" s="2">
        <v>44691</v>
      </c>
      <c r="E508" s="1" t="s">
        <v>60</v>
      </c>
      <c r="F508" s="1">
        <v>22102</v>
      </c>
      <c r="G508" s="1" t="s">
        <v>68</v>
      </c>
      <c r="H508" s="1" t="s">
        <v>18</v>
      </c>
      <c r="J508" s="1" t="s">
        <v>81</v>
      </c>
      <c r="K508" s="1" t="s">
        <v>1371</v>
      </c>
      <c r="L508" s="1" t="s">
        <v>1509</v>
      </c>
      <c r="M508" s="1" t="s">
        <v>1379</v>
      </c>
      <c r="N508" s="1" t="str">
        <f t="shared" si="7"/>
        <v xml:space="preserve">EDSON/MARCELO LIMA </v>
      </c>
    </row>
    <row r="509" spans="1:14" x14ac:dyDescent="0.3">
      <c r="A509" s="1">
        <v>705706</v>
      </c>
      <c r="B509" s="1" t="s">
        <v>524</v>
      </c>
      <c r="C509" s="5" t="s">
        <v>15</v>
      </c>
      <c r="D509" s="2">
        <v>45971</v>
      </c>
      <c r="E509" s="1" t="s">
        <v>31</v>
      </c>
      <c r="F509" s="1">
        <v>52104</v>
      </c>
      <c r="G509" s="1" t="s">
        <v>17</v>
      </c>
      <c r="H509" s="1" t="s">
        <v>18</v>
      </c>
      <c r="J509" s="1" t="s">
        <v>19</v>
      </c>
      <c r="K509" s="1" t="s">
        <v>1368</v>
      </c>
      <c r="L509" s="1" t="s">
        <v>20</v>
      </c>
      <c r="M509" s="1" t="s">
        <v>1632</v>
      </c>
      <c r="N509" s="1" t="str">
        <f t="shared" si="7"/>
        <v>THIAGO MARCOS</v>
      </c>
    </row>
    <row r="510" spans="1:14" x14ac:dyDescent="0.3">
      <c r="A510" s="1">
        <v>704646</v>
      </c>
      <c r="B510" s="1" t="s">
        <v>525</v>
      </c>
      <c r="C510" s="5" t="s">
        <v>15</v>
      </c>
      <c r="D510" s="2">
        <v>45476</v>
      </c>
      <c r="E510" s="1" t="s">
        <v>27</v>
      </c>
      <c r="F510" s="1">
        <v>39304</v>
      </c>
      <c r="G510" s="1" t="s">
        <v>56</v>
      </c>
      <c r="H510" s="1" t="s">
        <v>18</v>
      </c>
      <c r="J510" s="1" t="s">
        <v>57</v>
      </c>
      <c r="K510" s="1" t="s">
        <v>1371</v>
      </c>
      <c r="L510" s="1" t="s">
        <v>1376</v>
      </c>
      <c r="M510" s="1" t="s">
        <v>1635</v>
      </c>
      <c r="N510" s="1" t="str">
        <f t="shared" si="7"/>
        <v>WARLEY RIBEIRO / EUDES FERNANDES</v>
      </c>
    </row>
    <row r="511" spans="1:14" x14ac:dyDescent="0.3">
      <c r="A511" s="1">
        <v>702124</v>
      </c>
      <c r="B511" s="1" t="s">
        <v>526</v>
      </c>
      <c r="C511" s="5" t="s">
        <v>15</v>
      </c>
      <c r="D511" s="2">
        <v>44298</v>
      </c>
      <c r="E511" s="1" t="s">
        <v>292</v>
      </c>
      <c r="F511" s="1">
        <v>39304</v>
      </c>
      <c r="G511" s="1" t="s">
        <v>56</v>
      </c>
      <c r="H511" s="1" t="s">
        <v>18</v>
      </c>
      <c r="J511" s="1" t="s">
        <v>57</v>
      </c>
      <c r="K511" s="1" t="s">
        <v>1371</v>
      </c>
      <c r="L511" s="1" t="s">
        <v>1376</v>
      </c>
      <c r="M511" s="1" t="s">
        <v>1635</v>
      </c>
      <c r="N511" s="1" t="str">
        <f t="shared" si="7"/>
        <v>WARLEY RIBEIRO / EUDES FERNANDES</v>
      </c>
    </row>
    <row r="512" spans="1:14" x14ac:dyDescent="0.3">
      <c r="A512" s="1">
        <v>105712</v>
      </c>
      <c r="B512" s="1" t="s">
        <v>527</v>
      </c>
      <c r="C512" s="5" t="s">
        <v>15</v>
      </c>
      <c r="D512" s="2">
        <v>43136</v>
      </c>
      <c r="E512" s="1" t="s">
        <v>60</v>
      </c>
      <c r="F512" s="1">
        <v>22102</v>
      </c>
      <c r="G512" s="1" t="s">
        <v>68</v>
      </c>
      <c r="H512" s="1" t="s">
        <v>18</v>
      </c>
      <c r="J512" s="1" t="s">
        <v>81</v>
      </c>
      <c r="K512" s="1" t="s">
        <v>1371</v>
      </c>
      <c r="L512" s="1" t="s">
        <v>1509</v>
      </c>
      <c r="M512" s="1" t="s">
        <v>1379</v>
      </c>
      <c r="N512" s="1" t="str">
        <f t="shared" si="7"/>
        <v xml:space="preserve">EDSON/MARCELO LIMA </v>
      </c>
    </row>
    <row r="513" spans="1:14" x14ac:dyDescent="0.3">
      <c r="A513" s="1">
        <v>705510</v>
      </c>
      <c r="B513" s="1" t="s">
        <v>1301</v>
      </c>
      <c r="C513" s="5" t="s">
        <v>15</v>
      </c>
      <c r="D513" s="2">
        <v>45847</v>
      </c>
      <c r="E513" s="1" t="s">
        <v>31</v>
      </c>
      <c r="F513" s="1">
        <v>39301</v>
      </c>
      <c r="G513" s="1" t="s">
        <v>73</v>
      </c>
      <c r="H513" s="1" t="s">
        <v>18</v>
      </c>
      <c r="J513" s="1" t="s">
        <v>74</v>
      </c>
      <c r="K513" s="1" t="s">
        <v>1371</v>
      </c>
      <c r="L513" s="1" t="s">
        <v>1376</v>
      </c>
      <c r="M513" s="1" t="s">
        <v>75</v>
      </c>
      <c r="N513" s="1" t="str">
        <f t="shared" si="7"/>
        <v>ISAC NONATO</v>
      </c>
    </row>
    <row r="514" spans="1:14" x14ac:dyDescent="0.3">
      <c r="A514" s="1">
        <v>705248</v>
      </c>
      <c r="B514" s="1" t="s">
        <v>1186</v>
      </c>
      <c r="C514" s="5" t="s">
        <v>15</v>
      </c>
      <c r="D514" s="2">
        <v>45762</v>
      </c>
      <c r="E514" s="1" t="s">
        <v>31</v>
      </c>
      <c r="F514" s="1">
        <v>39304</v>
      </c>
      <c r="G514" s="1" t="s">
        <v>56</v>
      </c>
      <c r="H514" s="1" t="s">
        <v>18</v>
      </c>
      <c r="J514" s="1" t="s">
        <v>57</v>
      </c>
      <c r="K514" s="1" t="s">
        <v>1371</v>
      </c>
      <c r="L514" s="1" t="s">
        <v>1376</v>
      </c>
      <c r="M514" s="1" t="s">
        <v>1635</v>
      </c>
      <c r="N514" s="1" t="str">
        <f t="shared" si="7"/>
        <v>WARLEY RIBEIRO / EUDES FERNANDES</v>
      </c>
    </row>
    <row r="515" spans="1:14" x14ac:dyDescent="0.3">
      <c r="A515" s="1">
        <v>705403</v>
      </c>
      <c r="B515" s="1" t="s">
        <v>1229</v>
      </c>
      <c r="C515" s="5" t="s">
        <v>15</v>
      </c>
      <c r="D515" s="2">
        <v>45790</v>
      </c>
      <c r="E515" s="1" t="s">
        <v>249</v>
      </c>
      <c r="F515" s="1">
        <v>37101</v>
      </c>
      <c r="G515" s="1" t="s">
        <v>214</v>
      </c>
      <c r="H515" s="1" t="s">
        <v>18</v>
      </c>
      <c r="J515" s="1" t="s">
        <v>239</v>
      </c>
      <c r="K515" s="1" t="s">
        <v>216</v>
      </c>
      <c r="N515" s="1" t="str">
        <f t="shared" ref="N515:N578" si="8">IF(M515&lt;&gt;"", M515, IF(L515&lt;&gt;"", L515, K515))</f>
        <v>CARSON NEVES</v>
      </c>
    </row>
    <row r="516" spans="1:14" x14ac:dyDescent="0.3">
      <c r="A516" s="1">
        <v>705922</v>
      </c>
      <c r="B516" s="1" t="s">
        <v>1621</v>
      </c>
      <c r="C516" s="5" t="s">
        <v>15</v>
      </c>
      <c r="D516" s="2">
        <v>46091</v>
      </c>
      <c r="E516" s="1" t="s">
        <v>31</v>
      </c>
      <c r="F516" s="1">
        <v>52104</v>
      </c>
      <c r="G516" s="1" t="s">
        <v>17</v>
      </c>
      <c r="H516" s="1" t="s">
        <v>18</v>
      </c>
      <c r="J516" s="1" t="s">
        <v>19</v>
      </c>
      <c r="K516" s="1" t="s">
        <v>1368</v>
      </c>
      <c r="L516" s="1" t="s">
        <v>20</v>
      </c>
      <c r="M516" s="1" t="s">
        <v>1632</v>
      </c>
      <c r="N516" s="1" t="str">
        <f t="shared" si="8"/>
        <v>THIAGO MARCOS</v>
      </c>
    </row>
    <row r="517" spans="1:14" x14ac:dyDescent="0.3">
      <c r="A517" s="1">
        <v>705069</v>
      </c>
      <c r="B517" s="1" t="s">
        <v>528</v>
      </c>
      <c r="C517" s="5" t="s">
        <v>15</v>
      </c>
      <c r="D517" s="2">
        <v>45670</v>
      </c>
      <c r="E517" s="1" t="s">
        <v>22</v>
      </c>
      <c r="F517" s="1">
        <v>34101</v>
      </c>
      <c r="G517" s="1" t="s">
        <v>43</v>
      </c>
      <c r="H517" s="1" t="s">
        <v>18</v>
      </c>
      <c r="J517" s="1" t="s">
        <v>237</v>
      </c>
      <c r="K517" s="1" t="s">
        <v>25</v>
      </c>
      <c r="L517" s="1" t="s">
        <v>1384</v>
      </c>
      <c r="N517" s="1" t="str">
        <f t="shared" si="8"/>
        <v xml:space="preserve">MARCOS VINICIUS </v>
      </c>
    </row>
    <row r="518" spans="1:14" x14ac:dyDescent="0.3">
      <c r="A518" s="1">
        <v>705839</v>
      </c>
      <c r="B518" s="1" t="s">
        <v>1557</v>
      </c>
      <c r="C518" s="5" t="s">
        <v>15</v>
      </c>
      <c r="D518" s="2">
        <v>46063</v>
      </c>
      <c r="E518" s="1" t="s">
        <v>31</v>
      </c>
      <c r="F518" s="1">
        <v>52104</v>
      </c>
      <c r="G518" s="1" t="s">
        <v>17</v>
      </c>
      <c r="H518" s="1" t="s">
        <v>18</v>
      </c>
      <c r="J518" s="1" t="s">
        <v>19</v>
      </c>
      <c r="K518" s="1" t="s">
        <v>1368</v>
      </c>
      <c r="L518" s="1" t="s">
        <v>20</v>
      </c>
      <c r="M518" s="1" t="s">
        <v>1632</v>
      </c>
      <c r="N518" s="1" t="str">
        <f t="shared" si="8"/>
        <v>THIAGO MARCOS</v>
      </c>
    </row>
    <row r="519" spans="1:14" x14ac:dyDescent="0.3">
      <c r="A519" s="1">
        <v>703611</v>
      </c>
      <c r="B519" s="1" t="s">
        <v>529</v>
      </c>
      <c r="C519" s="5" t="s">
        <v>15</v>
      </c>
      <c r="D519" s="2">
        <v>44991</v>
      </c>
      <c r="E519" s="1" t="s">
        <v>22</v>
      </c>
      <c r="F519" s="1">
        <v>34101</v>
      </c>
      <c r="G519" s="1" t="s">
        <v>43</v>
      </c>
      <c r="H519" s="1" t="s">
        <v>18</v>
      </c>
      <c r="J519" s="1" t="s">
        <v>237</v>
      </c>
      <c r="K519" s="1" t="s">
        <v>25</v>
      </c>
      <c r="L519" s="1" t="s">
        <v>1384</v>
      </c>
      <c r="N519" s="1" t="str">
        <f t="shared" si="8"/>
        <v xml:space="preserve">MARCOS VINICIUS </v>
      </c>
    </row>
    <row r="520" spans="1:14" x14ac:dyDescent="0.3">
      <c r="A520" s="1">
        <v>705117</v>
      </c>
      <c r="B520" s="1" t="s">
        <v>530</v>
      </c>
      <c r="C520" s="5" t="s">
        <v>15</v>
      </c>
      <c r="D520" s="2">
        <v>45678</v>
      </c>
      <c r="E520" s="1" t="s">
        <v>31</v>
      </c>
      <c r="F520" s="1">
        <v>25201</v>
      </c>
      <c r="G520" s="1" t="s">
        <v>89</v>
      </c>
      <c r="H520" s="1" t="s">
        <v>18</v>
      </c>
      <c r="J520" s="1" t="s">
        <v>37</v>
      </c>
      <c r="K520" s="1" t="s">
        <v>1368</v>
      </c>
      <c r="L520" s="1" t="s">
        <v>20</v>
      </c>
      <c r="M520" s="1" t="s">
        <v>1634</v>
      </c>
      <c r="N520" s="1" t="str">
        <f t="shared" si="8"/>
        <v>IRON SANTOS</v>
      </c>
    </row>
    <row r="521" spans="1:14" x14ac:dyDescent="0.3">
      <c r="A521" s="1">
        <v>100263</v>
      </c>
      <c r="B521" s="1" t="s">
        <v>532</v>
      </c>
      <c r="C521" s="5" t="s">
        <v>15</v>
      </c>
      <c r="D521" s="2">
        <v>41736</v>
      </c>
      <c r="E521" s="1" t="s">
        <v>158</v>
      </c>
      <c r="F521" s="1">
        <v>38101</v>
      </c>
      <c r="G521" s="1" t="s">
        <v>35</v>
      </c>
      <c r="H521" s="1" t="s">
        <v>18</v>
      </c>
      <c r="J521" s="1" t="s">
        <v>36</v>
      </c>
      <c r="K521" s="1" t="s">
        <v>1372</v>
      </c>
      <c r="L521" s="1" t="s">
        <v>1373</v>
      </c>
      <c r="M521" s="1" t="s">
        <v>1373</v>
      </c>
      <c r="N521" s="1" t="str">
        <f t="shared" si="8"/>
        <v>DENIS ACASSIO</v>
      </c>
    </row>
    <row r="522" spans="1:14" x14ac:dyDescent="0.3">
      <c r="A522" s="1">
        <v>705705</v>
      </c>
      <c r="B522" s="1" t="s">
        <v>1455</v>
      </c>
      <c r="C522" s="5" t="s">
        <v>15</v>
      </c>
      <c r="D522" s="2">
        <v>45971</v>
      </c>
      <c r="E522" s="1" t="s">
        <v>31</v>
      </c>
      <c r="F522" s="1">
        <v>52104</v>
      </c>
      <c r="G522" s="1" t="s">
        <v>17</v>
      </c>
      <c r="H522" s="1" t="s">
        <v>18</v>
      </c>
      <c r="J522" s="1" t="s">
        <v>19</v>
      </c>
      <c r="K522" s="1" t="s">
        <v>1368</v>
      </c>
      <c r="L522" s="1" t="s">
        <v>20</v>
      </c>
      <c r="M522" s="1" t="s">
        <v>1632</v>
      </c>
      <c r="N522" s="1" t="str">
        <f t="shared" si="8"/>
        <v>THIAGO MARCOS</v>
      </c>
    </row>
    <row r="523" spans="1:14" x14ac:dyDescent="0.3">
      <c r="A523" s="1">
        <v>705730</v>
      </c>
      <c r="B523" s="1" t="s">
        <v>1456</v>
      </c>
      <c r="C523" s="5" t="s">
        <v>15</v>
      </c>
      <c r="D523" s="2">
        <v>45972</v>
      </c>
      <c r="E523" s="1" t="s">
        <v>31</v>
      </c>
      <c r="F523" s="1">
        <v>52104</v>
      </c>
      <c r="G523" s="1" t="s">
        <v>17</v>
      </c>
      <c r="H523" s="1" t="s">
        <v>18</v>
      </c>
      <c r="J523" s="1" t="s">
        <v>19</v>
      </c>
      <c r="K523" s="1" t="s">
        <v>1368</v>
      </c>
      <c r="L523" s="1" t="s">
        <v>20</v>
      </c>
      <c r="M523" s="1" t="s">
        <v>1632</v>
      </c>
      <c r="N523" s="1" t="str">
        <f t="shared" si="8"/>
        <v>THIAGO MARCOS</v>
      </c>
    </row>
    <row r="524" spans="1:14" x14ac:dyDescent="0.3">
      <c r="A524" s="1">
        <v>100077</v>
      </c>
      <c r="B524" s="1" t="s">
        <v>533</v>
      </c>
      <c r="C524" s="5" t="s">
        <v>15</v>
      </c>
      <c r="D524" s="2">
        <v>40941</v>
      </c>
      <c r="E524" s="1" t="s">
        <v>158</v>
      </c>
      <c r="F524" s="1">
        <v>38101</v>
      </c>
      <c r="G524" s="1" t="s">
        <v>35</v>
      </c>
      <c r="H524" s="1" t="s">
        <v>18</v>
      </c>
      <c r="J524" s="1" t="s">
        <v>36</v>
      </c>
      <c r="K524" s="1" t="s">
        <v>1372</v>
      </c>
      <c r="L524" s="1" t="s">
        <v>1373</v>
      </c>
      <c r="M524" s="1" t="s">
        <v>1373</v>
      </c>
      <c r="N524" s="1" t="str">
        <f t="shared" si="8"/>
        <v>DENIS ACASSIO</v>
      </c>
    </row>
    <row r="525" spans="1:14" x14ac:dyDescent="0.3">
      <c r="A525" s="1">
        <v>704913</v>
      </c>
      <c r="B525" s="1" t="s">
        <v>1072</v>
      </c>
      <c r="C525" s="5" t="s">
        <v>15</v>
      </c>
      <c r="D525" s="2">
        <v>45601</v>
      </c>
      <c r="E525" s="1" t="s">
        <v>129</v>
      </c>
      <c r="F525" s="1">
        <v>31104</v>
      </c>
      <c r="G525" s="1" t="s">
        <v>130</v>
      </c>
      <c r="H525" s="1" t="s">
        <v>18</v>
      </c>
      <c r="J525" s="1" t="s">
        <v>131</v>
      </c>
      <c r="K525" s="1" t="s">
        <v>1381</v>
      </c>
      <c r="N525" s="1" t="str">
        <f t="shared" si="8"/>
        <v>MARCOS OLIVEIRA</v>
      </c>
    </row>
    <row r="526" spans="1:14" x14ac:dyDescent="0.3">
      <c r="A526" s="1">
        <v>705646</v>
      </c>
      <c r="B526" s="1" t="s">
        <v>1413</v>
      </c>
      <c r="C526" s="5" t="s">
        <v>15</v>
      </c>
      <c r="D526" s="2">
        <v>45943</v>
      </c>
      <c r="E526" s="1" t="s">
        <v>392</v>
      </c>
      <c r="F526" s="1">
        <v>12105</v>
      </c>
      <c r="G526" s="1" t="s">
        <v>393</v>
      </c>
      <c r="H526" s="1" t="s">
        <v>18</v>
      </c>
      <c r="J526" s="1" t="s">
        <v>394</v>
      </c>
      <c r="K526" s="1" t="s">
        <v>1386</v>
      </c>
      <c r="N526" s="1" t="str">
        <f t="shared" si="8"/>
        <v>JOÃO GORGULHO</v>
      </c>
    </row>
    <row r="527" spans="1:14" x14ac:dyDescent="0.3">
      <c r="A527" s="1">
        <v>105713</v>
      </c>
      <c r="B527" s="1" t="s">
        <v>534</v>
      </c>
      <c r="C527" s="5" t="s">
        <v>15</v>
      </c>
      <c r="D527" s="2">
        <v>43136</v>
      </c>
      <c r="E527" s="1" t="s">
        <v>1230</v>
      </c>
      <c r="F527" s="1">
        <v>39301</v>
      </c>
      <c r="G527" s="1" t="s">
        <v>73</v>
      </c>
      <c r="H527" s="1" t="s">
        <v>18</v>
      </c>
      <c r="J527" s="1" t="s">
        <v>74</v>
      </c>
      <c r="K527" s="1" t="s">
        <v>1371</v>
      </c>
      <c r="L527" s="1" t="s">
        <v>1376</v>
      </c>
      <c r="M527" s="1" t="s">
        <v>75</v>
      </c>
      <c r="N527" s="1" t="str">
        <f t="shared" si="8"/>
        <v>ISAC NONATO</v>
      </c>
    </row>
    <row r="528" spans="1:14" x14ac:dyDescent="0.3">
      <c r="A528" s="1">
        <v>705320</v>
      </c>
      <c r="B528" s="1" t="s">
        <v>1231</v>
      </c>
      <c r="C528" s="5" t="s">
        <v>92</v>
      </c>
      <c r="D528" s="2">
        <v>45784</v>
      </c>
      <c r="E528" s="1" t="s">
        <v>60</v>
      </c>
      <c r="F528" s="1">
        <v>39309</v>
      </c>
      <c r="G528" s="1" t="s">
        <v>1277</v>
      </c>
      <c r="H528" s="1" t="s">
        <v>18</v>
      </c>
      <c r="I528" s="2">
        <v>46093</v>
      </c>
      <c r="J528" s="1" t="s">
        <v>19</v>
      </c>
      <c r="K528" s="1" t="s">
        <v>1368</v>
      </c>
      <c r="L528" s="1" t="s">
        <v>20</v>
      </c>
      <c r="M528" s="1" t="s">
        <v>1632</v>
      </c>
      <c r="N528" s="1" t="str">
        <f t="shared" si="8"/>
        <v>THIAGO MARCOS</v>
      </c>
    </row>
    <row r="529" spans="1:14" x14ac:dyDescent="0.3">
      <c r="A529" s="1">
        <v>705439</v>
      </c>
      <c r="B529" s="1" t="s">
        <v>535</v>
      </c>
      <c r="C529" s="5" t="s">
        <v>15</v>
      </c>
      <c r="D529" s="2">
        <v>45796</v>
      </c>
      <c r="E529" s="1" t="s">
        <v>185</v>
      </c>
      <c r="F529" s="1">
        <v>33101</v>
      </c>
      <c r="G529" s="1" t="s">
        <v>186</v>
      </c>
      <c r="H529" s="1" t="s">
        <v>18</v>
      </c>
      <c r="J529" s="1" t="s">
        <v>44</v>
      </c>
      <c r="K529" s="1" t="s">
        <v>25</v>
      </c>
      <c r="L529" s="1" t="s">
        <v>1385</v>
      </c>
      <c r="N529" s="1" t="str">
        <f t="shared" si="8"/>
        <v>TALLES RYAN</v>
      </c>
    </row>
    <row r="530" spans="1:14" x14ac:dyDescent="0.3">
      <c r="A530" s="1">
        <v>703960</v>
      </c>
      <c r="B530" s="1" t="s">
        <v>536</v>
      </c>
      <c r="C530" s="5" t="s">
        <v>15</v>
      </c>
      <c r="D530" s="2">
        <v>45111</v>
      </c>
      <c r="E530" s="1" t="s">
        <v>446</v>
      </c>
      <c r="F530" s="1">
        <v>38101</v>
      </c>
      <c r="G530" s="1" t="s">
        <v>35</v>
      </c>
      <c r="H530" s="1" t="s">
        <v>18</v>
      </c>
      <c r="J530" s="1" t="s">
        <v>36</v>
      </c>
      <c r="K530" s="1" t="s">
        <v>1372</v>
      </c>
      <c r="L530" s="1" t="s">
        <v>1373</v>
      </c>
      <c r="M530" s="1" t="s">
        <v>1373</v>
      </c>
      <c r="N530" s="1" t="str">
        <f t="shared" si="8"/>
        <v>DENIS ACASSIO</v>
      </c>
    </row>
    <row r="531" spans="1:14" x14ac:dyDescent="0.3">
      <c r="A531" s="1">
        <v>7051121</v>
      </c>
      <c r="B531" s="1" t="s">
        <v>537</v>
      </c>
      <c r="C531" s="5" t="s">
        <v>15</v>
      </c>
      <c r="D531" s="2">
        <v>45678</v>
      </c>
      <c r="E531" s="1" t="s">
        <v>77</v>
      </c>
      <c r="F531" s="1">
        <v>38107</v>
      </c>
      <c r="G531" s="1" t="s">
        <v>1503</v>
      </c>
      <c r="H531" s="1" t="s">
        <v>18</v>
      </c>
      <c r="J531" s="1" t="s">
        <v>78</v>
      </c>
      <c r="K531" s="1" t="s">
        <v>1372</v>
      </c>
      <c r="N531" s="1" t="str">
        <f t="shared" si="8"/>
        <v xml:space="preserve">LEIDJANE MARTINS </v>
      </c>
    </row>
    <row r="532" spans="1:14" x14ac:dyDescent="0.3">
      <c r="A532" s="1">
        <v>705905</v>
      </c>
      <c r="B532" s="1" t="s">
        <v>1622</v>
      </c>
      <c r="C532" s="5" t="s">
        <v>15</v>
      </c>
      <c r="D532" s="2">
        <v>46091</v>
      </c>
      <c r="E532" s="1" t="s">
        <v>31</v>
      </c>
      <c r="F532" s="1">
        <v>25201</v>
      </c>
      <c r="G532" s="1" t="s">
        <v>89</v>
      </c>
      <c r="H532" s="1" t="s">
        <v>18</v>
      </c>
      <c r="J532" s="1" t="s">
        <v>19</v>
      </c>
      <c r="K532" s="1" t="s">
        <v>1368</v>
      </c>
      <c r="L532" s="1" t="s">
        <v>20</v>
      </c>
      <c r="M532" s="1" t="s">
        <v>1632</v>
      </c>
      <c r="N532" s="1" t="str">
        <f t="shared" si="8"/>
        <v>THIAGO MARCOS</v>
      </c>
    </row>
    <row r="533" spans="1:14" x14ac:dyDescent="0.3">
      <c r="A533" s="1">
        <v>704571</v>
      </c>
      <c r="B533" s="1" t="s">
        <v>538</v>
      </c>
      <c r="C533" s="5" t="s">
        <v>15</v>
      </c>
      <c r="D533" s="2">
        <v>45448</v>
      </c>
      <c r="E533" s="1" t="s">
        <v>31</v>
      </c>
      <c r="F533" s="1">
        <v>25201</v>
      </c>
      <c r="G533" s="1" t="s">
        <v>89</v>
      </c>
      <c r="H533" s="1" t="s">
        <v>18</v>
      </c>
      <c r="J533" s="1" t="s">
        <v>37</v>
      </c>
      <c r="K533" s="1" t="s">
        <v>1368</v>
      </c>
      <c r="L533" s="1" t="s">
        <v>20</v>
      </c>
      <c r="M533" s="1" t="s">
        <v>1634</v>
      </c>
      <c r="N533" s="1" t="str">
        <f t="shared" si="8"/>
        <v>IRON SANTOS</v>
      </c>
    </row>
    <row r="534" spans="1:14" x14ac:dyDescent="0.3">
      <c r="A534" s="1">
        <v>704711</v>
      </c>
      <c r="B534" s="1" t="s">
        <v>539</v>
      </c>
      <c r="C534" s="5" t="s">
        <v>15</v>
      </c>
      <c r="D534" s="2">
        <v>45518</v>
      </c>
      <c r="E534" s="1" t="s">
        <v>315</v>
      </c>
      <c r="F534" s="1">
        <v>33101</v>
      </c>
      <c r="G534" s="1" t="s">
        <v>186</v>
      </c>
      <c r="H534" s="1" t="s">
        <v>18</v>
      </c>
      <c r="J534" s="1" t="s">
        <v>44</v>
      </c>
      <c r="K534" s="1" t="s">
        <v>25</v>
      </c>
      <c r="L534" s="1" t="s">
        <v>1385</v>
      </c>
      <c r="N534" s="1" t="str">
        <f t="shared" si="8"/>
        <v>TALLES RYAN</v>
      </c>
    </row>
    <row r="535" spans="1:14" x14ac:dyDescent="0.3">
      <c r="A535" s="1">
        <v>705196</v>
      </c>
      <c r="B535" s="1" t="s">
        <v>1167</v>
      </c>
      <c r="C535" s="5" t="s">
        <v>233</v>
      </c>
      <c r="D535" s="2">
        <v>45734</v>
      </c>
      <c r="E535" s="1" t="s">
        <v>260</v>
      </c>
      <c r="F535" s="1">
        <v>25201</v>
      </c>
      <c r="G535" s="1" t="s">
        <v>89</v>
      </c>
      <c r="H535" s="1" t="s">
        <v>18</v>
      </c>
      <c r="J535" s="1" t="s">
        <v>112</v>
      </c>
      <c r="K535" s="1" t="s">
        <v>1368</v>
      </c>
      <c r="N535" s="1" t="str">
        <f t="shared" si="8"/>
        <v>JOSÉ GOUVEA</v>
      </c>
    </row>
    <row r="536" spans="1:14" x14ac:dyDescent="0.3">
      <c r="A536" s="1">
        <v>703559</v>
      </c>
      <c r="B536" s="1" t="s">
        <v>540</v>
      </c>
      <c r="C536" s="5" t="s">
        <v>15</v>
      </c>
      <c r="D536" s="2">
        <v>44935</v>
      </c>
      <c r="E536" s="1" t="s">
        <v>217</v>
      </c>
      <c r="F536" s="1">
        <v>39302</v>
      </c>
      <c r="G536" s="1" t="s">
        <v>102</v>
      </c>
      <c r="H536" s="1" t="s">
        <v>18</v>
      </c>
      <c r="J536" s="1" t="s">
        <v>57</v>
      </c>
      <c r="K536" s="1" t="s">
        <v>1371</v>
      </c>
      <c r="L536" s="1" t="s">
        <v>1376</v>
      </c>
      <c r="M536" s="1" t="s">
        <v>1635</v>
      </c>
      <c r="N536" s="1" t="str">
        <f t="shared" si="8"/>
        <v>WARLEY RIBEIRO / EUDES FERNANDES</v>
      </c>
    </row>
    <row r="537" spans="1:14" x14ac:dyDescent="0.3">
      <c r="A537" s="1">
        <v>705785</v>
      </c>
      <c r="B537" s="1" t="s">
        <v>1531</v>
      </c>
      <c r="C537" s="5" t="s">
        <v>15</v>
      </c>
      <c r="D537" s="2">
        <v>46035</v>
      </c>
      <c r="E537" s="1" t="s">
        <v>31</v>
      </c>
      <c r="F537" s="1">
        <v>25201</v>
      </c>
      <c r="G537" s="1" t="s">
        <v>89</v>
      </c>
      <c r="H537" s="1" t="s">
        <v>18</v>
      </c>
      <c r="J537" s="1" t="s">
        <v>19</v>
      </c>
      <c r="K537" s="1" t="s">
        <v>1368</v>
      </c>
      <c r="L537" s="1" t="s">
        <v>20</v>
      </c>
      <c r="M537" s="1" t="s">
        <v>1632</v>
      </c>
      <c r="N537" s="1" t="str">
        <f t="shared" si="8"/>
        <v>THIAGO MARCOS</v>
      </c>
    </row>
    <row r="538" spans="1:14" x14ac:dyDescent="0.3">
      <c r="A538" s="1">
        <v>705369</v>
      </c>
      <c r="B538" s="1" t="s">
        <v>1232</v>
      </c>
      <c r="C538" s="5" t="s">
        <v>15</v>
      </c>
      <c r="D538" s="2">
        <v>45784</v>
      </c>
      <c r="E538" s="1" t="s">
        <v>270</v>
      </c>
      <c r="F538" s="1">
        <v>39302</v>
      </c>
      <c r="G538" s="1" t="s">
        <v>102</v>
      </c>
      <c r="H538" s="1" t="s">
        <v>18</v>
      </c>
      <c r="J538" s="1" t="s">
        <v>57</v>
      </c>
      <c r="K538" s="1" t="s">
        <v>1371</v>
      </c>
      <c r="L538" s="1" t="s">
        <v>1376</v>
      </c>
      <c r="M538" s="1" t="s">
        <v>1635</v>
      </c>
      <c r="N538" s="1" t="str">
        <f t="shared" si="8"/>
        <v>WARLEY RIBEIRO / EUDES FERNANDES</v>
      </c>
    </row>
    <row r="539" spans="1:14" x14ac:dyDescent="0.3">
      <c r="A539" s="1">
        <v>705692</v>
      </c>
      <c r="B539" s="1" t="s">
        <v>541</v>
      </c>
      <c r="C539" s="5" t="s">
        <v>15</v>
      </c>
      <c r="D539" s="2">
        <v>45972</v>
      </c>
      <c r="E539" s="1" t="s">
        <v>446</v>
      </c>
      <c r="F539" s="1">
        <v>32101</v>
      </c>
      <c r="G539" s="1" t="s">
        <v>23</v>
      </c>
      <c r="H539" s="1" t="s">
        <v>18</v>
      </c>
      <c r="J539" s="1" t="s">
        <v>24</v>
      </c>
      <c r="K539" s="1" t="s">
        <v>25</v>
      </c>
      <c r="L539" s="1" t="s">
        <v>1369</v>
      </c>
      <c r="M539" s="1" t="s">
        <v>1370</v>
      </c>
      <c r="N539" s="1" t="str">
        <f t="shared" si="8"/>
        <v>JUNIO COSTA</v>
      </c>
    </row>
    <row r="540" spans="1:14" x14ac:dyDescent="0.3">
      <c r="A540" s="1">
        <v>701608</v>
      </c>
      <c r="B540" s="1" t="s">
        <v>542</v>
      </c>
      <c r="C540" s="5" t="s">
        <v>15</v>
      </c>
      <c r="D540" s="2">
        <v>43999</v>
      </c>
      <c r="E540" s="1" t="s">
        <v>27</v>
      </c>
      <c r="F540" s="1">
        <v>39501</v>
      </c>
      <c r="G540" s="1" t="s">
        <v>28</v>
      </c>
      <c r="H540" s="1" t="s">
        <v>18</v>
      </c>
      <c r="J540" s="1" t="s">
        <v>29</v>
      </c>
      <c r="K540" s="1" t="s">
        <v>1368</v>
      </c>
      <c r="L540" s="1" t="s">
        <v>20</v>
      </c>
      <c r="M540" s="1" t="s">
        <v>1634</v>
      </c>
      <c r="N540" s="1" t="str">
        <f t="shared" si="8"/>
        <v>IRON SANTOS</v>
      </c>
    </row>
    <row r="541" spans="1:14" x14ac:dyDescent="0.3">
      <c r="A541" s="1">
        <v>704307</v>
      </c>
      <c r="B541" s="1" t="s">
        <v>543</v>
      </c>
      <c r="C541" s="5" t="s">
        <v>15</v>
      </c>
      <c r="D541" s="2">
        <v>45356</v>
      </c>
      <c r="E541" s="1" t="s">
        <v>31</v>
      </c>
      <c r="F541" s="1">
        <v>34201</v>
      </c>
      <c r="G541" s="1" t="s">
        <v>84</v>
      </c>
      <c r="H541" s="1" t="s">
        <v>18</v>
      </c>
      <c r="J541" s="1" t="s">
        <v>85</v>
      </c>
      <c r="K541" s="1" t="s">
        <v>1371</v>
      </c>
      <c r="L541" s="1" t="s">
        <v>1380</v>
      </c>
      <c r="M541" s="1" t="s">
        <v>1380</v>
      </c>
      <c r="N541" s="1" t="str">
        <f t="shared" si="8"/>
        <v xml:space="preserve">LEONARDO SANTOS </v>
      </c>
    </row>
    <row r="542" spans="1:14" x14ac:dyDescent="0.3">
      <c r="A542" s="1">
        <v>705752</v>
      </c>
      <c r="B542" s="1" t="s">
        <v>1492</v>
      </c>
      <c r="C542" s="5" t="s">
        <v>15</v>
      </c>
      <c r="D542" s="2">
        <v>45993</v>
      </c>
      <c r="E542" s="1" t="s">
        <v>31</v>
      </c>
      <c r="F542" s="1">
        <v>52104</v>
      </c>
      <c r="G542" s="1" t="s">
        <v>17</v>
      </c>
      <c r="H542" s="1" t="s">
        <v>18</v>
      </c>
      <c r="J542" s="1" t="s">
        <v>19</v>
      </c>
      <c r="K542" s="1" t="s">
        <v>1368</v>
      </c>
      <c r="L542" s="1" t="s">
        <v>20</v>
      </c>
      <c r="M542" s="1" t="s">
        <v>1632</v>
      </c>
      <c r="N542" s="1" t="str">
        <f t="shared" si="8"/>
        <v>THIAGO MARCOS</v>
      </c>
    </row>
    <row r="543" spans="1:14" x14ac:dyDescent="0.3">
      <c r="A543" s="1">
        <v>705815</v>
      </c>
      <c r="B543" s="1" t="s">
        <v>1532</v>
      </c>
      <c r="C543" s="5" t="s">
        <v>15</v>
      </c>
      <c r="D543" s="2">
        <v>46035</v>
      </c>
      <c r="E543" s="1" t="s">
        <v>31</v>
      </c>
      <c r="F543" s="1">
        <v>52104</v>
      </c>
      <c r="G543" s="1" t="s">
        <v>17</v>
      </c>
      <c r="H543" s="1" t="s">
        <v>18</v>
      </c>
      <c r="J543" s="1" t="s">
        <v>19</v>
      </c>
      <c r="K543" s="1" t="s">
        <v>1368</v>
      </c>
      <c r="L543" s="1" t="s">
        <v>20</v>
      </c>
      <c r="M543" s="1" t="s">
        <v>1632</v>
      </c>
      <c r="N543" s="1" t="str">
        <f t="shared" si="8"/>
        <v>THIAGO MARCOS</v>
      </c>
    </row>
    <row r="544" spans="1:14" x14ac:dyDescent="0.3">
      <c r="A544" s="1">
        <v>705686</v>
      </c>
      <c r="B544" s="1" t="s">
        <v>1415</v>
      </c>
      <c r="C544" s="5" t="s">
        <v>15</v>
      </c>
      <c r="D544" s="2">
        <v>45945</v>
      </c>
      <c r="E544" s="1" t="s">
        <v>238</v>
      </c>
      <c r="F544" s="1">
        <v>37101</v>
      </c>
      <c r="G544" s="1" t="s">
        <v>214</v>
      </c>
      <c r="H544" s="1" t="s">
        <v>18</v>
      </c>
      <c r="J544" s="1" t="s">
        <v>239</v>
      </c>
      <c r="K544" s="1" t="s">
        <v>216</v>
      </c>
      <c r="N544" s="1" t="str">
        <f t="shared" si="8"/>
        <v>CARSON NEVES</v>
      </c>
    </row>
    <row r="545" spans="1:14" x14ac:dyDescent="0.3">
      <c r="A545" s="1">
        <v>702662</v>
      </c>
      <c r="B545" s="1" t="s">
        <v>544</v>
      </c>
      <c r="C545" s="5" t="s">
        <v>15</v>
      </c>
      <c r="D545" s="2">
        <v>44509</v>
      </c>
      <c r="E545" s="1" t="s">
        <v>105</v>
      </c>
      <c r="F545" s="1">
        <v>22102</v>
      </c>
      <c r="G545" s="1" t="s">
        <v>68</v>
      </c>
      <c r="H545" s="1" t="s">
        <v>18</v>
      </c>
      <c r="J545" s="1" t="s">
        <v>167</v>
      </c>
      <c r="K545" s="1" t="s">
        <v>1371</v>
      </c>
      <c r="L545" s="1" t="s">
        <v>1509</v>
      </c>
      <c r="M545" s="1" t="s">
        <v>1636</v>
      </c>
      <c r="N545" s="1" t="str">
        <f t="shared" si="8"/>
        <v>FABIANO DIAS</v>
      </c>
    </row>
    <row r="546" spans="1:14" x14ac:dyDescent="0.3">
      <c r="A546" s="1">
        <v>700622</v>
      </c>
      <c r="B546" s="1" t="s">
        <v>545</v>
      </c>
      <c r="C546" s="5" t="s">
        <v>15</v>
      </c>
      <c r="D546" s="2">
        <v>43367</v>
      </c>
      <c r="E546" s="1" t="s">
        <v>116</v>
      </c>
      <c r="F546" s="1">
        <v>34201</v>
      </c>
      <c r="G546" s="1" t="s">
        <v>84</v>
      </c>
      <c r="H546" s="1" t="s">
        <v>18</v>
      </c>
      <c r="J546" s="1" t="s">
        <v>85</v>
      </c>
      <c r="K546" s="1" t="s">
        <v>1371</v>
      </c>
      <c r="L546" s="1" t="s">
        <v>1380</v>
      </c>
      <c r="M546" s="1" t="s">
        <v>1380</v>
      </c>
      <c r="N546" s="1" t="str">
        <f t="shared" si="8"/>
        <v xml:space="preserve">LEONARDO SANTOS </v>
      </c>
    </row>
    <row r="547" spans="1:14" x14ac:dyDescent="0.3">
      <c r="A547" s="1">
        <v>701013</v>
      </c>
      <c r="B547" s="1" t="s">
        <v>546</v>
      </c>
      <c r="C547" s="5" t="s">
        <v>15</v>
      </c>
      <c r="D547" s="2">
        <v>43598</v>
      </c>
      <c r="E547" s="1" t="s">
        <v>40</v>
      </c>
      <c r="F547" s="1">
        <v>52104</v>
      </c>
      <c r="G547" s="1" t="s">
        <v>17</v>
      </c>
      <c r="H547" s="1" t="s">
        <v>18</v>
      </c>
      <c r="J547" s="1" t="s">
        <v>19</v>
      </c>
      <c r="K547" s="1" t="s">
        <v>1368</v>
      </c>
      <c r="L547" s="1" t="s">
        <v>20</v>
      </c>
      <c r="M547" s="1" t="s">
        <v>1632</v>
      </c>
      <c r="N547" s="1" t="str">
        <f t="shared" si="8"/>
        <v>THIAGO MARCOS</v>
      </c>
    </row>
    <row r="548" spans="1:14" x14ac:dyDescent="0.3">
      <c r="A548" s="1">
        <v>700241</v>
      </c>
      <c r="B548" s="1" t="s">
        <v>1091</v>
      </c>
      <c r="C548" s="5" t="s">
        <v>15</v>
      </c>
      <c r="D548" s="2">
        <v>43255</v>
      </c>
      <c r="E548" s="1" t="s">
        <v>219</v>
      </c>
      <c r="F548" s="1">
        <v>32101</v>
      </c>
      <c r="G548" s="1" t="s">
        <v>23</v>
      </c>
      <c r="H548" s="1" t="s">
        <v>18</v>
      </c>
      <c r="J548" s="1" t="s">
        <v>24</v>
      </c>
      <c r="K548" s="1" t="s">
        <v>25</v>
      </c>
      <c r="L548" s="1" t="s">
        <v>1369</v>
      </c>
      <c r="M548" s="1" t="s">
        <v>1370</v>
      </c>
      <c r="N548" s="1" t="str">
        <f t="shared" si="8"/>
        <v>JUNIO COSTA</v>
      </c>
    </row>
    <row r="549" spans="1:14" x14ac:dyDescent="0.3">
      <c r="A549" s="1">
        <v>705245</v>
      </c>
      <c r="B549" s="1" t="s">
        <v>1187</v>
      </c>
      <c r="C549" s="5" t="s">
        <v>15</v>
      </c>
      <c r="D549" s="2">
        <v>45754</v>
      </c>
      <c r="E549" s="1" t="s">
        <v>31</v>
      </c>
      <c r="F549" s="1">
        <v>52104</v>
      </c>
      <c r="G549" s="1" t="s">
        <v>17</v>
      </c>
      <c r="H549" s="1" t="s">
        <v>18</v>
      </c>
      <c r="J549" s="1" t="s">
        <v>19</v>
      </c>
      <c r="K549" s="1" t="s">
        <v>1368</v>
      </c>
      <c r="L549" s="1" t="s">
        <v>20</v>
      </c>
      <c r="M549" s="1" t="s">
        <v>1632</v>
      </c>
      <c r="N549" s="1" t="str">
        <f t="shared" si="8"/>
        <v>THIAGO MARCOS</v>
      </c>
    </row>
    <row r="550" spans="1:14" x14ac:dyDescent="0.3">
      <c r="A550" s="1">
        <v>704505</v>
      </c>
      <c r="B550" s="1" t="s">
        <v>1092</v>
      </c>
      <c r="C550" s="5" t="s">
        <v>15</v>
      </c>
      <c r="D550" s="2">
        <v>45419</v>
      </c>
      <c r="E550" s="1" t="s">
        <v>31</v>
      </c>
      <c r="F550" s="1">
        <v>25201</v>
      </c>
      <c r="G550" s="1" t="s">
        <v>89</v>
      </c>
      <c r="H550" s="1" t="s">
        <v>18</v>
      </c>
      <c r="J550" s="1" t="s">
        <v>19</v>
      </c>
      <c r="K550" s="1" t="s">
        <v>1368</v>
      </c>
      <c r="L550" s="1" t="s">
        <v>20</v>
      </c>
      <c r="M550" s="1" t="s">
        <v>1632</v>
      </c>
      <c r="N550" s="1" t="str">
        <f t="shared" si="8"/>
        <v>THIAGO MARCOS</v>
      </c>
    </row>
    <row r="551" spans="1:14" x14ac:dyDescent="0.3">
      <c r="A551" s="1">
        <v>701522</v>
      </c>
      <c r="B551" s="1" t="s">
        <v>547</v>
      </c>
      <c r="C551" s="5" t="s">
        <v>15</v>
      </c>
      <c r="D551" s="2">
        <v>43957</v>
      </c>
      <c r="E551" s="1" t="s">
        <v>179</v>
      </c>
      <c r="F551" s="1">
        <v>32101</v>
      </c>
      <c r="G551" s="1" t="s">
        <v>23</v>
      </c>
      <c r="H551" s="1" t="s">
        <v>18</v>
      </c>
      <c r="J551" s="1" t="s">
        <v>24</v>
      </c>
      <c r="K551" s="1" t="s">
        <v>25</v>
      </c>
      <c r="L551" s="1" t="s">
        <v>1369</v>
      </c>
      <c r="M551" s="1" t="s">
        <v>1370</v>
      </c>
      <c r="N551" s="1" t="str">
        <f t="shared" si="8"/>
        <v>JUNIO COSTA</v>
      </c>
    </row>
    <row r="552" spans="1:14" x14ac:dyDescent="0.3">
      <c r="A552" s="1">
        <v>705580</v>
      </c>
      <c r="B552" s="1" t="s">
        <v>1326</v>
      </c>
      <c r="C552" s="5" t="s">
        <v>15</v>
      </c>
      <c r="D552" s="2">
        <v>45881</v>
      </c>
      <c r="E552" s="1" t="s">
        <v>31</v>
      </c>
      <c r="F552" s="1">
        <v>39301</v>
      </c>
      <c r="G552" s="1" t="s">
        <v>73</v>
      </c>
      <c r="H552" s="1" t="s">
        <v>18</v>
      </c>
      <c r="J552" s="1" t="s">
        <v>74</v>
      </c>
      <c r="K552" s="1" t="s">
        <v>1371</v>
      </c>
      <c r="L552" s="1" t="s">
        <v>1376</v>
      </c>
      <c r="M552" s="1" t="s">
        <v>75</v>
      </c>
      <c r="N552" s="1" t="str">
        <f t="shared" si="8"/>
        <v>ISAC NONATO</v>
      </c>
    </row>
    <row r="553" spans="1:14" x14ac:dyDescent="0.3">
      <c r="A553" s="1">
        <v>702811</v>
      </c>
      <c r="B553" s="1" t="s">
        <v>548</v>
      </c>
      <c r="C553" s="5" t="s">
        <v>15</v>
      </c>
      <c r="D553" s="2">
        <v>44613</v>
      </c>
      <c r="E553" s="1" t="s">
        <v>31</v>
      </c>
      <c r="F553" s="1">
        <v>52104</v>
      </c>
      <c r="G553" s="1" t="s">
        <v>17</v>
      </c>
      <c r="H553" s="1" t="s">
        <v>18</v>
      </c>
      <c r="J553" s="1" t="s">
        <v>19</v>
      </c>
      <c r="K553" s="1" t="s">
        <v>1368</v>
      </c>
      <c r="L553" s="1" t="s">
        <v>20</v>
      </c>
      <c r="M553" s="1" t="s">
        <v>1632</v>
      </c>
      <c r="N553" s="1" t="str">
        <f t="shared" si="8"/>
        <v>THIAGO MARCOS</v>
      </c>
    </row>
    <row r="554" spans="1:14" x14ac:dyDescent="0.3">
      <c r="A554" s="1">
        <v>704073</v>
      </c>
      <c r="B554" s="1" t="s">
        <v>549</v>
      </c>
      <c r="C554" s="5" t="s">
        <v>15</v>
      </c>
      <c r="D554" s="2">
        <v>45175</v>
      </c>
      <c r="E554" s="1" t="s">
        <v>60</v>
      </c>
      <c r="F554" s="1">
        <v>52104</v>
      </c>
      <c r="G554" s="1" t="s">
        <v>17</v>
      </c>
      <c r="H554" s="1" t="s">
        <v>18</v>
      </c>
      <c r="J554" s="1" t="s">
        <v>19</v>
      </c>
      <c r="K554" s="1" t="s">
        <v>1368</v>
      </c>
      <c r="L554" s="1" t="s">
        <v>20</v>
      </c>
      <c r="M554" s="1" t="s">
        <v>1632</v>
      </c>
      <c r="N554" s="1" t="str">
        <f t="shared" si="8"/>
        <v>THIAGO MARCOS</v>
      </c>
    </row>
    <row r="555" spans="1:14" x14ac:dyDescent="0.3">
      <c r="A555" s="1">
        <v>101542</v>
      </c>
      <c r="B555" s="1" t="s">
        <v>550</v>
      </c>
      <c r="C555" s="5" t="s">
        <v>15</v>
      </c>
      <c r="D555" s="2">
        <v>40779</v>
      </c>
      <c r="E555" s="1" t="s">
        <v>158</v>
      </c>
      <c r="F555" s="1">
        <v>38101</v>
      </c>
      <c r="G555" s="1" t="s">
        <v>35</v>
      </c>
      <c r="H555" s="1" t="s">
        <v>18</v>
      </c>
      <c r="J555" s="1" t="s">
        <v>36</v>
      </c>
      <c r="K555" s="1" t="s">
        <v>1372</v>
      </c>
      <c r="L555" s="1" t="s">
        <v>1373</v>
      </c>
      <c r="M555" s="1" t="s">
        <v>1373</v>
      </c>
      <c r="N555" s="1" t="str">
        <f t="shared" si="8"/>
        <v>DENIS ACASSIO</v>
      </c>
    </row>
    <row r="556" spans="1:14" x14ac:dyDescent="0.3">
      <c r="A556" s="1">
        <v>705830</v>
      </c>
      <c r="B556" s="1" t="s">
        <v>1558</v>
      </c>
      <c r="C556" s="5" t="s">
        <v>15</v>
      </c>
      <c r="D556" s="2">
        <v>46063</v>
      </c>
      <c r="E556" s="1" t="s">
        <v>31</v>
      </c>
      <c r="F556" s="1">
        <v>52104</v>
      </c>
      <c r="G556" s="1" t="s">
        <v>17</v>
      </c>
      <c r="H556" s="1" t="s">
        <v>18</v>
      </c>
      <c r="J556" s="1" t="s">
        <v>19</v>
      </c>
      <c r="K556" s="1" t="s">
        <v>1368</v>
      </c>
      <c r="L556" s="1" t="s">
        <v>20</v>
      </c>
      <c r="M556" s="1" t="s">
        <v>1632</v>
      </c>
      <c r="N556" s="1" t="str">
        <f t="shared" si="8"/>
        <v>THIAGO MARCOS</v>
      </c>
    </row>
    <row r="557" spans="1:14" x14ac:dyDescent="0.3">
      <c r="A557" s="1">
        <v>705744</v>
      </c>
      <c r="B557" s="1" t="s">
        <v>551</v>
      </c>
      <c r="C557" s="5" t="s">
        <v>15</v>
      </c>
      <c r="D557" s="2">
        <v>45993</v>
      </c>
      <c r="E557" s="1" t="s">
        <v>31</v>
      </c>
      <c r="F557" s="1">
        <v>22102</v>
      </c>
      <c r="G557" s="1" t="s">
        <v>68</v>
      </c>
      <c r="H557" s="1" t="s">
        <v>18</v>
      </c>
      <c r="J557" s="1" t="s">
        <v>81</v>
      </c>
      <c r="K557" s="1" t="s">
        <v>1371</v>
      </c>
      <c r="L557" s="1" t="s">
        <v>1509</v>
      </c>
      <c r="M557" s="1" t="s">
        <v>1379</v>
      </c>
      <c r="N557" s="1" t="str">
        <f t="shared" si="8"/>
        <v xml:space="preserve">EDSON/MARCELO LIMA </v>
      </c>
    </row>
    <row r="558" spans="1:14" x14ac:dyDescent="0.3">
      <c r="A558" s="1">
        <v>705829</v>
      </c>
      <c r="B558" s="1" t="s">
        <v>1559</v>
      </c>
      <c r="C558" s="5" t="s">
        <v>15</v>
      </c>
      <c r="D558" s="2">
        <v>46063</v>
      </c>
      <c r="E558" s="1" t="s">
        <v>31</v>
      </c>
      <c r="F558" s="1">
        <v>52104</v>
      </c>
      <c r="G558" s="1" t="s">
        <v>17</v>
      </c>
      <c r="H558" s="1" t="s">
        <v>18</v>
      </c>
      <c r="J558" s="1" t="s">
        <v>19</v>
      </c>
      <c r="K558" s="1" t="s">
        <v>1368</v>
      </c>
      <c r="L558" s="1" t="s">
        <v>20</v>
      </c>
      <c r="M558" s="1" t="s">
        <v>1632</v>
      </c>
      <c r="N558" s="1" t="str">
        <f t="shared" si="8"/>
        <v>THIAGO MARCOS</v>
      </c>
    </row>
    <row r="559" spans="1:14" x14ac:dyDescent="0.3">
      <c r="A559" s="1">
        <v>705584</v>
      </c>
      <c r="B559" s="1" t="s">
        <v>1327</v>
      </c>
      <c r="C559" s="5" t="s">
        <v>15</v>
      </c>
      <c r="D559" s="2">
        <v>45881</v>
      </c>
      <c r="E559" s="1" t="s">
        <v>31</v>
      </c>
      <c r="F559" s="1">
        <v>52104</v>
      </c>
      <c r="G559" s="1" t="s">
        <v>17</v>
      </c>
      <c r="H559" s="1" t="s">
        <v>18</v>
      </c>
      <c r="J559" s="1" t="s">
        <v>19</v>
      </c>
      <c r="K559" s="1" t="s">
        <v>1368</v>
      </c>
      <c r="L559" s="1" t="s">
        <v>20</v>
      </c>
      <c r="M559" s="1" t="s">
        <v>1632</v>
      </c>
      <c r="N559" s="1" t="str">
        <f t="shared" si="8"/>
        <v>THIAGO MARCOS</v>
      </c>
    </row>
    <row r="560" spans="1:14" x14ac:dyDescent="0.3">
      <c r="A560" s="1">
        <v>704572</v>
      </c>
      <c r="B560" s="1" t="s">
        <v>552</v>
      </c>
      <c r="C560" s="5" t="s">
        <v>15</v>
      </c>
      <c r="D560" s="2">
        <v>45448</v>
      </c>
      <c r="E560" s="1" t="s">
        <v>31</v>
      </c>
      <c r="F560" s="1">
        <v>52104</v>
      </c>
      <c r="G560" s="1" t="s">
        <v>17</v>
      </c>
      <c r="H560" s="1" t="s">
        <v>18</v>
      </c>
      <c r="J560" s="1" t="s">
        <v>19</v>
      </c>
      <c r="K560" s="1" t="s">
        <v>1368</v>
      </c>
      <c r="L560" s="1" t="s">
        <v>20</v>
      </c>
      <c r="M560" s="1" t="s">
        <v>1632</v>
      </c>
      <c r="N560" s="1" t="str">
        <f t="shared" si="8"/>
        <v>THIAGO MARCOS</v>
      </c>
    </row>
    <row r="561" spans="1:14" x14ac:dyDescent="0.3">
      <c r="A561" s="1">
        <v>705710</v>
      </c>
      <c r="B561" s="1" t="s">
        <v>1106</v>
      </c>
      <c r="C561" s="5" t="s">
        <v>15</v>
      </c>
      <c r="D561" s="2">
        <v>45971</v>
      </c>
      <c r="E561" s="1" t="s">
        <v>31</v>
      </c>
      <c r="F561" s="1">
        <v>22102</v>
      </c>
      <c r="G561" s="1" t="s">
        <v>68</v>
      </c>
      <c r="H561" s="1" t="s">
        <v>18</v>
      </c>
      <c r="J561" s="1" t="s">
        <v>81</v>
      </c>
      <c r="K561" s="1" t="s">
        <v>1371</v>
      </c>
      <c r="L561" s="1" t="s">
        <v>1509</v>
      </c>
      <c r="M561" s="1" t="s">
        <v>1379</v>
      </c>
      <c r="N561" s="1" t="str">
        <f t="shared" si="8"/>
        <v xml:space="preserve">EDSON/MARCELO LIMA </v>
      </c>
    </row>
    <row r="562" spans="1:14" x14ac:dyDescent="0.3">
      <c r="A562" s="1">
        <v>705831</v>
      </c>
      <c r="B562" s="1" t="s">
        <v>1560</v>
      </c>
      <c r="C562" s="5" t="s">
        <v>15</v>
      </c>
      <c r="D562" s="2">
        <v>46063</v>
      </c>
      <c r="E562" s="1" t="s">
        <v>31</v>
      </c>
      <c r="F562" s="1">
        <v>52104</v>
      </c>
      <c r="G562" s="1" t="s">
        <v>17</v>
      </c>
      <c r="H562" s="1" t="s">
        <v>18</v>
      </c>
      <c r="J562" s="1" t="s">
        <v>19</v>
      </c>
      <c r="K562" s="1" t="s">
        <v>1368</v>
      </c>
      <c r="L562" s="1" t="s">
        <v>20</v>
      </c>
      <c r="M562" s="1" t="s">
        <v>1632</v>
      </c>
      <c r="N562" s="1" t="str">
        <f t="shared" si="8"/>
        <v>THIAGO MARCOS</v>
      </c>
    </row>
    <row r="563" spans="1:14" x14ac:dyDescent="0.3">
      <c r="A563" s="1">
        <v>702870</v>
      </c>
      <c r="B563" s="1" t="s">
        <v>554</v>
      </c>
      <c r="C563" s="5" t="s">
        <v>15</v>
      </c>
      <c r="D563" s="2">
        <v>44635</v>
      </c>
      <c r="E563" s="1" t="s">
        <v>294</v>
      </c>
      <c r="F563" s="1">
        <v>34202</v>
      </c>
      <c r="G563" s="1" t="s">
        <v>385</v>
      </c>
      <c r="H563" s="1" t="s">
        <v>18</v>
      </c>
      <c r="J563" s="1" t="s">
        <v>123</v>
      </c>
      <c r="K563" s="1" t="s">
        <v>124</v>
      </c>
      <c r="N563" s="1" t="str">
        <f t="shared" si="8"/>
        <v>MATHEUS FERNANDES</v>
      </c>
    </row>
    <row r="564" spans="1:14" x14ac:dyDescent="0.3">
      <c r="A564" s="1">
        <v>705120</v>
      </c>
      <c r="B564" s="1" t="s">
        <v>556</v>
      </c>
      <c r="C564" s="5" t="s">
        <v>233</v>
      </c>
      <c r="D564" s="2">
        <v>45678</v>
      </c>
      <c r="E564" s="1" t="s">
        <v>418</v>
      </c>
      <c r="F564" s="1">
        <v>39301</v>
      </c>
      <c r="G564" s="1" t="s">
        <v>73</v>
      </c>
      <c r="H564" s="1" t="s">
        <v>18</v>
      </c>
      <c r="J564" s="1" t="s">
        <v>74</v>
      </c>
      <c r="K564" s="1" t="s">
        <v>1371</v>
      </c>
      <c r="L564" s="1" t="s">
        <v>1376</v>
      </c>
      <c r="M564" s="1" t="s">
        <v>75</v>
      </c>
      <c r="N564" s="1" t="str">
        <f t="shared" si="8"/>
        <v>ISAC NONATO</v>
      </c>
    </row>
    <row r="565" spans="1:14" x14ac:dyDescent="0.3">
      <c r="A565" s="1">
        <v>704175</v>
      </c>
      <c r="B565" s="1" t="s">
        <v>557</v>
      </c>
      <c r="C565" s="5" t="s">
        <v>15</v>
      </c>
      <c r="D565" s="2">
        <v>45272</v>
      </c>
      <c r="E565" s="1" t="s">
        <v>80</v>
      </c>
      <c r="F565" s="1">
        <v>22102</v>
      </c>
      <c r="G565" s="1" t="s">
        <v>68</v>
      </c>
      <c r="H565" s="1" t="s">
        <v>18</v>
      </c>
      <c r="J565" s="1" t="s">
        <v>81</v>
      </c>
      <c r="K565" s="1" t="s">
        <v>1371</v>
      </c>
      <c r="L565" s="1" t="s">
        <v>1509</v>
      </c>
      <c r="M565" s="1" t="s">
        <v>1379</v>
      </c>
      <c r="N565" s="1" t="str">
        <f t="shared" si="8"/>
        <v xml:space="preserve">EDSON/MARCELO LIMA </v>
      </c>
    </row>
    <row r="566" spans="1:14" x14ac:dyDescent="0.3">
      <c r="A566" s="1">
        <v>705920</v>
      </c>
      <c r="B566" s="1" t="s">
        <v>1623</v>
      </c>
      <c r="C566" s="5" t="s">
        <v>15</v>
      </c>
      <c r="D566" s="2">
        <v>46091</v>
      </c>
      <c r="E566" s="1" t="s">
        <v>31</v>
      </c>
      <c r="F566" s="1">
        <v>52104</v>
      </c>
      <c r="G566" s="1" t="s">
        <v>17</v>
      </c>
      <c r="H566" s="1" t="s">
        <v>18</v>
      </c>
      <c r="J566" s="1" t="s">
        <v>19</v>
      </c>
      <c r="K566" s="1" t="s">
        <v>1368</v>
      </c>
      <c r="L566" s="1" t="s">
        <v>20</v>
      </c>
      <c r="M566" s="1" t="s">
        <v>1632</v>
      </c>
      <c r="N566" s="1" t="str">
        <f t="shared" si="8"/>
        <v>THIAGO MARCOS</v>
      </c>
    </row>
    <row r="567" spans="1:14" x14ac:dyDescent="0.3">
      <c r="A567" s="1">
        <v>703146</v>
      </c>
      <c r="B567" s="1" t="s">
        <v>558</v>
      </c>
      <c r="C567" s="5" t="s">
        <v>15</v>
      </c>
      <c r="D567" s="2">
        <v>44718</v>
      </c>
      <c r="E567" s="1" t="s">
        <v>199</v>
      </c>
      <c r="F567" s="1">
        <v>22102</v>
      </c>
      <c r="G567" s="1" t="s">
        <v>68</v>
      </c>
      <c r="H567" s="1" t="s">
        <v>18</v>
      </c>
      <c r="J567" s="1" t="s">
        <v>69</v>
      </c>
      <c r="K567" s="1" t="s">
        <v>1371</v>
      </c>
      <c r="L567" s="1" t="s">
        <v>1378</v>
      </c>
      <c r="N567" s="1" t="str">
        <f t="shared" si="8"/>
        <v xml:space="preserve">JOÃO KOMURA </v>
      </c>
    </row>
    <row r="568" spans="1:14" x14ac:dyDescent="0.3">
      <c r="A568" s="1">
        <v>700402</v>
      </c>
      <c r="B568" s="1" t="s">
        <v>559</v>
      </c>
      <c r="C568" s="5" t="s">
        <v>15</v>
      </c>
      <c r="D568" s="2">
        <v>43318</v>
      </c>
      <c r="E568" s="1" t="s">
        <v>1360</v>
      </c>
      <c r="F568" s="1">
        <v>39302</v>
      </c>
      <c r="G568" s="1" t="s">
        <v>102</v>
      </c>
      <c r="H568" s="1" t="s">
        <v>18</v>
      </c>
      <c r="J568" s="1" t="s">
        <v>57</v>
      </c>
      <c r="K568" s="1" t="s">
        <v>1371</v>
      </c>
      <c r="L568" s="1" t="s">
        <v>1376</v>
      </c>
      <c r="M568" s="1" t="s">
        <v>1635</v>
      </c>
      <c r="N568" s="1" t="str">
        <f t="shared" si="8"/>
        <v>WARLEY RIBEIRO / EUDES FERNANDES</v>
      </c>
    </row>
    <row r="569" spans="1:14" x14ac:dyDescent="0.3">
      <c r="A569" s="1">
        <v>705761</v>
      </c>
      <c r="B569" s="1" t="s">
        <v>1493</v>
      </c>
      <c r="C569" s="5" t="s">
        <v>92</v>
      </c>
      <c r="D569" s="2">
        <v>45993</v>
      </c>
      <c r="E569" s="1" t="s">
        <v>31</v>
      </c>
      <c r="F569" s="1">
        <v>25201</v>
      </c>
      <c r="G569" s="1" t="s">
        <v>89</v>
      </c>
      <c r="H569" s="1" t="s">
        <v>18</v>
      </c>
      <c r="I569" s="2">
        <v>46082</v>
      </c>
      <c r="J569" s="1" t="s">
        <v>19</v>
      </c>
      <c r="K569" s="1" t="s">
        <v>1368</v>
      </c>
      <c r="L569" s="1" t="s">
        <v>20</v>
      </c>
      <c r="M569" s="1" t="s">
        <v>1632</v>
      </c>
      <c r="N569" s="1" t="str">
        <f t="shared" si="8"/>
        <v>THIAGO MARCOS</v>
      </c>
    </row>
    <row r="570" spans="1:14" x14ac:dyDescent="0.3">
      <c r="A570" s="1">
        <v>702404</v>
      </c>
      <c r="B570" s="1" t="s">
        <v>560</v>
      </c>
      <c r="C570" s="5" t="s">
        <v>15</v>
      </c>
      <c r="D570" s="2">
        <v>44383</v>
      </c>
      <c r="E570" s="1" t="s">
        <v>83</v>
      </c>
      <c r="F570" s="1">
        <v>34201</v>
      </c>
      <c r="G570" s="1" t="s">
        <v>84</v>
      </c>
      <c r="H570" s="1" t="s">
        <v>18</v>
      </c>
      <c r="J570" s="1" t="s">
        <v>85</v>
      </c>
      <c r="K570" s="1" t="s">
        <v>1371</v>
      </c>
      <c r="L570" s="1" t="s">
        <v>1380</v>
      </c>
      <c r="M570" s="1" t="s">
        <v>1380</v>
      </c>
      <c r="N570" s="1" t="str">
        <f t="shared" si="8"/>
        <v xml:space="preserve">LEONARDO SANTOS </v>
      </c>
    </row>
    <row r="571" spans="1:14" x14ac:dyDescent="0.3">
      <c r="A571" s="1">
        <v>701090</v>
      </c>
      <c r="B571" s="1" t="s">
        <v>561</v>
      </c>
      <c r="C571" s="5" t="s">
        <v>15</v>
      </c>
      <c r="D571" s="2">
        <v>43626</v>
      </c>
      <c r="E571" s="1" t="s">
        <v>127</v>
      </c>
      <c r="F571" s="1">
        <v>22102</v>
      </c>
      <c r="G571" s="1" t="s">
        <v>68</v>
      </c>
      <c r="H571" s="1" t="s">
        <v>18</v>
      </c>
      <c r="J571" s="1" t="s">
        <v>81</v>
      </c>
      <c r="K571" s="1" t="s">
        <v>1371</v>
      </c>
      <c r="L571" s="1" t="s">
        <v>1509</v>
      </c>
      <c r="M571" s="1" t="s">
        <v>1379</v>
      </c>
      <c r="N571" s="1" t="str">
        <f t="shared" si="8"/>
        <v xml:space="preserve">EDSON/MARCELO LIMA </v>
      </c>
    </row>
    <row r="572" spans="1:14" x14ac:dyDescent="0.3">
      <c r="A572" s="1">
        <v>705014</v>
      </c>
      <c r="B572" s="1" t="s">
        <v>562</v>
      </c>
      <c r="C572" s="5" t="s">
        <v>15</v>
      </c>
      <c r="D572" s="2">
        <v>45635</v>
      </c>
      <c r="E572" s="1" t="s">
        <v>93</v>
      </c>
      <c r="F572" s="1">
        <v>34201</v>
      </c>
      <c r="G572" s="1" t="s">
        <v>84</v>
      </c>
      <c r="H572" s="1" t="s">
        <v>18</v>
      </c>
      <c r="J572" s="1" t="s">
        <v>85</v>
      </c>
      <c r="K572" s="1" t="s">
        <v>1371</v>
      </c>
      <c r="L572" s="1" t="s">
        <v>1380</v>
      </c>
      <c r="M572" s="1" t="s">
        <v>1380</v>
      </c>
      <c r="N572" s="1" t="str">
        <f t="shared" si="8"/>
        <v xml:space="preserve">LEONARDO SANTOS </v>
      </c>
    </row>
    <row r="573" spans="1:14" x14ac:dyDescent="0.3">
      <c r="A573" s="1">
        <v>702813</v>
      </c>
      <c r="B573" s="1" t="s">
        <v>563</v>
      </c>
      <c r="C573" s="5" t="s">
        <v>15</v>
      </c>
      <c r="D573" s="2">
        <v>44613</v>
      </c>
      <c r="E573" s="1" t="s">
        <v>138</v>
      </c>
      <c r="F573" s="1">
        <v>52104</v>
      </c>
      <c r="G573" s="1" t="s">
        <v>17</v>
      </c>
      <c r="H573" s="1" t="s">
        <v>18</v>
      </c>
      <c r="J573" s="1" t="s">
        <v>19</v>
      </c>
      <c r="K573" s="1" t="s">
        <v>1368</v>
      </c>
      <c r="L573" s="1" t="s">
        <v>20</v>
      </c>
      <c r="M573" s="1" t="s">
        <v>1632</v>
      </c>
      <c r="N573" s="1" t="str">
        <f t="shared" si="8"/>
        <v>THIAGO MARCOS</v>
      </c>
    </row>
    <row r="574" spans="1:14" x14ac:dyDescent="0.3">
      <c r="A574" s="1">
        <v>705128</v>
      </c>
      <c r="B574" s="1" t="s">
        <v>1145</v>
      </c>
      <c r="C574" s="5" t="s">
        <v>15</v>
      </c>
      <c r="D574" s="2">
        <v>45698</v>
      </c>
      <c r="E574" s="1" t="s">
        <v>93</v>
      </c>
      <c r="F574" s="1">
        <v>22102</v>
      </c>
      <c r="G574" s="1" t="s">
        <v>68</v>
      </c>
      <c r="H574" s="1" t="s">
        <v>18</v>
      </c>
      <c r="J574" s="1" t="s">
        <v>94</v>
      </c>
      <c r="K574" s="1" t="s">
        <v>1371</v>
      </c>
      <c r="L574" s="1" t="s">
        <v>1378</v>
      </c>
      <c r="M574" s="1" t="s">
        <v>95</v>
      </c>
      <c r="N574" s="1" t="str">
        <f t="shared" si="8"/>
        <v>LUAN ABADIA</v>
      </c>
    </row>
    <row r="575" spans="1:14" x14ac:dyDescent="0.3">
      <c r="A575" s="1">
        <v>703536</v>
      </c>
      <c r="B575" s="1" t="s">
        <v>564</v>
      </c>
      <c r="C575" s="5" t="s">
        <v>15</v>
      </c>
      <c r="D575" s="2">
        <v>44907</v>
      </c>
      <c r="E575" s="1" t="s">
        <v>188</v>
      </c>
      <c r="F575" s="1">
        <v>22102</v>
      </c>
      <c r="G575" s="1" t="s">
        <v>68</v>
      </c>
      <c r="H575" s="1" t="s">
        <v>18</v>
      </c>
      <c r="J575" s="1" t="s">
        <v>81</v>
      </c>
      <c r="K575" s="1" t="s">
        <v>1371</v>
      </c>
      <c r="L575" s="1" t="s">
        <v>1509</v>
      </c>
      <c r="M575" s="1" t="s">
        <v>1379</v>
      </c>
      <c r="N575" s="1" t="str">
        <f t="shared" si="8"/>
        <v xml:space="preserve">EDSON/MARCELO LIMA </v>
      </c>
    </row>
    <row r="576" spans="1:14" x14ac:dyDescent="0.3">
      <c r="A576" s="1">
        <v>703564</v>
      </c>
      <c r="B576" s="1" t="s">
        <v>565</v>
      </c>
      <c r="C576" s="5" t="s">
        <v>15</v>
      </c>
      <c r="D576" s="2">
        <v>44942</v>
      </c>
      <c r="E576" s="1" t="s">
        <v>97</v>
      </c>
      <c r="F576" s="1">
        <v>32101</v>
      </c>
      <c r="G576" s="1" t="s">
        <v>23</v>
      </c>
      <c r="H576" s="1" t="s">
        <v>18</v>
      </c>
      <c r="J576" s="1" t="s">
        <v>24</v>
      </c>
      <c r="K576" s="1" t="s">
        <v>25</v>
      </c>
      <c r="L576" s="1" t="s">
        <v>1369</v>
      </c>
      <c r="M576" s="1" t="s">
        <v>1370</v>
      </c>
      <c r="N576" s="1" t="str">
        <f t="shared" si="8"/>
        <v>JUNIO COSTA</v>
      </c>
    </row>
    <row r="577" spans="1:14" x14ac:dyDescent="0.3">
      <c r="A577" s="1">
        <v>703147</v>
      </c>
      <c r="B577" s="1" t="s">
        <v>566</v>
      </c>
      <c r="C577" s="5" t="s">
        <v>15</v>
      </c>
      <c r="D577" s="2">
        <v>44718</v>
      </c>
      <c r="E577" s="1" t="s">
        <v>71</v>
      </c>
      <c r="F577" s="1">
        <v>25201</v>
      </c>
      <c r="G577" s="1" t="s">
        <v>89</v>
      </c>
      <c r="H577" s="1" t="s">
        <v>18</v>
      </c>
      <c r="J577" s="1" t="s">
        <v>19</v>
      </c>
      <c r="K577" s="1" t="s">
        <v>1368</v>
      </c>
      <c r="L577" s="1" t="s">
        <v>20</v>
      </c>
      <c r="M577" s="1" t="s">
        <v>1632</v>
      </c>
      <c r="N577" s="1" t="str">
        <f t="shared" si="8"/>
        <v>THIAGO MARCOS</v>
      </c>
    </row>
    <row r="578" spans="1:14" x14ac:dyDescent="0.3">
      <c r="A578" s="1">
        <v>705787</v>
      </c>
      <c r="B578" s="1" t="s">
        <v>1533</v>
      </c>
      <c r="C578" s="5" t="s">
        <v>15</v>
      </c>
      <c r="D578" s="2">
        <v>46035</v>
      </c>
      <c r="E578" s="1" t="s">
        <v>31</v>
      </c>
      <c r="F578" s="1">
        <v>52104</v>
      </c>
      <c r="G578" s="1" t="s">
        <v>17</v>
      </c>
      <c r="H578" s="1" t="s">
        <v>18</v>
      </c>
      <c r="J578" s="1" t="s">
        <v>19</v>
      </c>
      <c r="K578" s="1" t="s">
        <v>1368</v>
      </c>
      <c r="L578" s="1" t="s">
        <v>20</v>
      </c>
      <c r="M578" s="1" t="s">
        <v>1632</v>
      </c>
      <c r="N578" s="1" t="str">
        <f t="shared" si="8"/>
        <v>THIAGO MARCOS</v>
      </c>
    </row>
    <row r="579" spans="1:14" x14ac:dyDescent="0.3">
      <c r="A579" s="1">
        <v>705392</v>
      </c>
      <c r="B579" s="1" t="s">
        <v>1272</v>
      </c>
      <c r="C579" s="5" t="s">
        <v>15</v>
      </c>
      <c r="D579" s="2">
        <v>45791</v>
      </c>
      <c r="E579" s="1" t="s">
        <v>22</v>
      </c>
      <c r="F579" s="1">
        <v>34101</v>
      </c>
      <c r="G579" s="1" t="s">
        <v>43</v>
      </c>
      <c r="H579" s="1" t="s">
        <v>18</v>
      </c>
      <c r="J579" s="1" t="s">
        <v>237</v>
      </c>
      <c r="K579" s="1" t="s">
        <v>25</v>
      </c>
      <c r="L579" s="1" t="s">
        <v>1384</v>
      </c>
      <c r="N579" s="1" t="str">
        <f t="shared" ref="N579:N642" si="9">IF(M579&lt;&gt;"", M579, IF(L579&lt;&gt;"", L579, K579))</f>
        <v xml:space="preserve">MARCOS VINICIUS </v>
      </c>
    </row>
    <row r="580" spans="1:14" x14ac:dyDescent="0.3">
      <c r="A580" s="1">
        <v>705219</v>
      </c>
      <c r="B580" s="1" t="s">
        <v>1168</v>
      </c>
      <c r="C580" s="5" t="s">
        <v>15</v>
      </c>
      <c r="D580" s="2">
        <v>45734</v>
      </c>
      <c r="E580" s="1" t="s">
        <v>31</v>
      </c>
      <c r="F580" s="1">
        <v>22102</v>
      </c>
      <c r="G580" s="1" t="s">
        <v>68</v>
      </c>
      <c r="H580" s="1" t="s">
        <v>18</v>
      </c>
      <c r="J580" s="1" t="s">
        <v>167</v>
      </c>
      <c r="K580" s="1" t="s">
        <v>1371</v>
      </c>
      <c r="L580" s="1" t="s">
        <v>1509</v>
      </c>
      <c r="M580" s="1" t="s">
        <v>1636</v>
      </c>
      <c r="N580" s="1" t="str">
        <f t="shared" si="9"/>
        <v>FABIANO DIAS</v>
      </c>
    </row>
    <row r="581" spans="1:14" x14ac:dyDescent="0.3">
      <c r="A581" s="1">
        <v>704229</v>
      </c>
      <c r="B581" s="1" t="s">
        <v>568</v>
      </c>
      <c r="C581" s="5" t="s">
        <v>15</v>
      </c>
      <c r="D581" s="2">
        <v>45328</v>
      </c>
      <c r="E581" s="1" t="s">
        <v>230</v>
      </c>
      <c r="F581" s="1">
        <v>38101</v>
      </c>
      <c r="G581" s="1" t="s">
        <v>35</v>
      </c>
      <c r="H581" s="1" t="s">
        <v>18</v>
      </c>
      <c r="J581" s="1" t="s">
        <v>36</v>
      </c>
      <c r="K581" s="1" t="s">
        <v>1372</v>
      </c>
      <c r="L581" s="1" t="s">
        <v>1373</v>
      </c>
      <c r="M581" s="1" t="s">
        <v>1373</v>
      </c>
      <c r="N581" s="1" t="str">
        <f t="shared" si="9"/>
        <v>DENIS ACASSIO</v>
      </c>
    </row>
    <row r="582" spans="1:14" x14ac:dyDescent="0.3">
      <c r="A582" s="1">
        <v>705731</v>
      </c>
      <c r="B582" s="1" t="s">
        <v>1457</v>
      </c>
      <c r="C582" s="5" t="s">
        <v>15</v>
      </c>
      <c r="D582" s="2">
        <v>45972</v>
      </c>
      <c r="E582" s="1" t="s">
        <v>31</v>
      </c>
      <c r="F582" s="1">
        <v>52104</v>
      </c>
      <c r="G582" s="1" t="s">
        <v>17</v>
      </c>
      <c r="H582" s="1" t="s">
        <v>18</v>
      </c>
      <c r="J582" s="1" t="s">
        <v>19</v>
      </c>
      <c r="K582" s="1" t="s">
        <v>1368</v>
      </c>
      <c r="L582" s="1" t="s">
        <v>20</v>
      </c>
      <c r="M582" s="1" t="s">
        <v>1632</v>
      </c>
      <c r="N582" s="1" t="str">
        <f t="shared" si="9"/>
        <v>THIAGO MARCOS</v>
      </c>
    </row>
    <row r="583" spans="1:14" x14ac:dyDescent="0.3">
      <c r="A583" s="1">
        <v>705126</v>
      </c>
      <c r="B583" s="1" t="s">
        <v>1146</v>
      </c>
      <c r="C583" s="5" t="s">
        <v>15</v>
      </c>
      <c r="D583" s="2">
        <v>45698</v>
      </c>
      <c r="E583" s="1" t="s">
        <v>31</v>
      </c>
      <c r="F583" s="1">
        <v>22102</v>
      </c>
      <c r="G583" s="1" t="s">
        <v>68</v>
      </c>
      <c r="H583" s="1" t="s">
        <v>18</v>
      </c>
      <c r="J583" s="1" t="s">
        <v>94</v>
      </c>
      <c r="K583" s="1" t="s">
        <v>1371</v>
      </c>
      <c r="L583" s="1" t="s">
        <v>1378</v>
      </c>
      <c r="M583" s="1" t="s">
        <v>95</v>
      </c>
      <c r="N583" s="1" t="str">
        <f t="shared" si="9"/>
        <v>LUAN ABADIA</v>
      </c>
    </row>
    <row r="584" spans="1:14" x14ac:dyDescent="0.3">
      <c r="A584" s="1">
        <v>705370</v>
      </c>
      <c r="B584" s="1" t="s">
        <v>1233</v>
      </c>
      <c r="C584" s="5" t="s">
        <v>15</v>
      </c>
      <c r="D584" s="2">
        <v>45784</v>
      </c>
      <c r="E584" s="1" t="s">
        <v>166</v>
      </c>
      <c r="F584" s="1">
        <v>22102</v>
      </c>
      <c r="G584" s="1" t="s">
        <v>68</v>
      </c>
      <c r="H584" s="1" t="s">
        <v>18</v>
      </c>
      <c r="J584" s="1" t="s">
        <v>94</v>
      </c>
      <c r="K584" s="1" t="s">
        <v>1371</v>
      </c>
      <c r="L584" s="1" t="s">
        <v>1378</v>
      </c>
      <c r="M584" s="1" t="s">
        <v>95</v>
      </c>
      <c r="N584" s="1" t="str">
        <f t="shared" si="9"/>
        <v>LUAN ABADIA</v>
      </c>
    </row>
    <row r="585" spans="1:14" x14ac:dyDescent="0.3">
      <c r="A585" s="1">
        <v>703488</v>
      </c>
      <c r="B585" s="1" t="s">
        <v>569</v>
      </c>
      <c r="C585" s="5" t="s">
        <v>15</v>
      </c>
      <c r="D585" s="2">
        <v>44887</v>
      </c>
      <c r="E585" s="1" t="s">
        <v>31</v>
      </c>
      <c r="F585" s="1">
        <v>52104</v>
      </c>
      <c r="G585" s="1" t="s">
        <v>17</v>
      </c>
      <c r="H585" s="1" t="s">
        <v>18</v>
      </c>
      <c r="J585" s="1" t="s">
        <v>19</v>
      </c>
      <c r="K585" s="1" t="s">
        <v>1368</v>
      </c>
      <c r="L585" s="1" t="s">
        <v>20</v>
      </c>
      <c r="M585" s="1" t="s">
        <v>1632</v>
      </c>
      <c r="N585" s="1" t="str">
        <f t="shared" si="9"/>
        <v>THIAGO MARCOS</v>
      </c>
    </row>
    <row r="586" spans="1:14" x14ac:dyDescent="0.3">
      <c r="A586" s="1">
        <v>159</v>
      </c>
      <c r="B586" s="1" t="s">
        <v>570</v>
      </c>
      <c r="C586" s="5" t="s">
        <v>15</v>
      </c>
      <c r="D586" s="2">
        <v>45352</v>
      </c>
      <c r="E586" s="1" t="s">
        <v>276</v>
      </c>
      <c r="F586" s="1">
        <v>14101</v>
      </c>
      <c r="G586" s="1" t="s">
        <v>277</v>
      </c>
      <c r="H586" s="1" t="s">
        <v>571</v>
      </c>
      <c r="J586" s="1" t="s">
        <v>572</v>
      </c>
      <c r="K586" s="1" t="s">
        <v>1372</v>
      </c>
      <c r="N586" s="1" t="str">
        <f t="shared" si="9"/>
        <v xml:space="preserve">LEIDJANE MARTINS </v>
      </c>
    </row>
    <row r="587" spans="1:14" x14ac:dyDescent="0.3">
      <c r="A587" s="1">
        <v>132</v>
      </c>
      <c r="B587" s="1" t="s">
        <v>573</v>
      </c>
      <c r="C587" s="5" t="s">
        <v>15</v>
      </c>
      <c r="D587" s="2">
        <v>44718</v>
      </c>
      <c r="E587" s="1" t="s">
        <v>574</v>
      </c>
      <c r="F587" s="1">
        <v>17101</v>
      </c>
      <c r="G587" s="1" t="s">
        <v>575</v>
      </c>
      <c r="H587" s="1" t="s">
        <v>571</v>
      </c>
      <c r="J587" s="1" t="s">
        <v>576</v>
      </c>
      <c r="K587" s="1" t="s">
        <v>577</v>
      </c>
      <c r="N587" s="1" t="str">
        <f t="shared" si="9"/>
        <v>RAFAEL NETTO</v>
      </c>
    </row>
    <row r="588" spans="1:14" x14ac:dyDescent="0.3">
      <c r="A588" s="1">
        <v>92</v>
      </c>
      <c r="B588" s="1" t="s">
        <v>50</v>
      </c>
      <c r="C588" s="5" t="s">
        <v>15</v>
      </c>
      <c r="D588" s="2">
        <v>42772</v>
      </c>
      <c r="E588" s="1" t="s">
        <v>578</v>
      </c>
      <c r="F588" s="1">
        <v>12101</v>
      </c>
      <c r="G588" s="1" t="s">
        <v>579</v>
      </c>
      <c r="H588" s="1" t="s">
        <v>571</v>
      </c>
      <c r="J588" s="1" t="s">
        <v>580</v>
      </c>
      <c r="K588" s="1" t="s">
        <v>581</v>
      </c>
      <c r="N588" s="1" t="str">
        <f t="shared" si="9"/>
        <v>RENAN ROVAI</v>
      </c>
    </row>
    <row r="589" spans="1:14" x14ac:dyDescent="0.3">
      <c r="A589" s="1">
        <v>157</v>
      </c>
      <c r="B589" s="1" t="s">
        <v>582</v>
      </c>
      <c r="C589" s="5" t="s">
        <v>15</v>
      </c>
      <c r="D589" s="2">
        <v>45355</v>
      </c>
      <c r="E589" s="1" t="s">
        <v>1234</v>
      </c>
      <c r="F589" s="1">
        <v>12104</v>
      </c>
      <c r="G589" s="1" t="s">
        <v>583</v>
      </c>
      <c r="H589" s="1" t="s">
        <v>571</v>
      </c>
      <c r="J589" s="1" t="s">
        <v>584</v>
      </c>
      <c r="K589" s="1" t="s">
        <v>585</v>
      </c>
      <c r="N589" s="1" t="str">
        <f t="shared" si="9"/>
        <v>RAFAEL PREVELATO</v>
      </c>
    </row>
    <row r="590" spans="1:14" x14ac:dyDescent="0.3">
      <c r="A590" s="1">
        <v>139</v>
      </c>
      <c r="B590" s="1" t="s">
        <v>586</v>
      </c>
      <c r="C590" s="5" t="s">
        <v>15</v>
      </c>
      <c r="D590" s="2">
        <v>44927</v>
      </c>
      <c r="E590" s="1" t="s">
        <v>587</v>
      </c>
      <c r="F590" s="1">
        <v>17101</v>
      </c>
      <c r="G590" s="1" t="s">
        <v>575</v>
      </c>
      <c r="H590" s="1" t="s">
        <v>571</v>
      </c>
      <c r="J590" s="1" t="s">
        <v>576</v>
      </c>
      <c r="K590" s="1" t="s">
        <v>577</v>
      </c>
      <c r="N590" s="1" t="str">
        <f t="shared" si="9"/>
        <v>RAFAEL NETTO</v>
      </c>
    </row>
    <row r="591" spans="1:14" x14ac:dyDescent="0.3">
      <c r="A591" s="1">
        <v>152</v>
      </c>
      <c r="B591" s="1" t="s">
        <v>588</v>
      </c>
      <c r="C591" s="5" t="s">
        <v>15</v>
      </c>
      <c r="D591" s="2">
        <v>45145</v>
      </c>
      <c r="E591" s="1" t="s">
        <v>589</v>
      </c>
      <c r="F591" s="1">
        <v>12106</v>
      </c>
      <c r="G591" s="1" t="s">
        <v>590</v>
      </c>
      <c r="H591" s="1" t="s">
        <v>571</v>
      </c>
      <c r="J591" s="1" t="s">
        <v>591</v>
      </c>
      <c r="K591" s="1" t="s">
        <v>592</v>
      </c>
      <c r="N591" s="1" t="str">
        <f t="shared" si="9"/>
        <v>THALITA SABINA</v>
      </c>
    </row>
    <row r="592" spans="1:14" x14ac:dyDescent="0.3">
      <c r="A592" s="1">
        <v>702550</v>
      </c>
      <c r="B592" s="1" t="s">
        <v>593</v>
      </c>
      <c r="C592" s="5" t="s">
        <v>15</v>
      </c>
      <c r="D592" s="2">
        <v>44452</v>
      </c>
      <c r="E592" s="1" t="s">
        <v>594</v>
      </c>
      <c r="F592" s="1">
        <v>11101</v>
      </c>
      <c r="G592" s="1" t="s">
        <v>595</v>
      </c>
      <c r="H592" s="1" t="s">
        <v>571</v>
      </c>
      <c r="J592" s="1" t="s">
        <v>596</v>
      </c>
      <c r="K592" s="1" t="s">
        <v>597</v>
      </c>
      <c r="N592" s="1" t="str">
        <f t="shared" si="9"/>
        <v>MIGUEL PRADO</v>
      </c>
    </row>
    <row r="593" spans="1:14" x14ac:dyDescent="0.3">
      <c r="A593" s="1">
        <v>21</v>
      </c>
      <c r="B593" s="1" t="s">
        <v>598</v>
      </c>
      <c r="C593" s="5" t="s">
        <v>15</v>
      </c>
      <c r="D593" s="2">
        <v>40708</v>
      </c>
      <c r="E593" s="1" t="s">
        <v>599</v>
      </c>
      <c r="F593" s="1">
        <v>12107</v>
      </c>
      <c r="G593" s="1" t="s">
        <v>600</v>
      </c>
      <c r="H593" s="1" t="s">
        <v>571</v>
      </c>
      <c r="J593" s="1" t="s">
        <v>601</v>
      </c>
      <c r="K593" s="1" t="s">
        <v>592</v>
      </c>
      <c r="N593" s="1" t="str">
        <f t="shared" si="9"/>
        <v>THALITA SABINA</v>
      </c>
    </row>
    <row r="594" spans="1:14" x14ac:dyDescent="0.3">
      <c r="A594" s="1">
        <v>115</v>
      </c>
      <c r="B594" s="1" t="s">
        <v>602</v>
      </c>
      <c r="C594" s="5" t="s">
        <v>15</v>
      </c>
      <c r="D594" s="2">
        <v>44361</v>
      </c>
      <c r="E594" s="1" t="s">
        <v>47</v>
      </c>
      <c r="F594" s="1">
        <v>35101</v>
      </c>
      <c r="G594" s="1" t="s">
        <v>48</v>
      </c>
      <c r="H594" s="1" t="s">
        <v>571</v>
      </c>
      <c r="J594" s="1" t="s">
        <v>49</v>
      </c>
      <c r="K594" s="1" t="s">
        <v>50</v>
      </c>
      <c r="L594" s="1" t="s">
        <v>1474</v>
      </c>
      <c r="N594" s="1" t="str">
        <f t="shared" si="9"/>
        <v>NICHOLLAS OLIVEIRA</v>
      </c>
    </row>
    <row r="595" spans="1:14" x14ac:dyDescent="0.3">
      <c r="A595" s="1">
        <v>177</v>
      </c>
      <c r="B595" s="1" t="s">
        <v>1561</v>
      </c>
      <c r="C595" s="5" t="s">
        <v>15</v>
      </c>
      <c r="D595" s="2">
        <v>46063</v>
      </c>
      <c r="E595" s="1" t="s">
        <v>603</v>
      </c>
      <c r="F595" s="1">
        <v>14105</v>
      </c>
      <c r="G595" s="1" t="s">
        <v>1442</v>
      </c>
      <c r="H595" s="1" t="s">
        <v>571</v>
      </c>
      <c r="J595" s="1" t="s">
        <v>607</v>
      </c>
      <c r="K595" s="1" t="s">
        <v>1386</v>
      </c>
      <c r="N595" s="1" t="str">
        <f t="shared" si="9"/>
        <v>JOÃO GORGULHO</v>
      </c>
    </row>
    <row r="596" spans="1:14" x14ac:dyDescent="0.3">
      <c r="A596" s="1">
        <v>173</v>
      </c>
      <c r="B596" s="1" t="s">
        <v>1458</v>
      </c>
      <c r="C596" s="5" t="s">
        <v>15</v>
      </c>
      <c r="D596" s="2">
        <v>45965</v>
      </c>
      <c r="E596" s="1" t="s">
        <v>1459</v>
      </c>
      <c r="F596" s="1">
        <v>12104</v>
      </c>
      <c r="G596" s="1" t="s">
        <v>583</v>
      </c>
      <c r="H596" s="1" t="s">
        <v>571</v>
      </c>
      <c r="J596" s="1" t="s">
        <v>584</v>
      </c>
      <c r="K596" s="1" t="s">
        <v>585</v>
      </c>
      <c r="N596" s="1" t="str">
        <f t="shared" si="9"/>
        <v>RAFAEL PREVELATO</v>
      </c>
    </row>
    <row r="597" spans="1:14" x14ac:dyDescent="0.3">
      <c r="A597" s="1">
        <v>82</v>
      </c>
      <c r="B597" s="1" t="s">
        <v>604</v>
      </c>
      <c r="C597" s="5" t="s">
        <v>15</v>
      </c>
      <c r="D597" s="2">
        <v>43052</v>
      </c>
      <c r="E597" s="1" t="s">
        <v>605</v>
      </c>
      <c r="F597" s="1">
        <v>14102</v>
      </c>
      <c r="G597" s="1" t="s">
        <v>606</v>
      </c>
      <c r="H597" s="1" t="s">
        <v>571</v>
      </c>
      <c r="J597" s="1" t="s">
        <v>572</v>
      </c>
      <c r="K597" s="1" t="s">
        <v>1372</v>
      </c>
      <c r="N597" s="1" t="str">
        <f t="shared" si="9"/>
        <v xml:space="preserve">LEIDJANE MARTINS </v>
      </c>
    </row>
    <row r="598" spans="1:14" x14ac:dyDescent="0.3">
      <c r="A598" s="1">
        <v>67</v>
      </c>
      <c r="B598" s="1" t="s">
        <v>608</v>
      </c>
      <c r="C598" s="5" t="s">
        <v>15</v>
      </c>
      <c r="D598" s="2">
        <v>42681</v>
      </c>
      <c r="E598" s="1" t="s">
        <v>609</v>
      </c>
      <c r="F598" s="1">
        <v>11101</v>
      </c>
      <c r="G598" s="1" t="s">
        <v>595</v>
      </c>
      <c r="H598" s="1" t="s">
        <v>571</v>
      </c>
      <c r="J598" s="1" t="s">
        <v>610</v>
      </c>
      <c r="K598" s="1" t="s">
        <v>597</v>
      </c>
      <c r="N598" s="1" t="str">
        <f t="shared" si="9"/>
        <v>MIGUEL PRADO</v>
      </c>
    </row>
    <row r="599" spans="1:14" x14ac:dyDescent="0.3">
      <c r="A599" s="1">
        <v>112</v>
      </c>
      <c r="B599" s="1" t="s">
        <v>611</v>
      </c>
      <c r="C599" s="5" t="s">
        <v>15</v>
      </c>
      <c r="D599" s="2">
        <v>44249</v>
      </c>
      <c r="E599" s="1" t="s">
        <v>1507</v>
      </c>
      <c r="F599" s="1">
        <v>35101</v>
      </c>
      <c r="G599" s="1" t="s">
        <v>48</v>
      </c>
      <c r="H599" s="1" t="s">
        <v>571</v>
      </c>
      <c r="J599" s="1" t="s">
        <v>49</v>
      </c>
      <c r="K599" s="1" t="s">
        <v>50</v>
      </c>
      <c r="L599" s="1" t="s">
        <v>1474</v>
      </c>
      <c r="N599" s="1" t="str">
        <f t="shared" si="9"/>
        <v>NICHOLLAS OLIVEIRA</v>
      </c>
    </row>
    <row r="600" spans="1:14" x14ac:dyDescent="0.3">
      <c r="A600" s="1">
        <v>174</v>
      </c>
      <c r="B600" s="1" t="s">
        <v>1460</v>
      </c>
      <c r="C600" s="5" t="s">
        <v>15</v>
      </c>
      <c r="D600" s="2">
        <v>45973</v>
      </c>
      <c r="E600" s="1" t="s">
        <v>77</v>
      </c>
      <c r="F600" s="1">
        <v>14105</v>
      </c>
      <c r="G600" s="1" t="s">
        <v>1442</v>
      </c>
      <c r="H600" s="1" t="s">
        <v>571</v>
      </c>
      <c r="J600" s="1" t="s">
        <v>49</v>
      </c>
      <c r="K600" s="1" t="s">
        <v>50</v>
      </c>
      <c r="L600" s="1" t="s">
        <v>1474</v>
      </c>
      <c r="N600" s="1" t="str">
        <f t="shared" si="9"/>
        <v>NICHOLLAS OLIVEIRA</v>
      </c>
    </row>
    <row r="601" spans="1:14" x14ac:dyDescent="0.3">
      <c r="A601" s="1">
        <v>161</v>
      </c>
      <c r="B601" s="1" t="s">
        <v>612</v>
      </c>
      <c r="C601" s="5" t="s">
        <v>15</v>
      </c>
      <c r="D601" s="2">
        <v>45446</v>
      </c>
      <c r="E601" s="1" t="s">
        <v>613</v>
      </c>
      <c r="F601" s="1">
        <v>12107</v>
      </c>
      <c r="G601" s="1" t="s">
        <v>600</v>
      </c>
      <c r="H601" s="1" t="s">
        <v>571</v>
      </c>
      <c r="J601" s="1" t="s">
        <v>601</v>
      </c>
      <c r="K601" s="1" t="s">
        <v>592</v>
      </c>
      <c r="N601" s="1" t="str">
        <f t="shared" si="9"/>
        <v>THALITA SABINA</v>
      </c>
    </row>
    <row r="602" spans="1:14" x14ac:dyDescent="0.3">
      <c r="A602" s="1">
        <v>120</v>
      </c>
      <c r="B602" s="1" t="s">
        <v>614</v>
      </c>
      <c r="C602" s="5" t="s">
        <v>15</v>
      </c>
      <c r="D602" s="2">
        <v>44447</v>
      </c>
      <c r="E602" s="1" t="s">
        <v>615</v>
      </c>
      <c r="F602" s="1">
        <v>12101</v>
      </c>
      <c r="G602" s="1" t="s">
        <v>579</v>
      </c>
      <c r="H602" s="1" t="s">
        <v>571</v>
      </c>
      <c r="J602" s="1" t="s">
        <v>616</v>
      </c>
      <c r="K602" s="1" t="s">
        <v>581</v>
      </c>
      <c r="N602" s="1" t="str">
        <f t="shared" si="9"/>
        <v>RENAN ROVAI</v>
      </c>
    </row>
    <row r="603" spans="1:14" x14ac:dyDescent="0.3">
      <c r="A603" s="1">
        <v>155</v>
      </c>
      <c r="B603" s="1" t="s">
        <v>617</v>
      </c>
      <c r="C603" s="5" t="s">
        <v>15</v>
      </c>
      <c r="D603" s="2">
        <v>45341</v>
      </c>
      <c r="E603" s="1" t="s">
        <v>47</v>
      </c>
      <c r="F603" s="1">
        <v>35101</v>
      </c>
      <c r="G603" s="1" t="s">
        <v>48</v>
      </c>
      <c r="H603" s="1" t="s">
        <v>571</v>
      </c>
      <c r="J603" s="1" t="s">
        <v>49</v>
      </c>
      <c r="K603" s="1" t="s">
        <v>50</v>
      </c>
      <c r="L603" s="1" t="s">
        <v>1474</v>
      </c>
      <c r="N603" s="1" t="str">
        <f t="shared" si="9"/>
        <v>NICHOLLAS OLIVEIRA</v>
      </c>
    </row>
    <row r="604" spans="1:14" x14ac:dyDescent="0.3">
      <c r="A604" s="1">
        <v>178</v>
      </c>
      <c r="B604" s="1" t="s">
        <v>1562</v>
      </c>
      <c r="C604" s="5" t="s">
        <v>15</v>
      </c>
      <c r="D604" s="2">
        <v>46062</v>
      </c>
      <c r="E604" s="1" t="s">
        <v>618</v>
      </c>
      <c r="F604" s="1">
        <v>35101</v>
      </c>
      <c r="G604" s="1" t="s">
        <v>48</v>
      </c>
      <c r="H604" s="1" t="s">
        <v>571</v>
      </c>
      <c r="J604" s="1" t="s">
        <v>49</v>
      </c>
      <c r="K604" s="1" t="s">
        <v>50</v>
      </c>
      <c r="L604" s="1" t="s">
        <v>1474</v>
      </c>
      <c r="N604" s="1" t="str">
        <f t="shared" si="9"/>
        <v>NICHOLLAS OLIVEIRA</v>
      </c>
    </row>
    <row r="605" spans="1:14" x14ac:dyDescent="0.3">
      <c r="A605" s="1">
        <v>170</v>
      </c>
      <c r="B605" s="1" t="s">
        <v>619</v>
      </c>
      <c r="C605" s="5" t="s">
        <v>15</v>
      </c>
      <c r="D605" s="2">
        <v>45602</v>
      </c>
      <c r="E605" s="1" t="s">
        <v>620</v>
      </c>
      <c r="F605" s="1">
        <v>12106</v>
      </c>
      <c r="G605" s="1" t="s">
        <v>590</v>
      </c>
      <c r="H605" s="1" t="s">
        <v>571</v>
      </c>
      <c r="J605" s="1" t="s">
        <v>591</v>
      </c>
      <c r="K605" s="1" t="s">
        <v>592</v>
      </c>
      <c r="N605" s="1" t="str">
        <f t="shared" si="9"/>
        <v>THALITA SABINA</v>
      </c>
    </row>
    <row r="606" spans="1:14" x14ac:dyDescent="0.3">
      <c r="A606" s="1">
        <v>179</v>
      </c>
      <c r="B606" s="1" t="s">
        <v>1563</v>
      </c>
      <c r="C606" s="5" t="s">
        <v>15</v>
      </c>
      <c r="D606" s="2">
        <v>46062</v>
      </c>
      <c r="E606" s="1" t="s">
        <v>77</v>
      </c>
      <c r="F606" s="1">
        <v>14105</v>
      </c>
      <c r="G606" s="1" t="s">
        <v>1442</v>
      </c>
      <c r="H606" s="1" t="s">
        <v>571</v>
      </c>
      <c r="J606" s="1" t="s">
        <v>49</v>
      </c>
      <c r="K606" s="1" t="s">
        <v>50</v>
      </c>
      <c r="L606" s="1" t="s">
        <v>1474</v>
      </c>
      <c r="N606" s="1" t="str">
        <f t="shared" si="9"/>
        <v>NICHOLLAS OLIVEIRA</v>
      </c>
    </row>
    <row r="607" spans="1:14" x14ac:dyDescent="0.3">
      <c r="A607" s="1">
        <v>176</v>
      </c>
      <c r="B607" s="1" t="s">
        <v>621</v>
      </c>
      <c r="C607" s="5" t="s">
        <v>15</v>
      </c>
      <c r="D607" s="2">
        <v>46034</v>
      </c>
      <c r="E607" s="1" t="s">
        <v>653</v>
      </c>
      <c r="F607" s="1">
        <v>35101</v>
      </c>
      <c r="G607" s="1" t="s">
        <v>48</v>
      </c>
      <c r="H607" s="1" t="s">
        <v>571</v>
      </c>
      <c r="J607" s="1" t="s">
        <v>49</v>
      </c>
      <c r="K607" s="1" t="s">
        <v>50</v>
      </c>
      <c r="L607" s="1" t="s">
        <v>1474</v>
      </c>
      <c r="N607" s="1" t="str">
        <f t="shared" si="9"/>
        <v>NICHOLLAS OLIVEIRA</v>
      </c>
    </row>
    <row r="608" spans="1:14" x14ac:dyDescent="0.3">
      <c r="A608" s="1">
        <v>114</v>
      </c>
      <c r="B608" s="1" t="s">
        <v>622</v>
      </c>
      <c r="C608" s="5" t="s">
        <v>15</v>
      </c>
      <c r="D608" s="2">
        <v>44263</v>
      </c>
      <c r="E608" s="1" t="s">
        <v>613</v>
      </c>
      <c r="F608" s="1">
        <v>12107</v>
      </c>
      <c r="G608" s="1" t="s">
        <v>600</v>
      </c>
      <c r="H608" s="1" t="s">
        <v>571</v>
      </c>
      <c r="J608" s="1" t="s">
        <v>601</v>
      </c>
      <c r="K608" s="1" t="s">
        <v>592</v>
      </c>
      <c r="N608" s="1" t="str">
        <f t="shared" si="9"/>
        <v>THALITA SABINA</v>
      </c>
    </row>
    <row r="609" spans="1:14" x14ac:dyDescent="0.3">
      <c r="A609" s="1">
        <v>59</v>
      </c>
      <c r="B609" s="1" t="s">
        <v>623</v>
      </c>
      <c r="C609" s="5" t="s">
        <v>15</v>
      </c>
      <c r="D609" s="2">
        <v>42339</v>
      </c>
      <c r="E609" s="1" t="s">
        <v>624</v>
      </c>
      <c r="F609" s="1">
        <v>14101</v>
      </c>
      <c r="G609" s="1" t="s">
        <v>277</v>
      </c>
      <c r="H609" s="1" t="s">
        <v>571</v>
      </c>
      <c r="J609" s="1" t="s">
        <v>572</v>
      </c>
      <c r="K609" s="1" t="s">
        <v>1372</v>
      </c>
      <c r="N609" s="1" t="str">
        <f t="shared" si="9"/>
        <v xml:space="preserve">LEIDJANE MARTINS </v>
      </c>
    </row>
    <row r="610" spans="1:14" x14ac:dyDescent="0.3">
      <c r="A610" s="1">
        <v>55</v>
      </c>
      <c r="B610" s="1" t="s">
        <v>625</v>
      </c>
      <c r="C610" s="5" t="s">
        <v>15</v>
      </c>
      <c r="D610" s="2">
        <v>42303</v>
      </c>
      <c r="E610" s="1" t="s">
        <v>626</v>
      </c>
      <c r="F610" s="1">
        <v>15101</v>
      </c>
      <c r="G610" s="1" t="s">
        <v>447</v>
      </c>
      <c r="H610" s="1" t="s">
        <v>571</v>
      </c>
      <c r="J610" s="1" t="s">
        <v>627</v>
      </c>
      <c r="K610" s="1" t="s">
        <v>1387</v>
      </c>
      <c r="N610" s="1" t="str">
        <f t="shared" si="9"/>
        <v>RAFAEL VIRGENS</v>
      </c>
    </row>
    <row r="611" spans="1:14" x14ac:dyDescent="0.3">
      <c r="A611" s="1">
        <v>1013</v>
      </c>
      <c r="B611" s="1" t="s">
        <v>628</v>
      </c>
      <c r="C611" s="5" t="s">
        <v>15</v>
      </c>
      <c r="D611" s="2">
        <v>44317</v>
      </c>
      <c r="E611" s="1" t="s">
        <v>629</v>
      </c>
      <c r="F611" s="1">
        <v>11101</v>
      </c>
      <c r="G611" s="1" t="s">
        <v>595</v>
      </c>
      <c r="H611" s="1" t="s">
        <v>571</v>
      </c>
      <c r="J611" s="1" t="s">
        <v>630</v>
      </c>
      <c r="K611" s="1" t="s">
        <v>597</v>
      </c>
      <c r="N611" s="1" t="str">
        <f t="shared" si="9"/>
        <v>MIGUEL PRADO</v>
      </c>
    </row>
    <row r="612" spans="1:14" x14ac:dyDescent="0.3">
      <c r="A612" s="1">
        <v>149</v>
      </c>
      <c r="B612" s="1" t="s">
        <v>631</v>
      </c>
      <c r="C612" s="5" t="s">
        <v>15</v>
      </c>
      <c r="D612" s="2">
        <v>45048</v>
      </c>
      <c r="E612" s="1" t="s">
        <v>632</v>
      </c>
      <c r="F612" s="1">
        <v>12103</v>
      </c>
      <c r="G612" s="1" t="s">
        <v>633</v>
      </c>
      <c r="H612" s="1" t="s">
        <v>571</v>
      </c>
      <c r="J612" s="1" t="s">
        <v>634</v>
      </c>
      <c r="K612" s="1" t="s">
        <v>585</v>
      </c>
      <c r="N612" s="1" t="str">
        <f t="shared" si="9"/>
        <v>RAFAEL PREVELATO</v>
      </c>
    </row>
    <row r="613" spans="1:14" x14ac:dyDescent="0.3">
      <c r="A613" s="1">
        <v>62</v>
      </c>
      <c r="B613" s="1" t="s">
        <v>635</v>
      </c>
      <c r="C613" s="5" t="s">
        <v>15</v>
      </c>
      <c r="D613" s="2">
        <v>42562</v>
      </c>
      <c r="E613" s="1" t="s">
        <v>636</v>
      </c>
      <c r="F613" s="1">
        <v>12103</v>
      </c>
      <c r="G613" s="1" t="s">
        <v>633</v>
      </c>
      <c r="H613" s="1" t="s">
        <v>571</v>
      </c>
      <c r="J613" s="1" t="s">
        <v>634</v>
      </c>
      <c r="K613" s="1" t="s">
        <v>585</v>
      </c>
      <c r="N613" s="1" t="str">
        <f t="shared" si="9"/>
        <v>RAFAEL PREVELATO</v>
      </c>
    </row>
    <row r="614" spans="1:14" x14ac:dyDescent="0.3">
      <c r="A614" s="1">
        <v>142</v>
      </c>
      <c r="B614" s="1" t="s">
        <v>637</v>
      </c>
      <c r="C614" s="5" t="s">
        <v>15</v>
      </c>
      <c r="D614" s="2">
        <v>44991</v>
      </c>
      <c r="E614" s="1" t="s">
        <v>1361</v>
      </c>
      <c r="F614" s="1">
        <v>35101</v>
      </c>
      <c r="G614" s="1" t="s">
        <v>48</v>
      </c>
      <c r="H614" s="1" t="s">
        <v>571</v>
      </c>
      <c r="J614" s="1" t="s">
        <v>49</v>
      </c>
      <c r="K614" s="1" t="s">
        <v>50</v>
      </c>
      <c r="L614" s="1" t="s">
        <v>1474</v>
      </c>
      <c r="N614" s="1" t="str">
        <f t="shared" si="9"/>
        <v>NICHOLLAS OLIVEIRA</v>
      </c>
    </row>
    <row r="615" spans="1:14" x14ac:dyDescent="0.3">
      <c r="A615" s="1">
        <v>106</v>
      </c>
      <c r="B615" s="1" t="s">
        <v>638</v>
      </c>
      <c r="C615" s="5" t="s">
        <v>15</v>
      </c>
      <c r="D615" s="2">
        <v>43773</v>
      </c>
      <c r="E615" s="1" t="s">
        <v>639</v>
      </c>
      <c r="F615" s="1">
        <v>15101</v>
      </c>
      <c r="G615" s="1" t="s">
        <v>447</v>
      </c>
      <c r="H615" s="1" t="s">
        <v>571</v>
      </c>
      <c r="J615" s="1" t="s">
        <v>627</v>
      </c>
      <c r="K615" s="1" t="s">
        <v>597</v>
      </c>
      <c r="N615" s="1" t="str">
        <f t="shared" si="9"/>
        <v>MIGUEL PRADO</v>
      </c>
    </row>
    <row r="616" spans="1:14" x14ac:dyDescent="0.3">
      <c r="A616" s="1">
        <v>90</v>
      </c>
      <c r="B616" s="1" t="s">
        <v>640</v>
      </c>
      <c r="C616" s="5" t="s">
        <v>15</v>
      </c>
      <c r="D616" s="2">
        <v>43314</v>
      </c>
      <c r="E616" s="1" t="s">
        <v>641</v>
      </c>
      <c r="F616" s="1">
        <v>17101</v>
      </c>
      <c r="G616" s="1" t="s">
        <v>575</v>
      </c>
      <c r="H616" s="1" t="s">
        <v>571</v>
      </c>
      <c r="J616" s="1" t="s">
        <v>576</v>
      </c>
      <c r="K616" s="1" t="s">
        <v>597</v>
      </c>
      <c r="N616" s="1" t="str">
        <f t="shared" si="9"/>
        <v>MIGUEL PRADO</v>
      </c>
    </row>
    <row r="617" spans="1:14" x14ac:dyDescent="0.3">
      <c r="A617" s="1">
        <v>118</v>
      </c>
      <c r="B617" s="1" t="s">
        <v>585</v>
      </c>
      <c r="C617" s="5" t="s">
        <v>15</v>
      </c>
      <c r="D617" s="2">
        <v>44410</v>
      </c>
      <c r="E617" s="1" t="s">
        <v>642</v>
      </c>
      <c r="F617" s="1">
        <v>12101</v>
      </c>
      <c r="G617" s="1" t="s">
        <v>579</v>
      </c>
      <c r="H617" s="1" t="s">
        <v>571</v>
      </c>
      <c r="J617" s="1" t="s">
        <v>643</v>
      </c>
      <c r="K617" s="1" t="s">
        <v>581</v>
      </c>
      <c r="N617" s="1" t="str">
        <f t="shared" si="9"/>
        <v>RENAN ROVAI</v>
      </c>
    </row>
    <row r="618" spans="1:14" x14ac:dyDescent="0.3">
      <c r="A618" s="1">
        <v>180</v>
      </c>
      <c r="B618" s="1" t="s">
        <v>1564</v>
      </c>
      <c r="C618" s="5" t="s">
        <v>15</v>
      </c>
      <c r="D618" s="2">
        <v>46071</v>
      </c>
      <c r="E618" s="1" t="s">
        <v>1565</v>
      </c>
      <c r="F618" s="1">
        <v>12106</v>
      </c>
      <c r="G618" s="1" t="s">
        <v>590</v>
      </c>
      <c r="H618" s="1" t="s">
        <v>571</v>
      </c>
      <c r="J618" s="1" t="s">
        <v>591</v>
      </c>
      <c r="K618" s="1" t="s">
        <v>592</v>
      </c>
      <c r="N618" s="1" t="str">
        <f t="shared" si="9"/>
        <v>THALITA SABINA</v>
      </c>
    </row>
    <row r="619" spans="1:14" x14ac:dyDescent="0.3">
      <c r="A619" s="1">
        <v>80</v>
      </c>
      <c r="B619" s="1" t="s">
        <v>644</v>
      </c>
      <c r="C619" s="5" t="s">
        <v>15</v>
      </c>
      <c r="D619" s="2">
        <v>43045</v>
      </c>
      <c r="E619" s="1" t="s">
        <v>645</v>
      </c>
      <c r="F619" s="1">
        <v>11101</v>
      </c>
      <c r="G619" s="1" t="s">
        <v>595</v>
      </c>
      <c r="H619" s="1" t="s">
        <v>571</v>
      </c>
      <c r="J619" s="1" t="s">
        <v>646</v>
      </c>
      <c r="K619" s="1" t="s">
        <v>597</v>
      </c>
      <c r="N619" s="1" t="str">
        <f t="shared" si="9"/>
        <v>MIGUEL PRADO</v>
      </c>
    </row>
    <row r="620" spans="1:14" x14ac:dyDescent="0.3">
      <c r="A620" s="1">
        <v>175</v>
      </c>
      <c r="B620" s="1" t="s">
        <v>647</v>
      </c>
      <c r="C620" s="5" t="s">
        <v>15</v>
      </c>
      <c r="D620" s="2">
        <v>46013</v>
      </c>
      <c r="E620" s="1" t="s">
        <v>603</v>
      </c>
      <c r="F620" s="1">
        <v>14105</v>
      </c>
      <c r="G620" s="1" t="s">
        <v>1442</v>
      </c>
      <c r="H620" s="1" t="s">
        <v>571</v>
      </c>
      <c r="J620" s="1" t="s">
        <v>634</v>
      </c>
      <c r="K620" s="1" t="s">
        <v>585</v>
      </c>
      <c r="N620" s="1" t="str">
        <f t="shared" si="9"/>
        <v>RAFAEL PREVELATO</v>
      </c>
    </row>
    <row r="621" spans="1:14" x14ac:dyDescent="0.3">
      <c r="A621" s="1">
        <v>109</v>
      </c>
      <c r="B621" s="1" t="s">
        <v>648</v>
      </c>
      <c r="C621" s="5" t="s">
        <v>15</v>
      </c>
      <c r="D621" s="2">
        <v>44228</v>
      </c>
      <c r="E621" s="1" t="s">
        <v>1534</v>
      </c>
      <c r="F621" s="1">
        <v>12101</v>
      </c>
      <c r="G621" s="1" t="s">
        <v>579</v>
      </c>
      <c r="H621" s="1" t="s">
        <v>571</v>
      </c>
      <c r="J621" s="1" t="s">
        <v>649</v>
      </c>
      <c r="K621" s="1" t="s">
        <v>581</v>
      </c>
      <c r="N621" s="1" t="str">
        <f t="shared" si="9"/>
        <v>RENAN ROVAI</v>
      </c>
    </row>
    <row r="622" spans="1:14" x14ac:dyDescent="0.3">
      <c r="A622" s="1">
        <v>138</v>
      </c>
      <c r="B622" s="1" t="s">
        <v>650</v>
      </c>
      <c r="C622" s="5" t="s">
        <v>15</v>
      </c>
      <c r="D622" s="2">
        <v>44909</v>
      </c>
      <c r="E622" s="1" t="s">
        <v>651</v>
      </c>
      <c r="F622" s="1">
        <v>12105</v>
      </c>
      <c r="G622" s="1" t="s">
        <v>393</v>
      </c>
      <c r="H622" s="1" t="s">
        <v>571</v>
      </c>
      <c r="J622" s="1" t="s">
        <v>607</v>
      </c>
      <c r="K622" s="1" t="s">
        <v>1386</v>
      </c>
      <c r="N622" s="1" t="str">
        <f t="shared" si="9"/>
        <v>JOÃO GORGULHO</v>
      </c>
    </row>
    <row r="623" spans="1:14" x14ac:dyDescent="0.3">
      <c r="A623" s="1">
        <v>163</v>
      </c>
      <c r="B623" s="1" t="s">
        <v>652</v>
      </c>
      <c r="C623" s="5" t="s">
        <v>15</v>
      </c>
      <c r="D623" s="2">
        <v>45490</v>
      </c>
      <c r="E623" s="1" t="s">
        <v>618</v>
      </c>
      <c r="F623" s="1">
        <v>35101</v>
      </c>
      <c r="G623" s="1" t="s">
        <v>48</v>
      </c>
      <c r="H623" s="1" t="s">
        <v>571</v>
      </c>
      <c r="J623" s="1" t="s">
        <v>49</v>
      </c>
      <c r="K623" s="1" t="s">
        <v>50</v>
      </c>
      <c r="L623" s="1" t="s">
        <v>1474</v>
      </c>
      <c r="N623" s="1" t="str">
        <f t="shared" si="9"/>
        <v>NICHOLLAS OLIVEIRA</v>
      </c>
    </row>
    <row r="624" spans="1:14" x14ac:dyDescent="0.3">
      <c r="A624" s="1">
        <v>151</v>
      </c>
      <c r="B624" s="1" t="s">
        <v>656</v>
      </c>
      <c r="C624" s="5" t="s">
        <v>15</v>
      </c>
      <c r="D624" s="2">
        <v>45048</v>
      </c>
      <c r="E624" s="1" t="s">
        <v>599</v>
      </c>
      <c r="F624" s="1">
        <v>12107</v>
      </c>
      <c r="G624" s="1" t="s">
        <v>600</v>
      </c>
      <c r="H624" s="1" t="s">
        <v>571</v>
      </c>
      <c r="J624" s="1" t="s">
        <v>601</v>
      </c>
      <c r="K624" s="1" t="s">
        <v>592</v>
      </c>
      <c r="N624" s="1" t="str">
        <f t="shared" si="9"/>
        <v>THALITA SABINA</v>
      </c>
    </row>
    <row r="625" spans="1:14" x14ac:dyDescent="0.3">
      <c r="A625" s="1">
        <v>105320</v>
      </c>
      <c r="B625" s="1" t="s">
        <v>658</v>
      </c>
      <c r="C625" s="5" t="s">
        <v>15</v>
      </c>
      <c r="D625" s="2">
        <v>42786</v>
      </c>
      <c r="E625" s="1" t="s">
        <v>245</v>
      </c>
      <c r="F625" s="1">
        <v>37101</v>
      </c>
      <c r="G625" s="1" t="s">
        <v>214</v>
      </c>
      <c r="H625" s="1" t="s">
        <v>657</v>
      </c>
      <c r="J625" s="1" t="s">
        <v>215</v>
      </c>
      <c r="K625" s="1" t="s">
        <v>216</v>
      </c>
      <c r="N625" s="1" t="str">
        <f t="shared" si="9"/>
        <v>CARSON NEVES</v>
      </c>
    </row>
    <row r="626" spans="1:14" x14ac:dyDescent="0.3">
      <c r="A626" s="1">
        <v>104845</v>
      </c>
      <c r="B626" s="1" t="s">
        <v>659</v>
      </c>
      <c r="C626" s="5" t="s">
        <v>15</v>
      </c>
      <c r="D626" s="2">
        <v>42324</v>
      </c>
      <c r="E626" s="1" t="s">
        <v>31</v>
      </c>
      <c r="F626" s="1">
        <v>38101</v>
      </c>
      <c r="G626" s="1" t="s">
        <v>35</v>
      </c>
      <c r="H626" s="1" t="s">
        <v>657</v>
      </c>
      <c r="J626" s="1" t="s">
        <v>36</v>
      </c>
      <c r="K626" s="1" t="s">
        <v>1372</v>
      </c>
      <c r="L626" s="1" t="s">
        <v>1373</v>
      </c>
      <c r="M626" s="1" t="s">
        <v>1373</v>
      </c>
      <c r="N626" s="1" t="str">
        <f t="shared" si="9"/>
        <v>DENIS ACASSIO</v>
      </c>
    </row>
    <row r="627" spans="1:14" x14ac:dyDescent="0.3">
      <c r="A627" s="1">
        <v>702547</v>
      </c>
      <c r="B627" s="1" t="s">
        <v>663</v>
      </c>
      <c r="C627" s="5" t="s">
        <v>15</v>
      </c>
      <c r="D627" s="2">
        <v>44452</v>
      </c>
      <c r="E627" s="1" t="s">
        <v>507</v>
      </c>
      <c r="F627" s="1">
        <v>24201</v>
      </c>
      <c r="G627" s="1" t="s">
        <v>664</v>
      </c>
      <c r="H627" s="1" t="s">
        <v>661</v>
      </c>
      <c r="J627" s="1" t="s">
        <v>665</v>
      </c>
      <c r="K627" s="1" t="s">
        <v>666</v>
      </c>
      <c r="L627" s="1" t="s">
        <v>258</v>
      </c>
      <c r="M627" s="1" t="s">
        <v>667</v>
      </c>
      <c r="N627" s="1" t="str">
        <f t="shared" si="9"/>
        <v>JOSIEL NEVES</v>
      </c>
    </row>
    <row r="628" spans="1:14" x14ac:dyDescent="0.3">
      <c r="A628" s="1">
        <v>703075</v>
      </c>
      <c r="B628" s="1" t="s">
        <v>668</v>
      </c>
      <c r="C628" s="5" t="s">
        <v>15</v>
      </c>
      <c r="D628" s="2">
        <v>44713</v>
      </c>
      <c r="E628" s="1" t="s">
        <v>31</v>
      </c>
      <c r="F628" s="1">
        <v>24102</v>
      </c>
      <c r="G628" s="1" t="s">
        <v>669</v>
      </c>
      <c r="H628" s="1" t="s">
        <v>661</v>
      </c>
      <c r="J628" s="1" t="s">
        <v>670</v>
      </c>
      <c r="K628" s="1" t="s">
        <v>666</v>
      </c>
      <c r="L628" s="1" t="s">
        <v>1388</v>
      </c>
      <c r="M628" s="1" t="s">
        <v>1637</v>
      </c>
      <c r="N628" s="1" t="str">
        <f t="shared" si="9"/>
        <v>JUNIO TEIXEIRA /EDIVILSON</v>
      </c>
    </row>
    <row r="629" spans="1:14" x14ac:dyDescent="0.3">
      <c r="A629" s="1">
        <v>703681</v>
      </c>
      <c r="B629" s="1" t="s">
        <v>671</v>
      </c>
      <c r="C629" s="5" t="s">
        <v>15</v>
      </c>
      <c r="D629" s="2">
        <v>45019</v>
      </c>
      <c r="E629" s="1" t="s">
        <v>31</v>
      </c>
      <c r="F629" s="1">
        <v>24102</v>
      </c>
      <c r="G629" s="1" t="s">
        <v>669</v>
      </c>
      <c r="H629" s="1" t="s">
        <v>661</v>
      </c>
      <c r="J629" s="1" t="s">
        <v>672</v>
      </c>
      <c r="K629" s="1" t="s">
        <v>666</v>
      </c>
      <c r="L629" s="1" t="s">
        <v>1388</v>
      </c>
      <c r="M629" s="1" t="s">
        <v>1637</v>
      </c>
      <c r="N629" s="1" t="str">
        <f t="shared" si="9"/>
        <v>JUNIO TEIXEIRA /EDIVILSON</v>
      </c>
    </row>
    <row r="630" spans="1:14" x14ac:dyDescent="0.3">
      <c r="A630" s="1">
        <v>703726</v>
      </c>
      <c r="B630" s="1" t="s">
        <v>673</v>
      </c>
      <c r="C630" s="5" t="s">
        <v>15</v>
      </c>
      <c r="D630" s="2">
        <v>45026</v>
      </c>
      <c r="E630" s="1" t="s">
        <v>109</v>
      </c>
      <c r="F630" s="1">
        <v>32102</v>
      </c>
      <c r="G630" s="1" t="s">
        <v>674</v>
      </c>
      <c r="H630" s="1" t="s">
        <v>661</v>
      </c>
      <c r="J630" s="1" t="s">
        <v>675</v>
      </c>
      <c r="K630" s="1" t="s">
        <v>25</v>
      </c>
      <c r="L630" s="1" t="s">
        <v>1369</v>
      </c>
      <c r="M630" s="1" t="s">
        <v>1638</v>
      </c>
      <c r="N630" s="1" t="str">
        <f t="shared" si="9"/>
        <v>EDIVILSON MENEZES</v>
      </c>
    </row>
    <row r="631" spans="1:14" x14ac:dyDescent="0.3">
      <c r="A631" s="1">
        <v>100881</v>
      </c>
      <c r="B631" s="1" t="s">
        <v>677</v>
      </c>
      <c r="C631" s="5" t="s">
        <v>15</v>
      </c>
      <c r="D631" s="2">
        <v>42444</v>
      </c>
      <c r="E631" s="1" t="s">
        <v>251</v>
      </c>
      <c r="F631" s="1">
        <v>39601</v>
      </c>
      <c r="G631" s="1" t="s">
        <v>660</v>
      </c>
      <c r="H631" s="1" t="s">
        <v>661</v>
      </c>
      <c r="J631" s="1" t="s">
        <v>662</v>
      </c>
      <c r="K631" s="1" t="s">
        <v>666</v>
      </c>
      <c r="L631" s="1" t="s">
        <v>258</v>
      </c>
      <c r="N631" s="1" t="str">
        <f t="shared" si="9"/>
        <v>MATHEUS ALMEIDA</v>
      </c>
    </row>
    <row r="632" spans="1:14" x14ac:dyDescent="0.3">
      <c r="A632" s="1">
        <v>705079</v>
      </c>
      <c r="B632" s="1" t="s">
        <v>678</v>
      </c>
      <c r="C632" s="5" t="s">
        <v>15</v>
      </c>
      <c r="D632" s="2">
        <v>45671</v>
      </c>
      <c r="E632" s="1" t="s">
        <v>31</v>
      </c>
      <c r="F632" s="1">
        <v>24102</v>
      </c>
      <c r="G632" s="1" t="s">
        <v>669</v>
      </c>
      <c r="H632" s="1" t="s">
        <v>661</v>
      </c>
      <c r="J632" s="1" t="s">
        <v>672</v>
      </c>
      <c r="K632" s="1" t="s">
        <v>666</v>
      </c>
      <c r="L632" s="1" t="s">
        <v>1388</v>
      </c>
      <c r="M632" s="1" t="s">
        <v>1637</v>
      </c>
      <c r="N632" s="1" t="str">
        <f t="shared" si="9"/>
        <v>JUNIO TEIXEIRA /EDIVILSON</v>
      </c>
    </row>
    <row r="633" spans="1:14" x14ac:dyDescent="0.3">
      <c r="A633" s="1">
        <v>702946</v>
      </c>
      <c r="B633" s="1" t="s">
        <v>679</v>
      </c>
      <c r="C633" s="5" t="s">
        <v>15</v>
      </c>
      <c r="D633" s="2">
        <v>44663</v>
      </c>
      <c r="E633" s="1" t="s">
        <v>31</v>
      </c>
      <c r="F633" s="1">
        <v>24102</v>
      </c>
      <c r="G633" s="1" t="s">
        <v>669</v>
      </c>
      <c r="H633" s="1" t="s">
        <v>661</v>
      </c>
      <c r="J633" s="1" t="s">
        <v>680</v>
      </c>
      <c r="K633" s="1" t="s">
        <v>666</v>
      </c>
      <c r="L633" s="1" t="s">
        <v>1388</v>
      </c>
      <c r="M633" s="1" t="s">
        <v>1637</v>
      </c>
      <c r="N633" s="1" t="str">
        <f t="shared" si="9"/>
        <v>JUNIO TEIXEIRA /EDIVILSON</v>
      </c>
    </row>
    <row r="634" spans="1:14" x14ac:dyDescent="0.3">
      <c r="A634" s="1">
        <v>703720</v>
      </c>
      <c r="B634" s="1" t="s">
        <v>681</v>
      </c>
      <c r="C634" s="5" t="s">
        <v>15</v>
      </c>
      <c r="D634" s="2">
        <v>45026</v>
      </c>
      <c r="E634" s="1" t="s">
        <v>16</v>
      </c>
      <c r="F634" s="1">
        <v>24102</v>
      </c>
      <c r="G634" s="1" t="s">
        <v>669</v>
      </c>
      <c r="H634" s="1" t="s">
        <v>661</v>
      </c>
      <c r="J634" s="1" t="s">
        <v>682</v>
      </c>
      <c r="K634" s="1" t="s">
        <v>666</v>
      </c>
      <c r="L634" s="1" t="s">
        <v>1390</v>
      </c>
      <c r="M634" s="1" t="s">
        <v>1391</v>
      </c>
      <c r="N634" s="1" t="str">
        <f t="shared" si="9"/>
        <v>ALCENO JUNIOR/JOÃO MARCOS</v>
      </c>
    </row>
    <row r="635" spans="1:14" x14ac:dyDescent="0.3">
      <c r="A635" s="1">
        <v>702157</v>
      </c>
      <c r="B635" s="1" t="s">
        <v>683</v>
      </c>
      <c r="C635" s="5" t="s">
        <v>15</v>
      </c>
      <c r="D635" s="2">
        <v>44299</v>
      </c>
      <c r="E635" s="1" t="s">
        <v>31</v>
      </c>
      <c r="F635" s="1">
        <v>24102</v>
      </c>
      <c r="G635" s="1" t="s">
        <v>669</v>
      </c>
      <c r="H635" s="1" t="s">
        <v>661</v>
      </c>
      <c r="J635" s="1" t="s">
        <v>680</v>
      </c>
      <c r="K635" s="1" t="s">
        <v>666</v>
      </c>
      <c r="L635" s="1" t="s">
        <v>1388</v>
      </c>
      <c r="M635" s="1" t="s">
        <v>1637</v>
      </c>
      <c r="N635" s="1" t="str">
        <f t="shared" si="9"/>
        <v>JUNIO TEIXEIRA /EDIVILSON</v>
      </c>
    </row>
    <row r="636" spans="1:14" x14ac:dyDescent="0.3">
      <c r="A636" s="1">
        <v>705859</v>
      </c>
      <c r="B636" s="1" t="s">
        <v>1566</v>
      </c>
      <c r="C636" s="5" t="s">
        <v>15</v>
      </c>
      <c r="D636" s="2">
        <v>46063</v>
      </c>
      <c r="E636" s="1" t="s">
        <v>31</v>
      </c>
      <c r="F636" s="1">
        <v>24102</v>
      </c>
      <c r="G636" s="1" t="s">
        <v>669</v>
      </c>
      <c r="H636" s="1" t="s">
        <v>661</v>
      </c>
      <c r="J636" s="1" t="s">
        <v>670</v>
      </c>
      <c r="K636" s="1" t="s">
        <v>666</v>
      </c>
      <c r="L636" s="1" t="s">
        <v>1388</v>
      </c>
      <c r="M636" s="1" t="s">
        <v>1637</v>
      </c>
      <c r="N636" s="1" t="str">
        <f t="shared" si="9"/>
        <v>JUNIO TEIXEIRA /EDIVILSON</v>
      </c>
    </row>
    <row r="637" spans="1:14" x14ac:dyDescent="0.3">
      <c r="A637" s="1">
        <v>704673</v>
      </c>
      <c r="B637" s="1" t="s">
        <v>685</v>
      </c>
      <c r="C637" s="5" t="s">
        <v>15</v>
      </c>
      <c r="D637" s="2">
        <v>45489</v>
      </c>
      <c r="E637" s="1" t="s">
        <v>686</v>
      </c>
      <c r="F637" s="1">
        <v>39601</v>
      </c>
      <c r="G637" s="1" t="s">
        <v>660</v>
      </c>
      <c r="H637" s="1" t="s">
        <v>661</v>
      </c>
      <c r="J637" s="1" t="s">
        <v>684</v>
      </c>
      <c r="K637" s="1" t="s">
        <v>666</v>
      </c>
      <c r="L637" s="1" t="s">
        <v>258</v>
      </c>
      <c r="M637" s="1" t="s">
        <v>1392</v>
      </c>
      <c r="N637" s="1" t="str">
        <f t="shared" si="9"/>
        <v>ADALTON/JANILSON RORIZ/MARIVALDO</v>
      </c>
    </row>
    <row r="638" spans="1:14" x14ac:dyDescent="0.3">
      <c r="A638" s="1">
        <v>101618</v>
      </c>
      <c r="B638" s="1" t="s">
        <v>46</v>
      </c>
      <c r="C638" s="5" t="s">
        <v>15</v>
      </c>
      <c r="D638" s="2">
        <v>41106</v>
      </c>
      <c r="E638" s="1" t="s">
        <v>1235</v>
      </c>
      <c r="F638" s="1">
        <v>39203</v>
      </c>
      <c r="G638" s="1" t="s">
        <v>709</v>
      </c>
      <c r="H638" s="1" t="s">
        <v>661</v>
      </c>
      <c r="J638" s="1" t="s">
        <v>710</v>
      </c>
      <c r="K638" s="1" t="s">
        <v>50</v>
      </c>
      <c r="L638" s="1" t="s">
        <v>1382</v>
      </c>
      <c r="M638" s="1" t="s">
        <v>1382</v>
      </c>
      <c r="N638" s="1" t="str">
        <f t="shared" si="9"/>
        <v>ADENILTON RODRIGUES</v>
      </c>
    </row>
    <row r="639" spans="1:14" x14ac:dyDescent="0.3">
      <c r="A639" s="1">
        <v>705150</v>
      </c>
      <c r="B639" s="1" t="s">
        <v>1147</v>
      </c>
      <c r="C639" s="5" t="s">
        <v>15</v>
      </c>
      <c r="D639" s="2">
        <v>45705</v>
      </c>
      <c r="E639" s="1" t="s">
        <v>31</v>
      </c>
      <c r="F639" s="1">
        <v>24102</v>
      </c>
      <c r="G639" s="1" t="s">
        <v>669</v>
      </c>
      <c r="H639" s="1" t="s">
        <v>661</v>
      </c>
      <c r="J639" s="1" t="s">
        <v>680</v>
      </c>
      <c r="K639" s="1" t="s">
        <v>666</v>
      </c>
      <c r="L639" s="1" t="s">
        <v>1388</v>
      </c>
      <c r="M639" s="1" t="s">
        <v>1637</v>
      </c>
      <c r="N639" s="1" t="str">
        <f t="shared" si="9"/>
        <v>JUNIO TEIXEIRA /EDIVILSON</v>
      </c>
    </row>
    <row r="640" spans="1:14" x14ac:dyDescent="0.3">
      <c r="A640" s="1">
        <v>702797</v>
      </c>
      <c r="B640" s="1" t="s">
        <v>687</v>
      </c>
      <c r="C640" s="5" t="s">
        <v>15</v>
      </c>
      <c r="D640" s="2">
        <v>44607</v>
      </c>
      <c r="E640" s="1" t="s">
        <v>146</v>
      </c>
      <c r="F640" s="1">
        <v>39601</v>
      </c>
      <c r="G640" s="1" t="s">
        <v>660</v>
      </c>
      <c r="H640" s="1" t="s">
        <v>661</v>
      </c>
      <c r="J640" s="1" t="s">
        <v>684</v>
      </c>
      <c r="K640" s="1" t="s">
        <v>666</v>
      </c>
      <c r="L640" s="1" t="s">
        <v>258</v>
      </c>
      <c r="M640" s="1" t="s">
        <v>1392</v>
      </c>
      <c r="N640" s="1" t="str">
        <f t="shared" si="9"/>
        <v>ADALTON/JANILSON RORIZ/MARIVALDO</v>
      </c>
    </row>
    <row r="641" spans="1:14" x14ac:dyDescent="0.3">
      <c r="A641" s="1">
        <v>702594</v>
      </c>
      <c r="B641" s="1" t="s">
        <v>688</v>
      </c>
      <c r="C641" s="5" t="s">
        <v>15</v>
      </c>
      <c r="D641" s="2">
        <v>44474</v>
      </c>
      <c r="E641" s="1" t="s">
        <v>507</v>
      </c>
      <c r="F641" s="1">
        <v>24201</v>
      </c>
      <c r="G641" s="1" t="s">
        <v>664</v>
      </c>
      <c r="H641" s="1" t="s">
        <v>661</v>
      </c>
      <c r="J641" s="1" t="s">
        <v>665</v>
      </c>
      <c r="K641" s="1" t="s">
        <v>666</v>
      </c>
      <c r="L641" s="1" t="s">
        <v>258</v>
      </c>
      <c r="M641" s="1" t="s">
        <v>667</v>
      </c>
      <c r="N641" s="1" t="str">
        <f t="shared" si="9"/>
        <v>JOSIEL NEVES</v>
      </c>
    </row>
    <row r="642" spans="1:14" x14ac:dyDescent="0.3">
      <c r="A642" s="1">
        <v>702578</v>
      </c>
      <c r="B642" s="1" t="s">
        <v>689</v>
      </c>
      <c r="C642" s="5" t="s">
        <v>15</v>
      </c>
      <c r="D642" s="2">
        <v>44474</v>
      </c>
      <c r="E642" s="1" t="s">
        <v>60</v>
      </c>
      <c r="F642" s="1">
        <v>24102</v>
      </c>
      <c r="G642" s="1" t="s">
        <v>669</v>
      </c>
      <c r="H642" s="1" t="s">
        <v>661</v>
      </c>
      <c r="J642" s="1" t="s">
        <v>682</v>
      </c>
      <c r="K642" s="1" t="s">
        <v>666</v>
      </c>
      <c r="L642" s="1" t="s">
        <v>1390</v>
      </c>
      <c r="M642" s="1" t="s">
        <v>1391</v>
      </c>
      <c r="N642" s="1" t="str">
        <f t="shared" si="9"/>
        <v>ALCENO JUNIOR/JOÃO MARCOS</v>
      </c>
    </row>
    <row r="643" spans="1:14" x14ac:dyDescent="0.3">
      <c r="A643" s="1">
        <v>705736</v>
      </c>
      <c r="B643" s="1" t="s">
        <v>690</v>
      </c>
      <c r="C643" s="5" t="s">
        <v>15</v>
      </c>
      <c r="D643" s="2">
        <v>45972</v>
      </c>
      <c r="E643" s="1" t="s">
        <v>31</v>
      </c>
      <c r="F643" s="1">
        <v>39601</v>
      </c>
      <c r="G643" s="1" t="s">
        <v>660</v>
      </c>
      <c r="H643" s="1" t="s">
        <v>661</v>
      </c>
      <c r="J643" s="1" t="s">
        <v>684</v>
      </c>
      <c r="K643" s="1" t="s">
        <v>666</v>
      </c>
      <c r="L643" s="1" t="s">
        <v>258</v>
      </c>
      <c r="M643" s="1" t="s">
        <v>1392</v>
      </c>
      <c r="N643" s="1" t="str">
        <f t="shared" ref="N643:N706" si="10">IF(M643&lt;&gt;"", M643, IF(L643&lt;&gt;"", L643, K643))</f>
        <v>ADALTON/JANILSON RORIZ/MARIVALDO</v>
      </c>
    </row>
    <row r="644" spans="1:14" x14ac:dyDescent="0.3">
      <c r="A644" s="1">
        <v>705296</v>
      </c>
      <c r="B644" s="1" t="s">
        <v>1188</v>
      </c>
      <c r="C644" s="5" t="s">
        <v>15</v>
      </c>
      <c r="D644" s="2">
        <v>45762</v>
      </c>
      <c r="E644" s="1" t="s">
        <v>31</v>
      </c>
      <c r="F644" s="1">
        <v>39601</v>
      </c>
      <c r="G644" s="1" t="s">
        <v>660</v>
      </c>
      <c r="H644" s="1" t="s">
        <v>661</v>
      </c>
      <c r="J644" s="1" t="s">
        <v>684</v>
      </c>
      <c r="K644" s="1" t="s">
        <v>666</v>
      </c>
      <c r="L644" s="1" t="s">
        <v>258</v>
      </c>
      <c r="M644" s="1" t="s">
        <v>1392</v>
      </c>
      <c r="N644" s="1" t="str">
        <f t="shared" si="10"/>
        <v>ADALTON/JANILSON RORIZ/MARIVALDO</v>
      </c>
    </row>
    <row r="645" spans="1:14" x14ac:dyDescent="0.3">
      <c r="A645" s="1">
        <v>703949</v>
      </c>
      <c r="B645" s="1" t="s">
        <v>691</v>
      </c>
      <c r="C645" s="5" t="s">
        <v>15</v>
      </c>
      <c r="D645" s="2">
        <v>45089</v>
      </c>
      <c r="E645" s="1" t="s">
        <v>686</v>
      </c>
      <c r="F645" s="1">
        <v>39601</v>
      </c>
      <c r="G645" s="1" t="s">
        <v>660</v>
      </c>
      <c r="H645" s="1" t="s">
        <v>661</v>
      </c>
      <c r="J645" s="1" t="s">
        <v>684</v>
      </c>
      <c r="K645" s="1" t="s">
        <v>666</v>
      </c>
      <c r="L645" s="1" t="s">
        <v>258</v>
      </c>
      <c r="M645" s="1" t="s">
        <v>1392</v>
      </c>
      <c r="N645" s="1" t="str">
        <f t="shared" si="10"/>
        <v>ADALTON/JANILSON RORIZ/MARIVALDO</v>
      </c>
    </row>
    <row r="646" spans="1:14" x14ac:dyDescent="0.3">
      <c r="A646" s="1">
        <v>705060</v>
      </c>
      <c r="B646" s="1" t="s">
        <v>692</v>
      </c>
      <c r="C646" s="5" t="s">
        <v>15</v>
      </c>
      <c r="D646" s="2">
        <v>45635</v>
      </c>
      <c r="E646" s="1" t="s">
        <v>31</v>
      </c>
      <c r="F646" s="1">
        <v>24102</v>
      </c>
      <c r="G646" s="1" t="s">
        <v>669</v>
      </c>
      <c r="H646" s="1" t="s">
        <v>661</v>
      </c>
      <c r="J646" s="1" t="s">
        <v>672</v>
      </c>
      <c r="K646" s="1" t="s">
        <v>666</v>
      </c>
      <c r="L646" s="1" t="s">
        <v>1388</v>
      </c>
      <c r="M646" s="1" t="s">
        <v>1637</v>
      </c>
      <c r="N646" s="1" t="str">
        <f t="shared" si="10"/>
        <v>JUNIO TEIXEIRA /EDIVILSON</v>
      </c>
    </row>
    <row r="647" spans="1:14" x14ac:dyDescent="0.3">
      <c r="A647" s="1">
        <v>705548</v>
      </c>
      <c r="B647" s="1" t="s">
        <v>1328</v>
      </c>
      <c r="C647" s="5" t="s">
        <v>15</v>
      </c>
      <c r="D647" s="2">
        <v>45881</v>
      </c>
      <c r="E647" s="1" t="s">
        <v>16</v>
      </c>
      <c r="F647" s="1">
        <v>24102</v>
      </c>
      <c r="G647" s="1" t="s">
        <v>669</v>
      </c>
      <c r="H647" s="1" t="s">
        <v>661</v>
      </c>
      <c r="J647" s="1" t="s">
        <v>682</v>
      </c>
      <c r="K647" s="1" t="s">
        <v>666</v>
      </c>
      <c r="L647" s="1" t="s">
        <v>1390</v>
      </c>
      <c r="M647" s="1" t="s">
        <v>1391</v>
      </c>
      <c r="N647" s="1" t="str">
        <f t="shared" si="10"/>
        <v>ALCENO JUNIOR/JOÃO MARCOS</v>
      </c>
    </row>
    <row r="648" spans="1:14" x14ac:dyDescent="0.3">
      <c r="A648" s="1">
        <v>705848</v>
      </c>
      <c r="B648" s="1" t="s">
        <v>1567</v>
      </c>
      <c r="C648" s="5" t="s">
        <v>15</v>
      </c>
      <c r="D648" s="2">
        <v>46063</v>
      </c>
      <c r="E648" s="1" t="s">
        <v>31</v>
      </c>
      <c r="F648" s="1">
        <v>24102</v>
      </c>
      <c r="G648" s="1" t="s">
        <v>669</v>
      </c>
      <c r="H648" s="1" t="s">
        <v>661</v>
      </c>
      <c r="J648" s="1" t="s">
        <v>672</v>
      </c>
      <c r="K648" s="1" t="s">
        <v>666</v>
      </c>
      <c r="L648" s="1" t="s">
        <v>1388</v>
      </c>
      <c r="M648" s="1" t="s">
        <v>1637</v>
      </c>
      <c r="N648" s="1" t="str">
        <f t="shared" si="10"/>
        <v>JUNIO TEIXEIRA /EDIVILSON</v>
      </c>
    </row>
    <row r="649" spans="1:14" x14ac:dyDescent="0.3">
      <c r="A649" s="1">
        <v>705913</v>
      </c>
      <c r="B649" s="1" t="s">
        <v>1624</v>
      </c>
      <c r="C649" s="5" t="s">
        <v>15</v>
      </c>
      <c r="D649" s="2">
        <v>46091</v>
      </c>
      <c r="E649" s="1" t="s">
        <v>31</v>
      </c>
      <c r="F649" s="1">
        <v>24102</v>
      </c>
      <c r="G649" s="1" t="s">
        <v>669</v>
      </c>
      <c r="H649" s="1" t="s">
        <v>661</v>
      </c>
      <c r="J649" s="1" t="s">
        <v>680</v>
      </c>
      <c r="K649" s="1" t="s">
        <v>666</v>
      </c>
      <c r="L649" s="1" t="s">
        <v>1388</v>
      </c>
      <c r="M649" s="1" t="s">
        <v>1637</v>
      </c>
      <c r="N649" s="1" t="str">
        <f t="shared" si="10"/>
        <v>JUNIO TEIXEIRA /EDIVILSON</v>
      </c>
    </row>
    <row r="650" spans="1:14" x14ac:dyDescent="0.3">
      <c r="A650" s="1">
        <v>703632</v>
      </c>
      <c r="B650" s="1" t="s">
        <v>693</v>
      </c>
      <c r="C650" s="5" t="s">
        <v>15</v>
      </c>
      <c r="D650" s="2">
        <v>44991</v>
      </c>
      <c r="E650" s="1" t="s">
        <v>457</v>
      </c>
      <c r="F650" s="1">
        <v>24102</v>
      </c>
      <c r="G650" s="1" t="s">
        <v>669</v>
      </c>
      <c r="H650" s="1" t="s">
        <v>661</v>
      </c>
      <c r="J650" s="1" t="s">
        <v>682</v>
      </c>
      <c r="K650" s="1" t="s">
        <v>666</v>
      </c>
      <c r="L650" s="1" t="s">
        <v>1390</v>
      </c>
      <c r="M650" s="1" t="s">
        <v>1391</v>
      </c>
      <c r="N650" s="1" t="str">
        <f t="shared" si="10"/>
        <v>ALCENO JUNIOR/JOÃO MARCOS</v>
      </c>
    </row>
    <row r="651" spans="1:14" x14ac:dyDescent="0.3">
      <c r="A651" s="1">
        <v>703013</v>
      </c>
      <c r="B651" s="1" t="s">
        <v>695</v>
      </c>
      <c r="C651" s="5" t="s">
        <v>15</v>
      </c>
      <c r="D651" s="2">
        <v>44691</v>
      </c>
      <c r="E651" s="1" t="s">
        <v>507</v>
      </c>
      <c r="F651" s="1">
        <v>24102</v>
      </c>
      <c r="G651" s="1" t="s">
        <v>669</v>
      </c>
      <c r="H651" s="1" t="s">
        <v>661</v>
      </c>
      <c r="J651" s="1" t="s">
        <v>670</v>
      </c>
      <c r="K651" s="1" t="s">
        <v>666</v>
      </c>
      <c r="L651" s="1" t="s">
        <v>1388</v>
      </c>
      <c r="M651" s="1" t="s">
        <v>1637</v>
      </c>
      <c r="N651" s="1" t="str">
        <f t="shared" si="10"/>
        <v>JUNIO TEIXEIRA /EDIVILSON</v>
      </c>
    </row>
    <row r="652" spans="1:14" x14ac:dyDescent="0.3">
      <c r="A652" s="1">
        <v>705603</v>
      </c>
      <c r="B652" s="1" t="s">
        <v>1362</v>
      </c>
      <c r="C652" s="5" t="s">
        <v>15</v>
      </c>
      <c r="D652" s="2">
        <v>45902</v>
      </c>
      <c r="E652" s="1" t="s">
        <v>381</v>
      </c>
      <c r="F652" s="1">
        <v>39602</v>
      </c>
      <c r="G652" s="1" t="s">
        <v>699</v>
      </c>
      <c r="H652" s="1" t="s">
        <v>661</v>
      </c>
      <c r="J652" s="1" t="s">
        <v>700</v>
      </c>
      <c r="K652" s="1" t="s">
        <v>666</v>
      </c>
      <c r="L652" s="1" t="s">
        <v>258</v>
      </c>
      <c r="M652" s="1" t="s">
        <v>701</v>
      </c>
      <c r="N652" s="1" t="str">
        <f t="shared" si="10"/>
        <v>IURY GUEDES</v>
      </c>
    </row>
    <row r="653" spans="1:14" x14ac:dyDescent="0.3">
      <c r="A653" s="1">
        <v>704490</v>
      </c>
      <c r="B653" s="1" t="s">
        <v>696</v>
      </c>
      <c r="C653" s="5" t="s">
        <v>15</v>
      </c>
      <c r="D653" s="2">
        <v>45420</v>
      </c>
      <c r="E653" s="1" t="s">
        <v>31</v>
      </c>
      <c r="F653" s="1">
        <v>24102</v>
      </c>
      <c r="G653" s="1" t="s">
        <v>669</v>
      </c>
      <c r="H653" s="1" t="s">
        <v>661</v>
      </c>
      <c r="J653" s="1" t="s">
        <v>682</v>
      </c>
      <c r="K653" s="1" t="s">
        <v>666</v>
      </c>
      <c r="L653" s="1" t="s">
        <v>1390</v>
      </c>
      <c r="M653" s="1" t="s">
        <v>1391</v>
      </c>
      <c r="N653" s="1" t="str">
        <f t="shared" si="10"/>
        <v>ALCENO JUNIOR/JOÃO MARCOS</v>
      </c>
    </row>
    <row r="654" spans="1:14" x14ac:dyDescent="0.3">
      <c r="A654" s="1">
        <v>704438</v>
      </c>
      <c r="B654" s="1" t="s">
        <v>698</v>
      </c>
      <c r="C654" s="5" t="s">
        <v>15</v>
      </c>
      <c r="D654" s="2">
        <v>45419</v>
      </c>
      <c r="E654" s="1" t="s">
        <v>427</v>
      </c>
      <c r="F654" s="1">
        <v>39602</v>
      </c>
      <c r="G654" s="1" t="s">
        <v>699</v>
      </c>
      <c r="H654" s="1" t="s">
        <v>661</v>
      </c>
      <c r="J654" s="1" t="s">
        <v>700</v>
      </c>
      <c r="K654" s="1" t="s">
        <v>666</v>
      </c>
      <c r="L654" s="1" t="s">
        <v>258</v>
      </c>
      <c r="M654" s="1" t="s">
        <v>701</v>
      </c>
      <c r="N654" s="1" t="str">
        <f t="shared" si="10"/>
        <v>IURY GUEDES</v>
      </c>
    </row>
    <row r="655" spans="1:14" x14ac:dyDescent="0.3">
      <c r="A655" s="1">
        <v>705481</v>
      </c>
      <c r="B655" s="1" t="s">
        <v>1280</v>
      </c>
      <c r="C655" s="5" t="s">
        <v>15</v>
      </c>
      <c r="D655" s="2">
        <v>45824</v>
      </c>
      <c r="E655" s="1" t="s">
        <v>173</v>
      </c>
      <c r="F655" s="1">
        <v>32102</v>
      </c>
      <c r="G655" s="1" t="s">
        <v>674</v>
      </c>
      <c r="H655" s="1" t="s">
        <v>661</v>
      </c>
      <c r="J655" s="1" t="s">
        <v>675</v>
      </c>
      <c r="K655" s="1" t="s">
        <v>25</v>
      </c>
      <c r="L655" s="1" t="s">
        <v>1369</v>
      </c>
      <c r="M655" s="1" t="s">
        <v>1638</v>
      </c>
      <c r="N655" s="1" t="str">
        <f t="shared" si="10"/>
        <v>EDIVILSON MENEZES</v>
      </c>
    </row>
    <row r="656" spans="1:14" x14ac:dyDescent="0.3">
      <c r="A656" s="1">
        <v>704337</v>
      </c>
      <c r="B656" s="1" t="s">
        <v>702</v>
      </c>
      <c r="C656" s="5" t="s">
        <v>15</v>
      </c>
      <c r="D656" s="2">
        <v>45363</v>
      </c>
      <c r="E656" s="1" t="s">
        <v>31</v>
      </c>
      <c r="F656" s="1">
        <v>24102</v>
      </c>
      <c r="G656" s="1" t="s">
        <v>669</v>
      </c>
      <c r="H656" s="1" t="s">
        <v>661</v>
      </c>
      <c r="J656" s="1" t="s">
        <v>680</v>
      </c>
      <c r="K656" s="1" t="s">
        <v>666</v>
      </c>
      <c r="L656" s="1" t="s">
        <v>1388</v>
      </c>
      <c r="M656" s="1" t="s">
        <v>1637</v>
      </c>
      <c r="N656" s="1" t="str">
        <f t="shared" si="10"/>
        <v>JUNIO TEIXEIRA /EDIVILSON</v>
      </c>
    </row>
    <row r="657" spans="1:14" x14ac:dyDescent="0.3">
      <c r="A657" s="1">
        <v>700280</v>
      </c>
      <c r="B657" s="1" t="s">
        <v>703</v>
      </c>
      <c r="C657" s="5" t="s">
        <v>15</v>
      </c>
      <c r="D657" s="2">
        <v>43290</v>
      </c>
      <c r="E657" s="1" t="s">
        <v>16</v>
      </c>
      <c r="F657" s="1">
        <v>24102</v>
      </c>
      <c r="G657" s="1" t="s">
        <v>669</v>
      </c>
      <c r="H657" s="1" t="s">
        <v>661</v>
      </c>
      <c r="J657" s="1" t="s">
        <v>682</v>
      </c>
      <c r="K657" s="1" t="s">
        <v>666</v>
      </c>
      <c r="L657" s="1" t="s">
        <v>1390</v>
      </c>
      <c r="M657" s="1" t="s">
        <v>1391</v>
      </c>
      <c r="N657" s="1" t="str">
        <f t="shared" si="10"/>
        <v>ALCENO JUNIOR/JOÃO MARCOS</v>
      </c>
    </row>
    <row r="658" spans="1:14" x14ac:dyDescent="0.3">
      <c r="A658" s="1">
        <v>704861</v>
      </c>
      <c r="B658" s="1" t="s">
        <v>704</v>
      </c>
      <c r="C658" s="5" t="s">
        <v>15</v>
      </c>
      <c r="D658" s="2">
        <v>45579</v>
      </c>
      <c r="E658" s="1" t="s">
        <v>31</v>
      </c>
      <c r="F658" s="1">
        <v>39601</v>
      </c>
      <c r="G658" s="1" t="s">
        <v>660</v>
      </c>
      <c r="H658" s="1" t="s">
        <v>661</v>
      </c>
      <c r="J658" s="1" t="s">
        <v>684</v>
      </c>
      <c r="K658" s="1" t="s">
        <v>666</v>
      </c>
      <c r="L658" s="1" t="s">
        <v>258</v>
      </c>
      <c r="M658" s="1" t="s">
        <v>1392</v>
      </c>
      <c r="N658" s="1" t="str">
        <f t="shared" si="10"/>
        <v>ADALTON/JANILSON RORIZ/MARIVALDO</v>
      </c>
    </row>
    <row r="659" spans="1:14" x14ac:dyDescent="0.3">
      <c r="A659" s="1">
        <v>700220</v>
      </c>
      <c r="B659" s="1" t="s">
        <v>705</v>
      </c>
      <c r="C659" s="5" t="s">
        <v>15</v>
      </c>
      <c r="D659" s="2">
        <v>43255</v>
      </c>
      <c r="E659" s="1" t="s">
        <v>60</v>
      </c>
      <c r="F659" s="1">
        <v>24102</v>
      </c>
      <c r="G659" s="1" t="s">
        <v>669</v>
      </c>
      <c r="H659" s="1" t="s">
        <v>661</v>
      </c>
      <c r="J659" s="1" t="s">
        <v>672</v>
      </c>
      <c r="K659" s="1" t="s">
        <v>666</v>
      </c>
      <c r="L659" s="1" t="s">
        <v>1388</v>
      </c>
      <c r="M659" s="1" t="s">
        <v>1637</v>
      </c>
      <c r="N659" s="1" t="str">
        <f t="shared" si="10"/>
        <v>JUNIO TEIXEIRA /EDIVILSON</v>
      </c>
    </row>
    <row r="660" spans="1:14" x14ac:dyDescent="0.3">
      <c r="A660" s="1">
        <v>705778</v>
      </c>
      <c r="B660" s="1" t="s">
        <v>1494</v>
      </c>
      <c r="C660" s="5" t="s">
        <v>92</v>
      </c>
      <c r="D660" s="2">
        <v>45993</v>
      </c>
      <c r="E660" s="1" t="s">
        <v>1086</v>
      </c>
      <c r="F660" s="1">
        <v>31103</v>
      </c>
      <c r="G660" s="1" t="s">
        <v>718</v>
      </c>
      <c r="H660" s="1" t="s">
        <v>661</v>
      </c>
      <c r="I660" s="2">
        <v>46082</v>
      </c>
      <c r="J660" s="1" t="s">
        <v>719</v>
      </c>
      <c r="K660" s="1" t="s">
        <v>1381</v>
      </c>
      <c r="N660" s="1" t="str">
        <f t="shared" si="10"/>
        <v>MARCOS OLIVEIRA</v>
      </c>
    </row>
    <row r="661" spans="1:14" x14ac:dyDescent="0.3">
      <c r="A661" s="1">
        <v>701686</v>
      </c>
      <c r="B661" s="1" t="s">
        <v>706</v>
      </c>
      <c r="C661" s="5" t="s">
        <v>15</v>
      </c>
      <c r="D661" s="2">
        <v>44025</v>
      </c>
      <c r="E661" s="1" t="s">
        <v>27</v>
      </c>
      <c r="F661" s="1">
        <v>39601</v>
      </c>
      <c r="G661" s="1" t="s">
        <v>660</v>
      </c>
      <c r="H661" s="1" t="s">
        <v>661</v>
      </c>
      <c r="J661" s="1" t="s">
        <v>662</v>
      </c>
      <c r="K661" s="1" t="s">
        <v>666</v>
      </c>
      <c r="L661" s="1" t="s">
        <v>258</v>
      </c>
      <c r="N661" s="1" t="str">
        <f t="shared" si="10"/>
        <v>MATHEUS ALMEIDA</v>
      </c>
    </row>
    <row r="662" spans="1:14" x14ac:dyDescent="0.3">
      <c r="A662" s="1">
        <v>703272</v>
      </c>
      <c r="B662" s="1" t="s">
        <v>707</v>
      </c>
      <c r="C662" s="5" t="s">
        <v>15</v>
      </c>
      <c r="D662" s="2">
        <v>44781</v>
      </c>
      <c r="E662" s="1" t="s">
        <v>146</v>
      </c>
      <c r="F662" s="1">
        <v>24102</v>
      </c>
      <c r="G662" s="1" t="s">
        <v>669</v>
      </c>
      <c r="H662" s="1" t="s">
        <v>661</v>
      </c>
      <c r="J662" s="1" t="s">
        <v>680</v>
      </c>
      <c r="K662" s="1" t="s">
        <v>666</v>
      </c>
      <c r="L662" s="1" t="s">
        <v>1388</v>
      </c>
      <c r="M662" s="1" t="s">
        <v>1637</v>
      </c>
      <c r="N662" s="1" t="str">
        <f t="shared" si="10"/>
        <v>JUNIO TEIXEIRA /EDIVILSON</v>
      </c>
    </row>
    <row r="663" spans="1:14" x14ac:dyDescent="0.3">
      <c r="A663" s="1">
        <v>705777</v>
      </c>
      <c r="B663" s="1" t="s">
        <v>1495</v>
      </c>
      <c r="C663" s="5" t="s">
        <v>92</v>
      </c>
      <c r="D663" s="2">
        <v>45993</v>
      </c>
      <c r="E663" s="1" t="s">
        <v>129</v>
      </c>
      <c r="F663" s="1">
        <v>31103</v>
      </c>
      <c r="G663" s="1" t="s">
        <v>718</v>
      </c>
      <c r="H663" s="1" t="s">
        <v>661</v>
      </c>
      <c r="I663" s="2">
        <v>46082</v>
      </c>
      <c r="J663" s="1" t="s">
        <v>719</v>
      </c>
      <c r="K663" s="1" t="s">
        <v>1381</v>
      </c>
      <c r="N663" s="1" t="str">
        <f t="shared" si="10"/>
        <v>MARCOS OLIVEIRA</v>
      </c>
    </row>
    <row r="664" spans="1:14" x14ac:dyDescent="0.3">
      <c r="A664" s="1">
        <v>702005</v>
      </c>
      <c r="B664" s="1" t="s">
        <v>708</v>
      </c>
      <c r="C664" s="5" t="s">
        <v>15</v>
      </c>
      <c r="D664" s="2">
        <v>44229</v>
      </c>
      <c r="E664" s="1" t="s">
        <v>1363</v>
      </c>
      <c r="F664" s="1">
        <v>39203</v>
      </c>
      <c r="G664" s="1" t="s">
        <v>709</v>
      </c>
      <c r="H664" s="1" t="s">
        <v>661</v>
      </c>
      <c r="J664" s="1" t="s">
        <v>710</v>
      </c>
      <c r="K664" s="1" t="s">
        <v>50</v>
      </c>
      <c r="L664" s="1" t="s">
        <v>1382</v>
      </c>
      <c r="M664" s="1" t="s">
        <v>1382</v>
      </c>
      <c r="N664" s="1" t="str">
        <f t="shared" si="10"/>
        <v>ADENILTON RODRIGUES</v>
      </c>
    </row>
    <row r="665" spans="1:14" x14ac:dyDescent="0.3">
      <c r="A665" s="1">
        <v>700657</v>
      </c>
      <c r="B665" s="1" t="s">
        <v>711</v>
      </c>
      <c r="C665" s="5" t="s">
        <v>15</v>
      </c>
      <c r="D665" s="2">
        <v>42989</v>
      </c>
      <c r="E665" s="1" t="s">
        <v>219</v>
      </c>
      <c r="F665" s="1">
        <v>32102</v>
      </c>
      <c r="G665" s="1" t="s">
        <v>674</v>
      </c>
      <c r="H665" s="1" t="s">
        <v>661</v>
      </c>
      <c r="J665" s="1" t="s">
        <v>675</v>
      </c>
      <c r="K665" s="1" t="s">
        <v>25</v>
      </c>
      <c r="L665" s="1" t="s">
        <v>1369</v>
      </c>
      <c r="M665" s="1" t="s">
        <v>1638</v>
      </c>
      <c r="N665" s="1" t="str">
        <f t="shared" si="10"/>
        <v>EDIVILSON MENEZES</v>
      </c>
    </row>
    <row r="666" spans="1:14" x14ac:dyDescent="0.3">
      <c r="A666" s="1">
        <v>101561</v>
      </c>
      <c r="B666" s="1" t="s">
        <v>712</v>
      </c>
      <c r="C666" s="5" t="s">
        <v>15</v>
      </c>
      <c r="D666" s="2">
        <v>42989</v>
      </c>
      <c r="E666" s="1" t="s">
        <v>255</v>
      </c>
      <c r="F666" s="1">
        <v>24102</v>
      </c>
      <c r="G666" s="1" t="s">
        <v>669</v>
      </c>
      <c r="H666" s="1" t="s">
        <v>661</v>
      </c>
      <c r="J666" s="1" t="s">
        <v>680</v>
      </c>
      <c r="K666" s="1" t="s">
        <v>666</v>
      </c>
      <c r="L666" s="1" t="s">
        <v>1388</v>
      </c>
      <c r="M666" s="1" t="s">
        <v>1637</v>
      </c>
      <c r="N666" s="1" t="str">
        <f t="shared" si="10"/>
        <v>JUNIO TEIXEIRA /EDIVILSON</v>
      </c>
    </row>
    <row r="667" spans="1:14" x14ac:dyDescent="0.3">
      <c r="A667" s="1">
        <v>703844</v>
      </c>
      <c r="B667" s="1" t="s">
        <v>713</v>
      </c>
      <c r="C667" s="5" t="s">
        <v>15</v>
      </c>
      <c r="D667" s="2">
        <v>45054</v>
      </c>
      <c r="E667" s="1" t="s">
        <v>299</v>
      </c>
      <c r="F667" s="1">
        <v>39601</v>
      </c>
      <c r="G667" s="1" t="s">
        <v>660</v>
      </c>
      <c r="H667" s="1" t="s">
        <v>661</v>
      </c>
      <c r="J667" s="1" t="s">
        <v>684</v>
      </c>
      <c r="K667" s="1" t="s">
        <v>666</v>
      </c>
      <c r="L667" s="1" t="s">
        <v>258</v>
      </c>
      <c r="M667" s="1" t="s">
        <v>1392</v>
      </c>
      <c r="N667" s="1" t="str">
        <f t="shared" si="10"/>
        <v>ADALTON/JANILSON RORIZ/MARIVALDO</v>
      </c>
    </row>
    <row r="668" spans="1:14" x14ac:dyDescent="0.3">
      <c r="A668" s="1">
        <v>705131</v>
      </c>
      <c r="B668" s="1" t="s">
        <v>1148</v>
      </c>
      <c r="C668" s="5" t="s">
        <v>15</v>
      </c>
      <c r="D668" s="2">
        <v>45698</v>
      </c>
      <c r="E668" s="1" t="s">
        <v>230</v>
      </c>
      <c r="F668" s="1">
        <v>39601</v>
      </c>
      <c r="G668" s="1" t="s">
        <v>660</v>
      </c>
      <c r="H668" s="1" t="s">
        <v>661</v>
      </c>
      <c r="J668" s="1" t="s">
        <v>662</v>
      </c>
      <c r="K668" s="1" t="s">
        <v>666</v>
      </c>
      <c r="L668" s="1" t="s">
        <v>258</v>
      </c>
      <c r="N668" s="1" t="str">
        <f t="shared" si="10"/>
        <v>MATHEUS ALMEIDA</v>
      </c>
    </row>
    <row r="669" spans="1:14" x14ac:dyDescent="0.3">
      <c r="A669" s="1">
        <v>703945</v>
      </c>
      <c r="B669" s="1" t="s">
        <v>714</v>
      </c>
      <c r="C669" s="5" t="s">
        <v>15</v>
      </c>
      <c r="D669" s="2">
        <v>45089</v>
      </c>
      <c r="E669" s="1" t="s">
        <v>16</v>
      </c>
      <c r="F669" s="1">
        <v>24102</v>
      </c>
      <c r="G669" s="1" t="s">
        <v>669</v>
      </c>
      <c r="H669" s="1" t="s">
        <v>661</v>
      </c>
      <c r="J669" s="1" t="s">
        <v>682</v>
      </c>
      <c r="K669" s="1" t="s">
        <v>666</v>
      </c>
      <c r="L669" s="1" t="s">
        <v>1390</v>
      </c>
      <c r="M669" s="1" t="s">
        <v>1391</v>
      </c>
      <c r="N669" s="1" t="str">
        <f t="shared" si="10"/>
        <v>ALCENO JUNIOR/JOÃO MARCOS</v>
      </c>
    </row>
    <row r="670" spans="1:14" x14ac:dyDescent="0.3">
      <c r="A670" s="1">
        <v>704625</v>
      </c>
      <c r="B670" s="1" t="s">
        <v>715</v>
      </c>
      <c r="C670" s="5" t="s">
        <v>15</v>
      </c>
      <c r="D670" s="2">
        <v>45476</v>
      </c>
      <c r="E670" s="1" t="s">
        <v>31</v>
      </c>
      <c r="F670" s="1">
        <v>24102</v>
      </c>
      <c r="G670" s="1" t="s">
        <v>669</v>
      </c>
      <c r="H670" s="1" t="s">
        <v>661</v>
      </c>
      <c r="J670" s="1" t="s">
        <v>682</v>
      </c>
      <c r="K670" s="1" t="s">
        <v>666</v>
      </c>
      <c r="L670" s="1" t="s">
        <v>1390</v>
      </c>
      <c r="M670" s="1" t="s">
        <v>1391</v>
      </c>
      <c r="N670" s="1" t="str">
        <f t="shared" si="10"/>
        <v>ALCENO JUNIOR/JOÃO MARCOS</v>
      </c>
    </row>
    <row r="671" spans="1:14" x14ac:dyDescent="0.3">
      <c r="A671" s="1">
        <v>705322</v>
      </c>
      <c r="B671" s="1" t="s">
        <v>1238</v>
      </c>
      <c r="C671" s="5" t="s">
        <v>15</v>
      </c>
      <c r="D671" s="2">
        <v>45784</v>
      </c>
      <c r="E671" s="1" t="s">
        <v>31</v>
      </c>
      <c r="F671" s="1">
        <v>24102</v>
      </c>
      <c r="G671" s="1" t="s">
        <v>669</v>
      </c>
      <c r="H671" s="1" t="s">
        <v>661</v>
      </c>
      <c r="J671" s="1" t="s">
        <v>670</v>
      </c>
      <c r="K671" s="1" t="s">
        <v>666</v>
      </c>
      <c r="L671" s="1" t="s">
        <v>1388</v>
      </c>
      <c r="M671" s="1" t="s">
        <v>1637</v>
      </c>
      <c r="N671" s="1" t="str">
        <f t="shared" si="10"/>
        <v>JUNIO TEIXEIRA /EDIVILSON</v>
      </c>
    </row>
    <row r="672" spans="1:14" x14ac:dyDescent="0.3">
      <c r="A672" s="1">
        <v>704666</v>
      </c>
      <c r="B672" s="1" t="s">
        <v>716</v>
      </c>
      <c r="C672" s="5" t="s">
        <v>15</v>
      </c>
      <c r="D672" s="2">
        <v>45482</v>
      </c>
      <c r="E672" s="1" t="s">
        <v>418</v>
      </c>
      <c r="F672" s="1">
        <v>39601</v>
      </c>
      <c r="G672" s="1" t="s">
        <v>660</v>
      </c>
      <c r="H672" s="1" t="s">
        <v>661</v>
      </c>
      <c r="J672" s="1" t="s">
        <v>684</v>
      </c>
      <c r="K672" s="1" t="s">
        <v>666</v>
      </c>
      <c r="L672" s="1" t="s">
        <v>258</v>
      </c>
      <c r="M672" s="1" t="s">
        <v>1392</v>
      </c>
      <c r="N672" s="1" t="str">
        <f t="shared" si="10"/>
        <v>ADALTON/JANILSON RORIZ/MARIVALDO</v>
      </c>
    </row>
    <row r="673" spans="1:14" x14ac:dyDescent="0.3">
      <c r="A673" s="1">
        <v>705487</v>
      </c>
      <c r="B673" s="1" t="s">
        <v>1303</v>
      </c>
      <c r="C673" s="5" t="s">
        <v>15</v>
      </c>
      <c r="D673" s="2">
        <v>45839</v>
      </c>
      <c r="E673" s="1" t="s">
        <v>230</v>
      </c>
      <c r="F673" s="1">
        <v>39601</v>
      </c>
      <c r="G673" s="1" t="s">
        <v>660</v>
      </c>
      <c r="H673" s="1" t="s">
        <v>661</v>
      </c>
      <c r="J673" s="1" t="s">
        <v>662</v>
      </c>
      <c r="K673" s="1" t="s">
        <v>666</v>
      </c>
      <c r="L673" s="1" t="s">
        <v>258</v>
      </c>
      <c r="N673" s="1" t="str">
        <f t="shared" si="10"/>
        <v>MATHEUS ALMEIDA</v>
      </c>
    </row>
    <row r="674" spans="1:14" x14ac:dyDescent="0.3">
      <c r="A674" s="1">
        <v>705013</v>
      </c>
      <c r="B674" s="1" t="s">
        <v>717</v>
      </c>
      <c r="C674" s="5" t="s">
        <v>15</v>
      </c>
      <c r="D674" s="2">
        <v>45635</v>
      </c>
      <c r="E674" s="1" t="s">
        <v>1086</v>
      </c>
      <c r="F674" s="1">
        <v>31103</v>
      </c>
      <c r="G674" s="1" t="s">
        <v>718</v>
      </c>
      <c r="H674" s="1" t="s">
        <v>661</v>
      </c>
      <c r="J674" s="1" t="s">
        <v>719</v>
      </c>
      <c r="K674" s="1" t="s">
        <v>1381</v>
      </c>
      <c r="N674" s="1" t="str">
        <f t="shared" si="10"/>
        <v>MARCOS OLIVEIRA</v>
      </c>
    </row>
    <row r="675" spans="1:14" x14ac:dyDescent="0.3">
      <c r="A675" s="1">
        <v>705169</v>
      </c>
      <c r="B675" s="1" t="s">
        <v>1169</v>
      </c>
      <c r="C675" s="5" t="s">
        <v>15</v>
      </c>
      <c r="D675" s="2">
        <v>45726</v>
      </c>
      <c r="E675" s="1" t="s">
        <v>31</v>
      </c>
      <c r="F675" s="1">
        <v>24102</v>
      </c>
      <c r="G675" s="1" t="s">
        <v>669</v>
      </c>
      <c r="H675" s="1" t="s">
        <v>661</v>
      </c>
      <c r="J675" s="1" t="s">
        <v>670</v>
      </c>
      <c r="K675" s="1" t="s">
        <v>666</v>
      </c>
      <c r="L675" s="1" t="s">
        <v>1388</v>
      </c>
      <c r="M675" s="1" t="s">
        <v>1637</v>
      </c>
      <c r="N675" s="1" t="str">
        <f t="shared" si="10"/>
        <v>JUNIO TEIXEIRA /EDIVILSON</v>
      </c>
    </row>
    <row r="676" spans="1:14" x14ac:dyDescent="0.3">
      <c r="A676" s="1">
        <v>702696</v>
      </c>
      <c r="B676" s="1" t="s">
        <v>720</v>
      </c>
      <c r="C676" s="5" t="s">
        <v>15</v>
      </c>
      <c r="D676" s="2">
        <v>44537</v>
      </c>
      <c r="E676" s="1" t="s">
        <v>179</v>
      </c>
      <c r="F676" s="1">
        <v>32102</v>
      </c>
      <c r="G676" s="1" t="s">
        <v>674</v>
      </c>
      <c r="H676" s="1" t="s">
        <v>661</v>
      </c>
      <c r="J676" s="1" t="s">
        <v>675</v>
      </c>
      <c r="K676" s="1" t="s">
        <v>25</v>
      </c>
      <c r="L676" s="1" t="s">
        <v>1369</v>
      </c>
      <c r="M676" s="1" t="s">
        <v>1638</v>
      </c>
      <c r="N676" s="1" t="str">
        <f t="shared" si="10"/>
        <v>EDIVILSON MENEZES</v>
      </c>
    </row>
    <row r="677" spans="1:14" x14ac:dyDescent="0.3">
      <c r="A677" s="1">
        <v>704714</v>
      </c>
      <c r="B677" s="1" t="s">
        <v>721</v>
      </c>
      <c r="C677" s="5" t="s">
        <v>15</v>
      </c>
      <c r="D677" s="2">
        <v>45518</v>
      </c>
      <c r="E677" s="1" t="s">
        <v>31</v>
      </c>
      <c r="F677" s="1">
        <v>39601</v>
      </c>
      <c r="G677" s="1" t="s">
        <v>660</v>
      </c>
      <c r="H677" s="1" t="s">
        <v>661</v>
      </c>
      <c r="J677" s="1" t="s">
        <v>684</v>
      </c>
      <c r="K677" s="1" t="s">
        <v>666</v>
      </c>
      <c r="L677" s="1" t="s">
        <v>258</v>
      </c>
      <c r="M677" s="1" t="s">
        <v>1392</v>
      </c>
      <c r="N677" s="1" t="str">
        <f t="shared" si="10"/>
        <v>ADALTON/JANILSON RORIZ/MARIVALDO</v>
      </c>
    </row>
    <row r="678" spans="1:14" x14ac:dyDescent="0.3">
      <c r="A678" s="1">
        <v>705648</v>
      </c>
      <c r="B678" s="1" t="s">
        <v>1418</v>
      </c>
      <c r="C678" s="5" t="s">
        <v>15</v>
      </c>
      <c r="D678" s="2">
        <v>45944</v>
      </c>
      <c r="E678" s="1" t="s">
        <v>31</v>
      </c>
      <c r="F678" s="1">
        <v>39601</v>
      </c>
      <c r="G678" s="1" t="s">
        <v>660</v>
      </c>
      <c r="H678" s="1" t="s">
        <v>661</v>
      </c>
      <c r="J678" s="1" t="s">
        <v>662</v>
      </c>
      <c r="K678" s="1" t="s">
        <v>666</v>
      </c>
      <c r="L678" s="1" t="s">
        <v>258</v>
      </c>
      <c r="N678" s="1" t="str">
        <f t="shared" si="10"/>
        <v>MATHEUS ALMEIDA</v>
      </c>
    </row>
    <row r="679" spans="1:14" x14ac:dyDescent="0.3">
      <c r="A679" s="1">
        <v>101551</v>
      </c>
      <c r="B679" s="1" t="s">
        <v>722</v>
      </c>
      <c r="C679" s="5" t="s">
        <v>15</v>
      </c>
      <c r="D679" s="2">
        <v>42989</v>
      </c>
      <c r="E679" s="1" t="s">
        <v>16</v>
      </c>
      <c r="F679" s="1">
        <v>24102</v>
      </c>
      <c r="G679" s="1" t="s">
        <v>669</v>
      </c>
      <c r="H679" s="1" t="s">
        <v>661</v>
      </c>
      <c r="J679" s="1" t="s">
        <v>682</v>
      </c>
      <c r="K679" s="1" t="s">
        <v>666</v>
      </c>
      <c r="L679" s="1" t="s">
        <v>1390</v>
      </c>
      <c r="M679" s="1" t="s">
        <v>1391</v>
      </c>
      <c r="N679" s="1" t="str">
        <f t="shared" si="10"/>
        <v>ALCENO JUNIOR/JOÃO MARCOS</v>
      </c>
    </row>
    <row r="680" spans="1:14" x14ac:dyDescent="0.3">
      <c r="A680" s="1">
        <v>704463</v>
      </c>
      <c r="B680" s="1" t="s">
        <v>723</v>
      </c>
      <c r="C680" s="5" t="s">
        <v>15</v>
      </c>
      <c r="D680" s="2">
        <v>45419</v>
      </c>
      <c r="E680" s="1" t="s">
        <v>60</v>
      </c>
      <c r="F680" s="1">
        <v>39601</v>
      </c>
      <c r="G680" s="1" t="s">
        <v>660</v>
      </c>
      <c r="H680" s="1" t="s">
        <v>661</v>
      </c>
      <c r="J680" s="1" t="s">
        <v>684</v>
      </c>
      <c r="K680" s="1" t="s">
        <v>666</v>
      </c>
      <c r="L680" s="1" t="s">
        <v>258</v>
      </c>
      <c r="M680" s="1" t="s">
        <v>1392</v>
      </c>
      <c r="N680" s="1" t="str">
        <f t="shared" si="10"/>
        <v>ADALTON/JANILSON RORIZ/MARIVALDO</v>
      </c>
    </row>
    <row r="681" spans="1:14" x14ac:dyDescent="0.3">
      <c r="A681" s="1">
        <v>702873</v>
      </c>
      <c r="B681" s="1" t="s">
        <v>724</v>
      </c>
      <c r="C681" s="5" t="s">
        <v>15</v>
      </c>
      <c r="D681" s="2">
        <v>44635</v>
      </c>
      <c r="E681" s="1" t="s">
        <v>230</v>
      </c>
      <c r="F681" s="1">
        <v>38102</v>
      </c>
      <c r="G681" s="1" t="s">
        <v>725</v>
      </c>
      <c r="H681" s="1" t="s">
        <v>661</v>
      </c>
      <c r="J681" s="1" t="s">
        <v>726</v>
      </c>
      <c r="K681" s="1" t="s">
        <v>1372</v>
      </c>
      <c r="L681" s="1" t="s">
        <v>1373</v>
      </c>
      <c r="M681" s="1" t="s">
        <v>1373</v>
      </c>
      <c r="N681" s="1" t="str">
        <f t="shared" si="10"/>
        <v>DENIS ACASSIO</v>
      </c>
    </row>
    <row r="682" spans="1:14" x14ac:dyDescent="0.3">
      <c r="A682" s="1">
        <v>704393</v>
      </c>
      <c r="B682" s="1" t="s">
        <v>727</v>
      </c>
      <c r="C682" s="5" t="s">
        <v>15</v>
      </c>
      <c r="D682" s="2">
        <v>45391</v>
      </c>
      <c r="E682" s="1" t="s">
        <v>418</v>
      </c>
      <c r="F682" s="1">
        <v>39601</v>
      </c>
      <c r="G682" s="1" t="s">
        <v>660</v>
      </c>
      <c r="H682" s="1" t="s">
        <v>661</v>
      </c>
      <c r="J682" s="1" t="s">
        <v>684</v>
      </c>
      <c r="K682" s="1" t="s">
        <v>666</v>
      </c>
      <c r="L682" s="1" t="s">
        <v>258</v>
      </c>
      <c r="M682" s="1" t="s">
        <v>1392</v>
      </c>
      <c r="N682" s="1" t="str">
        <f t="shared" si="10"/>
        <v>ADALTON/JANILSON RORIZ/MARIVALDO</v>
      </c>
    </row>
    <row r="683" spans="1:14" x14ac:dyDescent="0.3">
      <c r="A683" s="1">
        <v>702416</v>
      </c>
      <c r="B683" s="1" t="s">
        <v>728</v>
      </c>
      <c r="C683" s="5" t="s">
        <v>15</v>
      </c>
      <c r="D683" s="2">
        <v>44390</v>
      </c>
      <c r="E683" s="1" t="s">
        <v>31</v>
      </c>
      <c r="F683" s="1">
        <v>24102</v>
      </c>
      <c r="G683" s="1" t="s">
        <v>669</v>
      </c>
      <c r="H683" s="1" t="s">
        <v>661</v>
      </c>
      <c r="J683" s="1" t="s">
        <v>672</v>
      </c>
      <c r="K683" s="1" t="s">
        <v>666</v>
      </c>
      <c r="L683" s="1" t="s">
        <v>1388</v>
      </c>
      <c r="M683" s="1" t="s">
        <v>1637</v>
      </c>
      <c r="N683" s="1" t="str">
        <f t="shared" si="10"/>
        <v>JUNIO TEIXEIRA /EDIVILSON</v>
      </c>
    </row>
    <row r="684" spans="1:14" x14ac:dyDescent="0.3">
      <c r="A684" s="1">
        <v>704341</v>
      </c>
      <c r="B684" s="1" t="s">
        <v>729</v>
      </c>
      <c r="C684" s="5" t="s">
        <v>15</v>
      </c>
      <c r="D684" s="2">
        <v>45363</v>
      </c>
      <c r="E684" s="1" t="s">
        <v>686</v>
      </c>
      <c r="F684" s="1">
        <v>39601</v>
      </c>
      <c r="G684" s="1" t="s">
        <v>660</v>
      </c>
      <c r="H684" s="1" t="s">
        <v>661</v>
      </c>
      <c r="J684" s="1" t="s">
        <v>684</v>
      </c>
      <c r="K684" s="1" t="s">
        <v>666</v>
      </c>
      <c r="L684" s="1" t="s">
        <v>258</v>
      </c>
      <c r="M684" s="1" t="s">
        <v>1392</v>
      </c>
      <c r="N684" s="1" t="str">
        <f t="shared" si="10"/>
        <v>ADALTON/JANILSON RORIZ/MARIVALDO</v>
      </c>
    </row>
    <row r="685" spans="1:14" x14ac:dyDescent="0.3">
      <c r="A685" s="1">
        <v>704208</v>
      </c>
      <c r="B685" s="1" t="s">
        <v>730</v>
      </c>
      <c r="C685" s="5" t="s">
        <v>15</v>
      </c>
      <c r="D685" s="2">
        <v>45300</v>
      </c>
      <c r="E685" s="1" t="s">
        <v>138</v>
      </c>
      <c r="F685" s="1">
        <v>24102</v>
      </c>
      <c r="G685" s="1" t="s">
        <v>669</v>
      </c>
      <c r="H685" s="1" t="s">
        <v>661</v>
      </c>
      <c r="J685" s="1" t="s">
        <v>682</v>
      </c>
      <c r="K685" s="1" t="s">
        <v>666</v>
      </c>
      <c r="L685" s="1" t="s">
        <v>1390</v>
      </c>
      <c r="M685" s="1" t="s">
        <v>1391</v>
      </c>
      <c r="N685" s="1" t="str">
        <f t="shared" si="10"/>
        <v>ALCENO JUNIOR/JOÃO MARCOS</v>
      </c>
    </row>
    <row r="686" spans="1:14" x14ac:dyDescent="0.3">
      <c r="A686" s="1">
        <v>701113</v>
      </c>
      <c r="B686" s="1" t="s">
        <v>731</v>
      </c>
      <c r="C686" s="5" t="s">
        <v>15</v>
      </c>
      <c r="D686" s="2">
        <v>43641</v>
      </c>
      <c r="E686" s="1" t="s">
        <v>146</v>
      </c>
      <c r="F686" s="1">
        <v>39601</v>
      </c>
      <c r="G686" s="1" t="s">
        <v>660</v>
      </c>
      <c r="H686" s="1" t="s">
        <v>661</v>
      </c>
      <c r="J686" s="1" t="s">
        <v>684</v>
      </c>
      <c r="K686" s="1" t="s">
        <v>666</v>
      </c>
      <c r="L686" s="1" t="s">
        <v>258</v>
      </c>
      <c r="M686" s="1" t="s">
        <v>1392</v>
      </c>
      <c r="N686" s="1" t="str">
        <f t="shared" si="10"/>
        <v>ADALTON/JANILSON RORIZ/MARIVALDO</v>
      </c>
    </row>
    <row r="687" spans="1:14" x14ac:dyDescent="0.3">
      <c r="A687" s="1">
        <v>703397</v>
      </c>
      <c r="B687" s="1" t="s">
        <v>732</v>
      </c>
      <c r="C687" s="5" t="s">
        <v>15</v>
      </c>
      <c r="D687" s="2">
        <v>44851</v>
      </c>
      <c r="E687" s="1" t="s">
        <v>146</v>
      </c>
      <c r="F687" s="1">
        <v>39601</v>
      </c>
      <c r="G687" s="1" t="s">
        <v>660</v>
      </c>
      <c r="H687" s="1" t="s">
        <v>661</v>
      </c>
      <c r="J687" s="1" t="s">
        <v>684</v>
      </c>
      <c r="K687" s="1" t="s">
        <v>666</v>
      </c>
      <c r="L687" s="1" t="s">
        <v>258</v>
      </c>
      <c r="M687" s="1" t="s">
        <v>1392</v>
      </c>
      <c r="N687" s="1" t="str">
        <f t="shared" si="10"/>
        <v>ADALTON/JANILSON RORIZ/MARIVALDO</v>
      </c>
    </row>
    <row r="688" spans="1:14" x14ac:dyDescent="0.3">
      <c r="A688" s="1">
        <v>702558</v>
      </c>
      <c r="B688" s="1" t="s">
        <v>733</v>
      </c>
      <c r="C688" s="5" t="s">
        <v>15</v>
      </c>
      <c r="D688" s="2">
        <v>44459</v>
      </c>
      <c r="E688" s="1" t="s">
        <v>734</v>
      </c>
      <c r="F688" s="1">
        <v>24201</v>
      </c>
      <c r="G688" s="1" t="s">
        <v>664</v>
      </c>
      <c r="H688" s="1" t="s">
        <v>661</v>
      </c>
      <c r="J688" s="1" t="s">
        <v>665</v>
      </c>
      <c r="K688" s="1" t="s">
        <v>666</v>
      </c>
      <c r="L688" s="1" t="s">
        <v>258</v>
      </c>
      <c r="M688" s="1" t="s">
        <v>667</v>
      </c>
      <c r="N688" s="1" t="str">
        <f t="shared" si="10"/>
        <v>JOSIEL NEVES</v>
      </c>
    </row>
    <row r="689" spans="1:14" x14ac:dyDescent="0.3">
      <c r="A689" s="1">
        <v>704424</v>
      </c>
      <c r="B689" s="1" t="s">
        <v>735</v>
      </c>
      <c r="C689" s="5" t="s">
        <v>15</v>
      </c>
      <c r="D689" s="2">
        <v>45391</v>
      </c>
      <c r="E689" s="1" t="s">
        <v>27</v>
      </c>
      <c r="F689" s="1">
        <v>39601</v>
      </c>
      <c r="G689" s="1" t="s">
        <v>660</v>
      </c>
      <c r="H689" s="1" t="s">
        <v>661</v>
      </c>
      <c r="J689" s="1" t="s">
        <v>684</v>
      </c>
      <c r="K689" s="1" t="s">
        <v>666</v>
      </c>
      <c r="L689" s="1" t="s">
        <v>258</v>
      </c>
      <c r="M689" s="1" t="s">
        <v>1392</v>
      </c>
      <c r="N689" s="1" t="str">
        <f t="shared" si="10"/>
        <v>ADALTON/JANILSON RORIZ/MARIVALDO</v>
      </c>
    </row>
    <row r="690" spans="1:14" x14ac:dyDescent="0.3">
      <c r="A690" s="1">
        <v>705349</v>
      </c>
      <c r="B690" s="1" t="s">
        <v>1239</v>
      </c>
      <c r="C690" s="5" t="s">
        <v>15</v>
      </c>
      <c r="D690" s="2">
        <v>45784</v>
      </c>
      <c r="E690" s="1" t="s">
        <v>31</v>
      </c>
      <c r="F690" s="1">
        <v>24201</v>
      </c>
      <c r="G690" s="1" t="s">
        <v>664</v>
      </c>
      <c r="H690" s="1" t="s">
        <v>661</v>
      </c>
      <c r="J690" s="1" t="s">
        <v>665</v>
      </c>
      <c r="K690" s="1" t="s">
        <v>666</v>
      </c>
      <c r="L690" s="1" t="s">
        <v>258</v>
      </c>
      <c r="M690" s="1" t="s">
        <v>667</v>
      </c>
      <c r="N690" s="1" t="str">
        <f t="shared" si="10"/>
        <v>JOSIEL NEVES</v>
      </c>
    </row>
    <row r="691" spans="1:14" x14ac:dyDescent="0.3">
      <c r="A691" s="1">
        <v>704408</v>
      </c>
      <c r="B691" s="1" t="s">
        <v>736</v>
      </c>
      <c r="C691" s="5" t="s">
        <v>15</v>
      </c>
      <c r="D691" s="2">
        <v>45391</v>
      </c>
      <c r="E691" s="1" t="s">
        <v>16</v>
      </c>
      <c r="F691" s="1">
        <v>24102</v>
      </c>
      <c r="G691" s="1" t="s">
        <v>669</v>
      </c>
      <c r="H691" s="1" t="s">
        <v>661</v>
      </c>
      <c r="J691" s="1" t="s">
        <v>682</v>
      </c>
      <c r="K691" s="1" t="s">
        <v>666</v>
      </c>
      <c r="L691" s="1" t="s">
        <v>1390</v>
      </c>
      <c r="M691" s="1" t="s">
        <v>1391</v>
      </c>
      <c r="N691" s="1" t="str">
        <f t="shared" si="10"/>
        <v>ALCENO JUNIOR/JOÃO MARCOS</v>
      </c>
    </row>
    <row r="692" spans="1:14" x14ac:dyDescent="0.3">
      <c r="A692" s="1">
        <v>704871</v>
      </c>
      <c r="B692" s="1" t="s">
        <v>737</v>
      </c>
      <c r="C692" s="5" t="s">
        <v>15</v>
      </c>
      <c r="D692" s="2">
        <v>45579</v>
      </c>
      <c r="E692" s="1" t="s">
        <v>31</v>
      </c>
      <c r="F692" s="1">
        <v>24201</v>
      </c>
      <c r="G692" s="1" t="s">
        <v>664</v>
      </c>
      <c r="H692" s="1" t="s">
        <v>661</v>
      </c>
      <c r="J692" s="1" t="s">
        <v>665</v>
      </c>
      <c r="K692" s="1" t="s">
        <v>666</v>
      </c>
      <c r="L692" s="1" t="s">
        <v>258</v>
      </c>
      <c r="M692" s="1" t="s">
        <v>667</v>
      </c>
      <c r="N692" s="1" t="str">
        <f t="shared" si="10"/>
        <v>JOSIEL NEVES</v>
      </c>
    </row>
    <row r="693" spans="1:14" x14ac:dyDescent="0.3">
      <c r="A693" s="1">
        <v>705865</v>
      </c>
      <c r="B693" s="1" t="s">
        <v>1568</v>
      </c>
      <c r="C693" s="5" t="s">
        <v>15</v>
      </c>
      <c r="D693" s="2">
        <v>46063</v>
      </c>
      <c r="E693" s="1" t="s">
        <v>31</v>
      </c>
      <c r="F693" s="1">
        <v>24102</v>
      </c>
      <c r="G693" s="1" t="s">
        <v>669</v>
      </c>
      <c r="H693" s="1" t="s">
        <v>661</v>
      </c>
      <c r="J693" s="1" t="s">
        <v>672</v>
      </c>
      <c r="K693" s="1" t="s">
        <v>666</v>
      </c>
      <c r="L693" s="1" t="s">
        <v>1388</v>
      </c>
      <c r="M693" s="1" t="s">
        <v>1637</v>
      </c>
      <c r="N693" s="1" t="str">
        <f t="shared" si="10"/>
        <v>JUNIO TEIXEIRA /EDIVILSON</v>
      </c>
    </row>
    <row r="694" spans="1:14" x14ac:dyDescent="0.3">
      <c r="A694" s="1">
        <v>705771</v>
      </c>
      <c r="B694" s="1" t="s">
        <v>1496</v>
      </c>
      <c r="C694" s="5" t="s">
        <v>15</v>
      </c>
      <c r="D694" s="2">
        <v>45993</v>
      </c>
      <c r="E694" s="1" t="s">
        <v>31</v>
      </c>
      <c r="F694" s="1">
        <v>24201</v>
      </c>
      <c r="G694" s="1" t="s">
        <v>664</v>
      </c>
      <c r="H694" s="1" t="s">
        <v>661</v>
      </c>
      <c r="J694" s="1" t="s">
        <v>665</v>
      </c>
      <c r="K694" s="1" t="s">
        <v>666</v>
      </c>
      <c r="L694" s="1" t="s">
        <v>258</v>
      </c>
      <c r="M694" s="1" t="s">
        <v>667</v>
      </c>
      <c r="N694" s="1" t="str">
        <f t="shared" si="10"/>
        <v>JOSIEL NEVES</v>
      </c>
    </row>
    <row r="695" spans="1:14" x14ac:dyDescent="0.3">
      <c r="A695" s="1">
        <v>702994</v>
      </c>
      <c r="B695" s="1" t="s">
        <v>738</v>
      </c>
      <c r="C695" s="5" t="s">
        <v>15</v>
      </c>
      <c r="D695" s="2">
        <v>44691</v>
      </c>
      <c r="E695" s="1" t="s">
        <v>31</v>
      </c>
      <c r="F695" s="1">
        <v>24201</v>
      </c>
      <c r="G695" s="1" t="s">
        <v>664</v>
      </c>
      <c r="H695" s="1" t="s">
        <v>661</v>
      </c>
      <c r="J695" s="1" t="s">
        <v>665</v>
      </c>
      <c r="K695" s="1" t="s">
        <v>666</v>
      </c>
      <c r="L695" s="1" t="s">
        <v>258</v>
      </c>
      <c r="M695" s="1" t="s">
        <v>667</v>
      </c>
      <c r="N695" s="1" t="str">
        <f t="shared" si="10"/>
        <v>JOSIEL NEVES</v>
      </c>
    </row>
    <row r="696" spans="1:14" x14ac:dyDescent="0.3">
      <c r="A696" s="1">
        <v>703178</v>
      </c>
      <c r="B696" s="1" t="s">
        <v>739</v>
      </c>
      <c r="C696" s="5" t="s">
        <v>15</v>
      </c>
      <c r="D696" s="2">
        <v>44753</v>
      </c>
      <c r="E696" s="1" t="s">
        <v>255</v>
      </c>
      <c r="F696" s="1">
        <v>24201</v>
      </c>
      <c r="G696" s="1" t="s">
        <v>664</v>
      </c>
      <c r="H696" s="1" t="s">
        <v>661</v>
      </c>
      <c r="J696" s="1" t="s">
        <v>665</v>
      </c>
      <c r="K696" s="1" t="s">
        <v>666</v>
      </c>
      <c r="L696" s="1" t="s">
        <v>258</v>
      </c>
      <c r="M696" s="1" t="s">
        <v>667</v>
      </c>
      <c r="N696" s="1" t="str">
        <f t="shared" si="10"/>
        <v>JOSIEL NEVES</v>
      </c>
    </row>
    <row r="697" spans="1:14" x14ac:dyDescent="0.3">
      <c r="A697" s="1">
        <v>705523</v>
      </c>
      <c r="B697" s="1" t="s">
        <v>1329</v>
      </c>
      <c r="C697" s="5" t="s">
        <v>15</v>
      </c>
      <c r="D697" s="2">
        <v>45874</v>
      </c>
      <c r="E697" s="1" t="s">
        <v>31</v>
      </c>
      <c r="F697" s="1">
        <v>39601</v>
      </c>
      <c r="G697" s="1" t="s">
        <v>660</v>
      </c>
      <c r="H697" s="1" t="s">
        <v>661</v>
      </c>
      <c r="J697" s="1" t="s">
        <v>684</v>
      </c>
      <c r="K697" s="1" t="s">
        <v>666</v>
      </c>
      <c r="L697" s="1" t="s">
        <v>258</v>
      </c>
      <c r="M697" s="1" t="s">
        <v>1392</v>
      </c>
      <c r="N697" s="1" t="str">
        <f t="shared" si="10"/>
        <v>ADALTON/JANILSON RORIZ/MARIVALDO</v>
      </c>
    </row>
    <row r="698" spans="1:14" x14ac:dyDescent="0.3">
      <c r="A698" s="1">
        <v>705430</v>
      </c>
      <c r="B698" s="1" t="s">
        <v>1240</v>
      </c>
      <c r="C698" s="5" t="s">
        <v>15</v>
      </c>
      <c r="D698" s="2">
        <v>45797</v>
      </c>
      <c r="E698" s="1" t="s">
        <v>31</v>
      </c>
      <c r="F698" s="1">
        <v>39601</v>
      </c>
      <c r="G698" s="1" t="s">
        <v>660</v>
      </c>
      <c r="H698" s="1" t="s">
        <v>661</v>
      </c>
      <c r="J698" s="1" t="s">
        <v>662</v>
      </c>
      <c r="K698" s="1" t="s">
        <v>666</v>
      </c>
      <c r="L698" s="1" t="s">
        <v>258</v>
      </c>
      <c r="N698" s="1" t="str">
        <f t="shared" si="10"/>
        <v>MATHEUS ALMEIDA</v>
      </c>
    </row>
    <row r="699" spans="1:14" x14ac:dyDescent="0.3">
      <c r="A699" s="1">
        <v>702324</v>
      </c>
      <c r="B699" s="1" t="s">
        <v>741</v>
      </c>
      <c r="C699" s="5" t="s">
        <v>15</v>
      </c>
      <c r="D699" s="2">
        <v>44355</v>
      </c>
      <c r="E699" s="1" t="s">
        <v>255</v>
      </c>
      <c r="F699" s="1">
        <v>39601</v>
      </c>
      <c r="G699" s="1" t="s">
        <v>660</v>
      </c>
      <c r="H699" s="1" t="s">
        <v>661</v>
      </c>
      <c r="J699" s="1" t="s">
        <v>684</v>
      </c>
      <c r="K699" s="1" t="s">
        <v>666</v>
      </c>
      <c r="L699" s="1" t="s">
        <v>258</v>
      </c>
      <c r="M699" s="1" t="s">
        <v>1392</v>
      </c>
      <c r="N699" s="1" t="str">
        <f t="shared" si="10"/>
        <v>ADALTON/JANILSON RORIZ/MARIVALDO</v>
      </c>
    </row>
    <row r="700" spans="1:14" x14ac:dyDescent="0.3">
      <c r="A700" s="1">
        <v>700890</v>
      </c>
      <c r="B700" s="1" t="s">
        <v>742</v>
      </c>
      <c r="C700" s="5" t="s">
        <v>15</v>
      </c>
      <c r="D700" s="2">
        <v>43529</v>
      </c>
      <c r="E700" s="1" t="s">
        <v>166</v>
      </c>
      <c r="F700" s="1">
        <v>24102</v>
      </c>
      <c r="G700" s="1" t="s">
        <v>669</v>
      </c>
      <c r="H700" s="1" t="s">
        <v>661</v>
      </c>
      <c r="J700" s="1" t="s">
        <v>670</v>
      </c>
      <c r="K700" s="1" t="s">
        <v>666</v>
      </c>
      <c r="L700" s="1" t="s">
        <v>1388</v>
      </c>
      <c r="M700" s="1" t="s">
        <v>1637</v>
      </c>
      <c r="N700" s="1" t="str">
        <f t="shared" si="10"/>
        <v>JUNIO TEIXEIRA /EDIVILSON</v>
      </c>
    </row>
    <row r="701" spans="1:14" x14ac:dyDescent="0.3">
      <c r="A701" s="1">
        <v>705844</v>
      </c>
      <c r="B701" s="1" t="s">
        <v>1569</v>
      </c>
      <c r="C701" s="5" t="s">
        <v>15</v>
      </c>
      <c r="D701" s="2">
        <v>46063</v>
      </c>
      <c r="E701" s="1" t="s">
        <v>31</v>
      </c>
      <c r="F701" s="1">
        <v>24102</v>
      </c>
      <c r="G701" s="1" t="s">
        <v>669</v>
      </c>
      <c r="H701" s="1" t="s">
        <v>661</v>
      </c>
      <c r="J701" s="1" t="s">
        <v>670</v>
      </c>
      <c r="K701" s="1" t="s">
        <v>666</v>
      </c>
      <c r="L701" s="1" t="s">
        <v>1388</v>
      </c>
      <c r="M701" s="1" t="s">
        <v>1637</v>
      </c>
      <c r="N701" s="1" t="str">
        <f t="shared" si="10"/>
        <v>JUNIO TEIXEIRA /EDIVILSON</v>
      </c>
    </row>
    <row r="702" spans="1:14" x14ac:dyDescent="0.3">
      <c r="A702" s="1">
        <v>702360</v>
      </c>
      <c r="B702" s="1" t="s">
        <v>743</v>
      </c>
      <c r="C702" s="5" t="s">
        <v>15</v>
      </c>
      <c r="D702" s="2">
        <v>44362</v>
      </c>
      <c r="E702" s="1" t="s">
        <v>1364</v>
      </c>
      <c r="F702" s="1">
        <v>37102</v>
      </c>
      <c r="G702" s="1" t="s">
        <v>694</v>
      </c>
      <c r="H702" s="1" t="s">
        <v>661</v>
      </c>
      <c r="J702" s="1" t="s">
        <v>744</v>
      </c>
      <c r="K702" s="1" t="s">
        <v>132</v>
      </c>
      <c r="N702" s="1" t="str">
        <f t="shared" si="10"/>
        <v xml:space="preserve">GISELE NASCENTE </v>
      </c>
    </row>
    <row r="703" spans="1:14" x14ac:dyDescent="0.3">
      <c r="A703" s="1">
        <v>705550</v>
      </c>
      <c r="B703" s="1" t="s">
        <v>1330</v>
      </c>
      <c r="C703" s="5" t="s">
        <v>15</v>
      </c>
      <c r="D703" s="2">
        <v>45881</v>
      </c>
      <c r="E703" s="1" t="s">
        <v>336</v>
      </c>
      <c r="F703" s="1">
        <v>24102</v>
      </c>
      <c r="G703" s="1" t="s">
        <v>669</v>
      </c>
      <c r="H703" s="1" t="s">
        <v>661</v>
      </c>
      <c r="J703" s="1" t="s">
        <v>680</v>
      </c>
      <c r="K703" s="1" t="s">
        <v>666</v>
      </c>
      <c r="L703" s="1" t="s">
        <v>1388</v>
      </c>
      <c r="M703" s="1" t="s">
        <v>1637</v>
      </c>
      <c r="N703" s="1" t="str">
        <f t="shared" si="10"/>
        <v>JUNIO TEIXEIRA /EDIVILSON</v>
      </c>
    </row>
    <row r="704" spans="1:14" x14ac:dyDescent="0.3">
      <c r="A704" s="1">
        <v>705651</v>
      </c>
      <c r="B704" s="1" t="s">
        <v>1420</v>
      </c>
      <c r="C704" s="5" t="s">
        <v>15</v>
      </c>
      <c r="D704" s="2">
        <v>45944</v>
      </c>
      <c r="E704" s="1" t="s">
        <v>31</v>
      </c>
      <c r="F704" s="1">
        <v>39601</v>
      </c>
      <c r="G704" s="1" t="s">
        <v>660</v>
      </c>
      <c r="H704" s="1" t="s">
        <v>661</v>
      </c>
      <c r="J704" s="1" t="s">
        <v>684</v>
      </c>
      <c r="K704" s="1" t="s">
        <v>666</v>
      </c>
      <c r="L704" s="1" t="s">
        <v>258</v>
      </c>
      <c r="M704" s="1" t="s">
        <v>1392</v>
      </c>
      <c r="N704" s="1" t="str">
        <f t="shared" si="10"/>
        <v>ADALTON/JANILSON RORIZ/MARIVALDO</v>
      </c>
    </row>
    <row r="705" spans="1:14" x14ac:dyDescent="0.3">
      <c r="A705" s="1">
        <v>702534</v>
      </c>
      <c r="B705" s="1" t="s">
        <v>745</v>
      </c>
      <c r="C705" s="5" t="s">
        <v>15</v>
      </c>
      <c r="D705" s="2">
        <v>44425</v>
      </c>
      <c r="E705" s="1" t="s">
        <v>686</v>
      </c>
      <c r="F705" s="1">
        <v>39601</v>
      </c>
      <c r="G705" s="1" t="s">
        <v>660</v>
      </c>
      <c r="H705" s="1" t="s">
        <v>661</v>
      </c>
      <c r="J705" s="1" t="s">
        <v>700</v>
      </c>
      <c r="K705" s="1" t="s">
        <v>666</v>
      </c>
      <c r="L705" s="1" t="s">
        <v>258</v>
      </c>
      <c r="M705" s="1" t="s">
        <v>701</v>
      </c>
      <c r="N705" s="1" t="str">
        <f t="shared" si="10"/>
        <v>IURY GUEDES</v>
      </c>
    </row>
    <row r="706" spans="1:14" x14ac:dyDescent="0.3">
      <c r="A706" s="1">
        <v>703234</v>
      </c>
      <c r="B706" s="1" t="s">
        <v>746</v>
      </c>
      <c r="C706" s="5" t="s">
        <v>15</v>
      </c>
      <c r="D706" s="2">
        <v>44760</v>
      </c>
      <c r="E706" s="1" t="s">
        <v>686</v>
      </c>
      <c r="F706" s="1">
        <v>39601</v>
      </c>
      <c r="G706" s="1" t="s">
        <v>660</v>
      </c>
      <c r="H706" s="1" t="s">
        <v>661</v>
      </c>
      <c r="J706" s="1" t="s">
        <v>684</v>
      </c>
      <c r="K706" s="1" t="s">
        <v>666</v>
      </c>
      <c r="L706" s="1" t="s">
        <v>258</v>
      </c>
      <c r="M706" s="1" t="s">
        <v>1392</v>
      </c>
      <c r="N706" s="1" t="str">
        <f t="shared" si="10"/>
        <v>ADALTON/JANILSON RORIZ/MARIVALDO</v>
      </c>
    </row>
    <row r="707" spans="1:14" x14ac:dyDescent="0.3">
      <c r="A707" s="1">
        <v>705870</v>
      </c>
      <c r="B707" s="1" t="s">
        <v>1570</v>
      </c>
      <c r="C707" s="5" t="s">
        <v>15</v>
      </c>
      <c r="D707" s="2">
        <v>46063</v>
      </c>
      <c r="E707" s="1" t="s">
        <v>31</v>
      </c>
      <c r="F707" s="1">
        <v>24102</v>
      </c>
      <c r="G707" s="1" t="s">
        <v>669</v>
      </c>
      <c r="H707" s="1" t="s">
        <v>661</v>
      </c>
      <c r="J707" s="1" t="s">
        <v>682</v>
      </c>
      <c r="K707" s="1" t="s">
        <v>666</v>
      </c>
      <c r="L707" s="1" t="s">
        <v>1390</v>
      </c>
      <c r="M707" s="1" t="s">
        <v>1391</v>
      </c>
      <c r="N707" s="1" t="str">
        <f t="shared" ref="N707:N770" si="11">IF(M707&lt;&gt;"", M707, IF(L707&lt;&gt;"", L707, K707))</f>
        <v>ALCENO JUNIOR/JOÃO MARCOS</v>
      </c>
    </row>
    <row r="708" spans="1:14" x14ac:dyDescent="0.3">
      <c r="A708" s="1">
        <v>101108</v>
      </c>
      <c r="B708" s="1" t="s">
        <v>748</v>
      </c>
      <c r="C708" s="5" t="s">
        <v>15</v>
      </c>
      <c r="D708" s="2">
        <v>42681</v>
      </c>
      <c r="E708" s="1" t="s">
        <v>166</v>
      </c>
      <c r="F708" s="1">
        <v>24102</v>
      </c>
      <c r="G708" s="1" t="s">
        <v>669</v>
      </c>
      <c r="H708" s="1" t="s">
        <v>661</v>
      </c>
      <c r="J708" s="1" t="s">
        <v>682</v>
      </c>
      <c r="K708" s="1" t="s">
        <v>666</v>
      </c>
      <c r="L708" s="1" t="s">
        <v>1390</v>
      </c>
      <c r="M708" s="1" t="s">
        <v>1391</v>
      </c>
      <c r="N708" s="1" t="str">
        <f t="shared" si="11"/>
        <v>ALCENO JUNIOR/JOÃO MARCOS</v>
      </c>
    </row>
    <row r="709" spans="1:14" x14ac:dyDescent="0.3">
      <c r="A709" s="1">
        <v>704340</v>
      </c>
      <c r="B709" s="1" t="s">
        <v>749</v>
      </c>
      <c r="C709" s="5" t="s">
        <v>15</v>
      </c>
      <c r="D709" s="2">
        <v>45363</v>
      </c>
      <c r="E709" s="1" t="s">
        <v>31</v>
      </c>
      <c r="F709" s="1">
        <v>24102</v>
      </c>
      <c r="G709" s="1" t="s">
        <v>669</v>
      </c>
      <c r="H709" s="1" t="s">
        <v>661</v>
      </c>
      <c r="J709" s="1" t="s">
        <v>670</v>
      </c>
      <c r="K709" s="1" t="s">
        <v>666</v>
      </c>
      <c r="L709" s="1" t="s">
        <v>1388</v>
      </c>
      <c r="M709" s="1" t="s">
        <v>1637</v>
      </c>
      <c r="N709" s="1" t="str">
        <f t="shared" si="11"/>
        <v>JUNIO TEIXEIRA /EDIVILSON</v>
      </c>
    </row>
    <row r="710" spans="1:14" x14ac:dyDescent="0.3">
      <c r="A710" s="1">
        <v>705653</v>
      </c>
      <c r="B710" s="1" t="s">
        <v>1421</v>
      </c>
      <c r="C710" s="5" t="s">
        <v>15</v>
      </c>
      <c r="D710" s="2">
        <v>45944</v>
      </c>
      <c r="E710" s="1" t="s">
        <v>31</v>
      </c>
      <c r="F710" s="1">
        <v>39601</v>
      </c>
      <c r="G710" s="1" t="s">
        <v>660</v>
      </c>
      <c r="H710" s="1" t="s">
        <v>661</v>
      </c>
      <c r="J710" s="1" t="s">
        <v>662</v>
      </c>
      <c r="K710" s="1" t="s">
        <v>666</v>
      </c>
      <c r="L710" s="1" t="s">
        <v>258</v>
      </c>
      <c r="N710" s="1" t="str">
        <f t="shared" si="11"/>
        <v>MATHEUS ALMEIDA</v>
      </c>
    </row>
    <row r="711" spans="1:14" x14ac:dyDescent="0.3">
      <c r="A711" s="1">
        <v>700930</v>
      </c>
      <c r="B711" s="1" t="s">
        <v>751</v>
      </c>
      <c r="C711" s="5" t="s">
        <v>15</v>
      </c>
      <c r="D711" s="2">
        <v>43542</v>
      </c>
      <c r="E711" s="1" t="s">
        <v>179</v>
      </c>
      <c r="F711" s="1">
        <v>32102</v>
      </c>
      <c r="G711" s="1" t="s">
        <v>674</v>
      </c>
      <c r="H711" s="1" t="s">
        <v>661</v>
      </c>
      <c r="J711" s="1" t="s">
        <v>675</v>
      </c>
      <c r="K711" s="1" t="s">
        <v>25</v>
      </c>
      <c r="L711" s="1" t="s">
        <v>1369</v>
      </c>
      <c r="M711" s="1" t="s">
        <v>1638</v>
      </c>
      <c r="N711" s="1" t="str">
        <f t="shared" si="11"/>
        <v>EDIVILSON MENEZES</v>
      </c>
    </row>
    <row r="712" spans="1:14" x14ac:dyDescent="0.3">
      <c r="A712" s="1">
        <v>704850</v>
      </c>
      <c r="B712" s="1" t="s">
        <v>752</v>
      </c>
      <c r="C712" s="5" t="s">
        <v>15</v>
      </c>
      <c r="D712" s="2">
        <v>45580</v>
      </c>
      <c r="E712" s="1" t="s">
        <v>474</v>
      </c>
      <c r="F712" s="1">
        <v>32102</v>
      </c>
      <c r="G712" s="1" t="s">
        <v>674</v>
      </c>
      <c r="H712" s="1" t="s">
        <v>661</v>
      </c>
      <c r="J712" s="1" t="s">
        <v>675</v>
      </c>
      <c r="K712" s="1" t="s">
        <v>25</v>
      </c>
      <c r="L712" s="1" t="s">
        <v>1369</v>
      </c>
      <c r="M712" s="1" t="s">
        <v>1638</v>
      </c>
      <c r="N712" s="1" t="str">
        <f t="shared" si="11"/>
        <v>EDIVILSON MENEZES</v>
      </c>
    </row>
    <row r="713" spans="1:14" x14ac:dyDescent="0.3">
      <c r="A713" s="1">
        <v>705557</v>
      </c>
      <c r="B713" s="1" t="s">
        <v>1331</v>
      </c>
      <c r="C713" s="5" t="s">
        <v>15</v>
      </c>
      <c r="D713" s="2">
        <v>45874</v>
      </c>
      <c r="E713" s="1" t="s">
        <v>31</v>
      </c>
      <c r="F713" s="1">
        <v>39601</v>
      </c>
      <c r="G713" s="1" t="s">
        <v>660</v>
      </c>
      <c r="H713" s="1" t="s">
        <v>661</v>
      </c>
      <c r="J713" s="1" t="s">
        <v>684</v>
      </c>
      <c r="K713" s="1" t="s">
        <v>666</v>
      </c>
      <c r="L713" s="1" t="s">
        <v>258</v>
      </c>
      <c r="M713" s="1" t="s">
        <v>1392</v>
      </c>
      <c r="N713" s="1" t="str">
        <f t="shared" si="11"/>
        <v>ADALTON/JANILSON RORIZ/MARIVALDO</v>
      </c>
    </row>
    <row r="714" spans="1:14" x14ac:dyDescent="0.3">
      <c r="A714" s="1">
        <v>701350</v>
      </c>
      <c r="B714" s="1" t="s">
        <v>753</v>
      </c>
      <c r="C714" s="5" t="s">
        <v>15</v>
      </c>
      <c r="D714" s="2">
        <v>43759</v>
      </c>
      <c r="E714" s="1" t="s">
        <v>423</v>
      </c>
      <c r="F714" s="1">
        <v>31103</v>
      </c>
      <c r="G714" s="1" t="s">
        <v>718</v>
      </c>
      <c r="H714" s="1" t="s">
        <v>661</v>
      </c>
      <c r="J714" s="1" t="s">
        <v>719</v>
      </c>
      <c r="K714" s="1" t="s">
        <v>1381</v>
      </c>
      <c r="N714" s="1" t="str">
        <f t="shared" si="11"/>
        <v>MARCOS OLIVEIRA</v>
      </c>
    </row>
    <row r="715" spans="1:14" x14ac:dyDescent="0.3">
      <c r="A715" s="1">
        <v>705851</v>
      </c>
      <c r="B715" s="1" t="s">
        <v>1571</v>
      </c>
      <c r="C715" s="5" t="s">
        <v>15</v>
      </c>
      <c r="D715" s="2">
        <v>46063</v>
      </c>
      <c r="E715" s="1" t="s">
        <v>31</v>
      </c>
      <c r="F715" s="1">
        <v>24102</v>
      </c>
      <c r="G715" s="1" t="s">
        <v>669</v>
      </c>
      <c r="H715" s="1" t="s">
        <v>661</v>
      </c>
      <c r="J715" s="1" t="s">
        <v>672</v>
      </c>
      <c r="K715" s="1" t="s">
        <v>666</v>
      </c>
      <c r="L715" s="1" t="s">
        <v>1388</v>
      </c>
      <c r="M715" s="1" t="s">
        <v>1637</v>
      </c>
      <c r="N715" s="1" t="str">
        <f t="shared" si="11"/>
        <v>JUNIO TEIXEIRA /EDIVILSON</v>
      </c>
    </row>
    <row r="716" spans="1:14" x14ac:dyDescent="0.3">
      <c r="A716" s="1">
        <v>705857</v>
      </c>
      <c r="B716" s="1" t="s">
        <v>1572</v>
      </c>
      <c r="C716" s="5" t="s">
        <v>15</v>
      </c>
      <c r="D716" s="2">
        <v>46063</v>
      </c>
      <c r="E716" s="1" t="s">
        <v>31</v>
      </c>
      <c r="F716" s="1">
        <v>24102</v>
      </c>
      <c r="G716" s="1" t="s">
        <v>669</v>
      </c>
      <c r="H716" s="1" t="s">
        <v>661</v>
      </c>
      <c r="J716" s="1" t="s">
        <v>672</v>
      </c>
      <c r="K716" s="1" t="s">
        <v>666</v>
      </c>
      <c r="L716" s="1" t="s">
        <v>1388</v>
      </c>
      <c r="M716" s="1" t="s">
        <v>1637</v>
      </c>
      <c r="N716" s="1" t="str">
        <f t="shared" si="11"/>
        <v>JUNIO TEIXEIRA /EDIVILSON</v>
      </c>
    </row>
    <row r="717" spans="1:14" x14ac:dyDescent="0.3">
      <c r="A717" s="1">
        <v>704456</v>
      </c>
      <c r="B717" s="1" t="s">
        <v>754</v>
      </c>
      <c r="C717" s="5" t="s">
        <v>15</v>
      </c>
      <c r="D717" s="2">
        <v>45419</v>
      </c>
      <c r="E717" s="1" t="s">
        <v>31</v>
      </c>
      <c r="F717" s="1">
        <v>39601</v>
      </c>
      <c r="G717" s="1" t="s">
        <v>660</v>
      </c>
      <c r="H717" s="1" t="s">
        <v>661</v>
      </c>
      <c r="J717" s="1" t="s">
        <v>684</v>
      </c>
      <c r="K717" s="1" t="s">
        <v>666</v>
      </c>
      <c r="L717" s="1" t="s">
        <v>258</v>
      </c>
      <c r="M717" s="1" t="s">
        <v>1392</v>
      </c>
      <c r="N717" s="1" t="str">
        <f t="shared" si="11"/>
        <v>ADALTON/JANILSON RORIZ/MARIVALDO</v>
      </c>
    </row>
    <row r="718" spans="1:14" x14ac:dyDescent="0.3">
      <c r="A718" s="1">
        <v>702612</v>
      </c>
      <c r="B718" s="1" t="s">
        <v>755</v>
      </c>
      <c r="C718" s="5" t="s">
        <v>15</v>
      </c>
      <c r="D718" s="2">
        <v>44487</v>
      </c>
      <c r="E718" s="1" t="s">
        <v>219</v>
      </c>
      <c r="F718" s="1">
        <v>32102</v>
      </c>
      <c r="G718" s="1" t="s">
        <v>674</v>
      </c>
      <c r="H718" s="1" t="s">
        <v>661</v>
      </c>
      <c r="J718" s="1" t="s">
        <v>675</v>
      </c>
      <c r="K718" s="1" t="s">
        <v>25</v>
      </c>
      <c r="L718" s="1" t="s">
        <v>1369</v>
      </c>
      <c r="M718" s="1" t="s">
        <v>1638</v>
      </c>
      <c r="N718" s="1" t="str">
        <f t="shared" si="11"/>
        <v>EDIVILSON MENEZES</v>
      </c>
    </row>
    <row r="719" spans="1:14" x14ac:dyDescent="0.3">
      <c r="A719" s="1">
        <v>703620</v>
      </c>
      <c r="B719" s="1" t="s">
        <v>756</v>
      </c>
      <c r="C719" s="5" t="s">
        <v>15</v>
      </c>
      <c r="D719" s="2">
        <v>44991</v>
      </c>
      <c r="E719" s="1" t="s">
        <v>138</v>
      </c>
      <c r="F719" s="1">
        <v>24102</v>
      </c>
      <c r="G719" s="1" t="s">
        <v>669</v>
      </c>
      <c r="H719" s="1" t="s">
        <v>661</v>
      </c>
      <c r="J719" s="1" t="s">
        <v>682</v>
      </c>
      <c r="K719" s="1" t="s">
        <v>666</v>
      </c>
      <c r="L719" s="1" t="s">
        <v>1390</v>
      </c>
      <c r="M719" s="1" t="s">
        <v>1391</v>
      </c>
      <c r="N719" s="1" t="str">
        <f t="shared" si="11"/>
        <v>ALCENO JUNIOR/JOÃO MARCOS</v>
      </c>
    </row>
    <row r="720" spans="1:14" x14ac:dyDescent="0.3">
      <c r="A720" s="1">
        <v>704038</v>
      </c>
      <c r="B720" s="1" t="s">
        <v>758</v>
      </c>
      <c r="C720" s="5" t="s">
        <v>15</v>
      </c>
      <c r="D720" s="2">
        <v>45145</v>
      </c>
      <c r="E720" s="1" t="s">
        <v>31</v>
      </c>
      <c r="F720" s="1">
        <v>24102</v>
      </c>
      <c r="G720" s="1" t="s">
        <v>669</v>
      </c>
      <c r="H720" s="1" t="s">
        <v>661</v>
      </c>
      <c r="J720" s="1" t="s">
        <v>672</v>
      </c>
      <c r="K720" s="1" t="s">
        <v>666</v>
      </c>
      <c r="L720" s="1" t="s">
        <v>1388</v>
      </c>
      <c r="M720" s="1" t="s">
        <v>1637</v>
      </c>
      <c r="N720" s="1" t="str">
        <f t="shared" si="11"/>
        <v>JUNIO TEIXEIRA /EDIVILSON</v>
      </c>
    </row>
    <row r="721" spans="1:14" x14ac:dyDescent="0.3">
      <c r="A721" s="1">
        <v>704313</v>
      </c>
      <c r="B721" s="1" t="s">
        <v>759</v>
      </c>
      <c r="C721" s="5" t="s">
        <v>15</v>
      </c>
      <c r="D721" s="2">
        <v>45356</v>
      </c>
      <c r="E721" s="1" t="s">
        <v>16</v>
      </c>
      <c r="F721" s="1">
        <v>24102</v>
      </c>
      <c r="G721" s="1" t="s">
        <v>669</v>
      </c>
      <c r="H721" s="1" t="s">
        <v>661</v>
      </c>
      <c r="J721" s="1" t="s">
        <v>682</v>
      </c>
      <c r="K721" s="1" t="s">
        <v>666</v>
      </c>
      <c r="L721" s="1" t="s">
        <v>1390</v>
      </c>
      <c r="M721" s="1" t="s">
        <v>1391</v>
      </c>
      <c r="N721" s="1" t="str">
        <f t="shared" si="11"/>
        <v>ALCENO JUNIOR/JOÃO MARCOS</v>
      </c>
    </row>
    <row r="722" spans="1:14" x14ac:dyDescent="0.3">
      <c r="A722" s="1">
        <v>101262</v>
      </c>
      <c r="B722" s="1" t="s">
        <v>760</v>
      </c>
      <c r="C722" s="5" t="s">
        <v>15</v>
      </c>
      <c r="D722" s="2">
        <v>42800</v>
      </c>
      <c r="E722" s="1" t="s">
        <v>1179</v>
      </c>
      <c r="F722" s="1">
        <v>24102</v>
      </c>
      <c r="G722" s="1" t="s">
        <v>669</v>
      </c>
      <c r="H722" s="1" t="s">
        <v>661</v>
      </c>
      <c r="J722" s="1" t="s">
        <v>197</v>
      </c>
      <c r="K722" s="1" t="s">
        <v>1508</v>
      </c>
      <c r="N722" s="1" t="str">
        <f t="shared" si="11"/>
        <v xml:space="preserve">CARLOS OLIVEIRA </v>
      </c>
    </row>
    <row r="723" spans="1:14" x14ac:dyDescent="0.3">
      <c r="A723" s="1">
        <v>705655</v>
      </c>
      <c r="B723" s="1" t="s">
        <v>1423</v>
      </c>
      <c r="C723" s="5" t="s">
        <v>15</v>
      </c>
      <c r="D723" s="2">
        <v>45944</v>
      </c>
      <c r="E723" s="1" t="s">
        <v>31</v>
      </c>
      <c r="F723" s="1">
        <v>39601</v>
      </c>
      <c r="G723" s="1" t="s">
        <v>660</v>
      </c>
      <c r="H723" s="1" t="s">
        <v>661</v>
      </c>
      <c r="J723" s="1" t="s">
        <v>662</v>
      </c>
      <c r="K723" s="1" t="s">
        <v>666</v>
      </c>
      <c r="L723" s="1" t="s">
        <v>258</v>
      </c>
      <c r="N723" s="1" t="str">
        <f t="shared" si="11"/>
        <v>MATHEUS ALMEIDA</v>
      </c>
    </row>
    <row r="724" spans="1:14" x14ac:dyDescent="0.3">
      <c r="A724" s="1">
        <v>704169</v>
      </c>
      <c r="B724" s="1" t="s">
        <v>761</v>
      </c>
      <c r="C724" s="5" t="s">
        <v>15</v>
      </c>
      <c r="D724" s="2">
        <v>45272</v>
      </c>
      <c r="E724" s="1" t="s">
        <v>1348</v>
      </c>
      <c r="F724" s="1">
        <v>32102</v>
      </c>
      <c r="G724" s="1" t="s">
        <v>674</v>
      </c>
      <c r="H724" s="1" t="s">
        <v>661</v>
      </c>
      <c r="J724" s="1" t="s">
        <v>675</v>
      </c>
      <c r="K724" s="1" t="s">
        <v>25</v>
      </c>
      <c r="L724" s="1" t="s">
        <v>1369</v>
      </c>
      <c r="M724" s="1" t="s">
        <v>1638</v>
      </c>
      <c r="N724" s="1" t="str">
        <f t="shared" si="11"/>
        <v>EDIVILSON MENEZES</v>
      </c>
    </row>
    <row r="725" spans="1:14" x14ac:dyDescent="0.3">
      <c r="A725" s="1">
        <v>704252</v>
      </c>
      <c r="B725" s="1" t="s">
        <v>762</v>
      </c>
      <c r="C725" s="5" t="s">
        <v>15</v>
      </c>
      <c r="D725" s="2">
        <v>45342</v>
      </c>
      <c r="E725" s="1" t="s">
        <v>31</v>
      </c>
      <c r="F725" s="1">
        <v>24102</v>
      </c>
      <c r="G725" s="1" t="s">
        <v>669</v>
      </c>
      <c r="H725" s="1" t="s">
        <v>661</v>
      </c>
      <c r="J725" s="1" t="s">
        <v>680</v>
      </c>
      <c r="K725" s="1" t="s">
        <v>666</v>
      </c>
      <c r="L725" s="1" t="s">
        <v>1388</v>
      </c>
      <c r="M725" s="1" t="s">
        <v>1637</v>
      </c>
      <c r="N725" s="1" t="str">
        <f t="shared" si="11"/>
        <v>JUNIO TEIXEIRA /EDIVILSON</v>
      </c>
    </row>
    <row r="726" spans="1:14" x14ac:dyDescent="0.3">
      <c r="A726" s="1">
        <v>101702</v>
      </c>
      <c r="B726" s="1" t="s">
        <v>763</v>
      </c>
      <c r="C726" s="5" t="s">
        <v>15</v>
      </c>
      <c r="D726" s="2">
        <v>43060</v>
      </c>
      <c r="E726" s="1" t="s">
        <v>146</v>
      </c>
      <c r="F726" s="1">
        <v>39601</v>
      </c>
      <c r="G726" s="1" t="s">
        <v>660</v>
      </c>
      <c r="H726" s="1" t="s">
        <v>661</v>
      </c>
      <c r="J726" s="1" t="s">
        <v>662</v>
      </c>
      <c r="K726" s="1" t="s">
        <v>666</v>
      </c>
      <c r="L726" s="1" t="s">
        <v>258</v>
      </c>
      <c r="N726" s="1" t="str">
        <f t="shared" si="11"/>
        <v>MATHEUS ALMEIDA</v>
      </c>
    </row>
    <row r="727" spans="1:14" x14ac:dyDescent="0.3">
      <c r="A727" s="1">
        <v>705656</v>
      </c>
      <c r="B727" s="1" t="s">
        <v>1424</v>
      </c>
      <c r="C727" s="5" t="s">
        <v>15</v>
      </c>
      <c r="D727" s="2">
        <v>45944</v>
      </c>
      <c r="E727" s="1" t="s">
        <v>31</v>
      </c>
      <c r="F727" s="1">
        <v>24102</v>
      </c>
      <c r="G727" s="1" t="s">
        <v>669</v>
      </c>
      <c r="H727" s="1" t="s">
        <v>661</v>
      </c>
      <c r="J727" s="1" t="s">
        <v>682</v>
      </c>
      <c r="K727" s="1" t="s">
        <v>666</v>
      </c>
      <c r="L727" s="1" t="s">
        <v>1390</v>
      </c>
      <c r="M727" s="1" t="s">
        <v>1391</v>
      </c>
      <c r="N727" s="1" t="str">
        <f t="shared" si="11"/>
        <v>ALCENO JUNIOR/JOÃO MARCOS</v>
      </c>
    </row>
    <row r="728" spans="1:14" x14ac:dyDescent="0.3">
      <c r="A728" s="1">
        <v>704782</v>
      </c>
      <c r="B728" s="1" t="s">
        <v>764</v>
      </c>
      <c r="C728" s="5" t="s">
        <v>15</v>
      </c>
      <c r="D728" s="2">
        <v>45551</v>
      </c>
      <c r="E728" s="1" t="s">
        <v>31</v>
      </c>
      <c r="F728" s="1">
        <v>39601</v>
      </c>
      <c r="G728" s="1" t="s">
        <v>660</v>
      </c>
      <c r="H728" s="1" t="s">
        <v>661</v>
      </c>
      <c r="J728" s="1" t="s">
        <v>684</v>
      </c>
      <c r="K728" s="1" t="s">
        <v>666</v>
      </c>
      <c r="L728" s="1" t="s">
        <v>258</v>
      </c>
      <c r="M728" s="1" t="s">
        <v>1392</v>
      </c>
      <c r="N728" s="1" t="str">
        <f t="shared" si="11"/>
        <v>ADALTON/JANILSON RORIZ/MARIVALDO</v>
      </c>
    </row>
    <row r="729" spans="1:14" x14ac:dyDescent="0.3">
      <c r="A729" s="1">
        <v>704378</v>
      </c>
      <c r="B729" s="1" t="s">
        <v>765</v>
      </c>
      <c r="C729" s="5" t="s">
        <v>15</v>
      </c>
      <c r="D729" s="2">
        <v>45384</v>
      </c>
      <c r="E729" s="1" t="s">
        <v>60</v>
      </c>
      <c r="F729" s="1">
        <v>39601</v>
      </c>
      <c r="G729" s="1" t="s">
        <v>660</v>
      </c>
      <c r="H729" s="1" t="s">
        <v>661</v>
      </c>
      <c r="J729" s="1" t="s">
        <v>684</v>
      </c>
      <c r="K729" s="1" t="s">
        <v>666</v>
      </c>
      <c r="L729" s="1" t="s">
        <v>258</v>
      </c>
      <c r="M729" s="1" t="s">
        <v>1392</v>
      </c>
      <c r="N729" s="1" t="str">
        <f t="shared" si="11"/>
        <v>ADALTON/JANILSON RORIZ/MARIVALDO</v>
      </c>
    </row>
    <row r="730" spans="1:14" x14ac:dyDescent="0.3">
      <c r="A730" s="1">
        <v>704317</v>
      </c>
      <c r="B730" s="1" t="s">
        <v>766</v>
      </c>
      <c r="C730" s="5" t="s">
        <v>15</v>
      </c>
      <c r="D730" s="2">
        <v>45356</v>
      </c>
      <c r="E730" s="1" t="s">
        <v>109</v>
      </c>
      <c r="F730" s="1">
        <v>32102</v>
      </c>
      <c r="G730" s="1" t="s">
        <v>674</v>
      </c>
      <c r="H730" s="1" t="s">
        <v>661</v>
      </c>
      <c r="J730" s="1" t="s">
        <v>675</v>
      </c>
      <c r="K730" s="1" t="s">
        <v>25</v>
      </c>
      <c r="L730" s="1" t="s">
        <v>1369</v>
      </c>
      <c r="M730" s="1" t="s">
        <v>1638</v>
      </c>
      <c r="N730" s="1" t="str">
        <f t="shared" si="11"/>
        <v>EDIVILSON MENEZES</v>
      </c>
    </row>
    <row r="731" spans="1:14" x14ac:dyDescent="0.3">
      <c r="A731" s="1">
        <v>705483</v>
      </c>
      <c r="B731" s="1" t="s">
        <v>1281</v>
      </c>
      <c r="C731" s="5" t="s">
        <v>15</v>
      </c>
      <c r="D731" s="2">
        <v>45824</v>
      </c>
      <c r="E731" s="1" t="s">
        <v>336</v>
      </c>
      <c r="F731" s="1">
        <v>24102</v>
      </c>
      <c r="G731" s="1" t="s">
        <v>669</v>
      </c>
      <c r="H731" s="1" t="s">
        <v>661</v>
      </c>
      <c r="J731" s="1" t="s">
        <v>804</v>
      </c>
      <c r="K731" s="1" t="s">
        <v>666</v>
      </c>
      <c r="M731" s="1" t="s">
        <v>805</v>
      </c>
      <c r="N731" s="1" t="str">
        <f t="shared" si="11"/>
        <v>JAILSON RORIZ</v>
      </c>
    </row>
    <row r="732" spans="1:14" x14ac:dyDescent="0.3">
      <c r="A732" s="1">
        <v>702137</v>
      </c>
      <c r="B732" s="1" t="s">
        <v>767</v>
      </c>
      <c r="C732" s="5" t="s">
        <v>15</v>
      </c>
      <c r="D732" s="2">
        <v>44299</v>
      </c>
      <c r="E732" s="1" t="s">
        <v>31</v>
      </c>
      <c r="F732" s="1">
        <v>24102</v>
      </c>
      <c r="G732" s="1" t="s">
        <v>669</v>
      </c>
      <c r="H732" s="1" t="s">
        <v>661</v>
      </c>
      <c r="J732" s="1" t="s">
        <v>680</v>
      </c>
      <c r="K732" s="1" t="s">
        <v>666</v>
      </c>
      <c r="L732" s="1" t="s">
        <v>1388</v>
      </c>
      <c r="M732" s="1" t="s">
        <v>1637</v>
      </c>
      <c r="N732" s="1" t="str">
        <f t="shared" si="11"/>
        <v>JUNIO TEIXEIRA /EDIVILSON</v>
      </c>
    </row>
    <row r="733" spans="1:14" x14ac:dyDescent="0.3">
      <c r="A733" s="1">
        <v>704669</v>
      </c>
      <c r="B733" s="1" t="s">
        <v>769</v>
      </c>
      <c r="C733" s="5" t="s">
        <v>15</v>
      </c>
      <c r="D733" s="2">
        <v>45489</v>
      </c>
      <c r="E733" s="1" t="s">
        <v>427</v>
      </c>
      <c r="F733" s="1">
        <v>39602</v>
      </c>
      <c r="G733" s="1" t="s">
        <v>699</v>
      </c>
      <c r="H733" s="1" t="s">
        <v>661</v>
      </c>
      <c r="J733" s="1" t="s">
        <v>700</v>
      </c>
      <c r="K733" s="1" t="s">
        <v>666</v>
      </c>
      <c r="L733" s="1" t="s">
        <v>258</v>
      </c>
      <c r="M733" s="1" t="s">
        <v>701</v>
      </c>
      <c r="N733" s="1" t="str">
        <f t="shared" si="11"/>
        <v>IURY GUEDES</v>
      </c>
    </row>
    <row r="734" spans="1:14" x14ac:dyDescent="0.3">
      <c r="A734" s="1">
        <v>705221</v>
      </c>
      <c r="B734" s="1" t="s">
        <v>1170</v>
      </c>
      <c r="C734" s="5" t="s">
        <v>15</v>
      </c>
      <c r="D734" s="2">
        <v>45734</v>
      </c>
      <c r="E734" s="1" t="s">
        <v>31</v>
      </c>
      <c r="F734" s="1">
        <v>24102</v>
      </c>
      <c r="G734" s="1" t="s">
        <v>669</v>
      </c>
      <c r="H734" s="1" t="s">
        <v>661</v>
      </c>
      <c r="J734" s="1" t="s">
        <v>680</v>
      </c>
      <c r="K734" s="1" t="s">
        <v>666</v>
      </c>
      <c r="L734" s="1" t="s">
        <v>1388</v>
      </c>
      <c r="M734" s="1" t="s">
        <v>1637</v>
      </c>
      <c r="N734" s="1" t="str">
        <f t="shared" si="11"/>
        <v>JUNIO TEIXEIRA /EDIVILSON</v>
      </c>
    </row>
    <row r="735" spans="1:14" x14ac:dyDescent="0.3">
      <c r="A735" s="1">
        <v>703007</v>
      </c>
      <c r="B735" s="1" t="s">
        <v>770</v>
      </c>
      <c r="C735" s="5" t="s">
        <v>15</v>
      </c>
      <c r="D735" s="2">
        <v>44691</v>
      </c>
      <c r="E735" s="1" t="s">
        <v>31</v>
      </c>
      <c r="F735" s="1">
        <v>24102</v>
      </c>
      <c r="G735" s="1" t="s">
        <v>669</v>
      </c>
      <c r="H735" s="1" t="s">
        <v>661</v>
      </c>
      <c r="J735" s="1" t="s">
        <v>672</v>
      </c>
      <c r="K735" s="1" t="s">
        <v>666</v>
      </c>
      <c r="L735" s="1" t="s">
        <v>1388</v>
      </c>
      <c r="M735" s="1" t="s">
        <v>1637</v>
      </c>
      <c r="N735" s="1" t="str">
        <f t="shared" si="11"/>
        <v>JUNIO TEIXEIRA /EDIVILSON</v>
      </c>
    </row>
    <row r="736" spans="1:14" x14ac:dyDescent="0.3">
      <c r="A736" s="1">
        <v>703809</v>
      </c>
      <c r="B736" s="1" t="s">
        <v>771</v>
      </c>
      <c r="C736" s="5" t="s">
        <v>15</v>
      </c>
      <c r="D736" s="2">
        <v>45050</v>
      </c>
      <c r="E736" s="1" t="s">
        <v>31</v>
      </c>
      <c r="F736" s="1">
        <v>39601</v>
      </c>
      <c r="G736" s="1" t="s">
        <v>660</v>
      </c>
      <c r="H736" s="1" t="s">
        <v>661</v>
      </c>
      <c r="J736" s="1" t="s">
        <v>684</v>
      </c>
      <c r="K736" s="1" t="s">
        <v>666</v>
      </c>
      <c r="L736" s="1" t="s">
        <v>258</v>
      </c>
      <c r="M736" s="1" t="s">
        <v>1392</v>
      </c>
      <c r="N736" s="1" t="str">
        <f t="shared" si="11"/>
        <v>ADALTON/JANILSON RORIZ/MARIVALDO</v>
      </c>
    </row>
    <row r="737" spans="1:14" x14ac:dyDescent="0.3">
      <c r="A737" s="1">
        <v>701689</v>
      </c>
      <c r="B737" s="1" t="s">
        <v>772</v>
      </c>
      <c r="C737" s="5" t="s">
        <v>15</v>
      </c>
      <c r="D737" s="2">
        <v>44025</v>
      </c>
      <c r="E737" s="1" t="s">
        <v>60</v>
      </c>
      <c r="F737" s="1">
        <v>24102</v>
      </c>
      <c r="G737" s="1" t="s">
        <v>669</v>
      </c>
      <c r="H737" s="1" t="s">
        <v>661</v>
      </c>
      <c r="J737" s="1" t="s">
        <v>697</v>
      </c>
      <c r="K737" s="1" t="s">
        <v>666</v>
      </c>
      <c r="L737" s="1" t="s">
        <v>1390</v>
      </c>
      <c r="M737" s="1" t="s">
        <v>1391</v>
      </c>
      <c r="N737" s="1" t="str">
        <f t="shared" si="11"/>
        <v>ALCENO JUNIOR/JOÃO MARCOS</v>
      </c>
    </row>
    <row r="738" spans="1:14" x14ac:dyDescent="0.3">
      <c r="A738" s="1">
        <v>703514</v>
      </c>
      <c r="B738" s="1" t="s">
        <v>773</v>
      </c>
      <c r="C738" s="5" t="s">
        <v>15</v>
      </c>
      <c r="D738" s="2">
        <v>44901</v>
      </c>
      <c r="E738" s="1" t="s">
        <v>427</v>
      </c>
      <c r="F738" s="1">
        <v>39602</v>
      </c>
      <c r="G738" s="1" t="s">
        <v>699</v>
      </c>
      <c r="H738" s="1" t="s">
        <v>661</v>
      </c>
      <c r="J738" s="1" t="s">
        <v>700</v>
      </c>
      <c r="K738" s="1" t="s">
        <v>666</v>
      </c>
      <c r="L738" s="1" t="s">
        <v>258</v>
      </c>
      <c r="M738" s="1" t="s">
        <v>701</v>
      </c>
      <c r="N738" s="1" t="str">
        <f t="shared" si="11"/>
        <v>IURY GUEDES</v>
      </c>
    </row>
    <row r="739" spans="1:14" x14ac:dyDescent="0.3">
      <c r="A739" s="1">
        <v>705282</v>
      </c>
      <c r="B739" s="1" t="s">
        <v>1190</v>
      </c>
      <c r="C739" s="5" t="s">
        <v>15</v>
      </c>
      <c r="D739" s="2">
        <v>45762</v>
      </c>
      <c r="E739" s="1" t="s">
        <v>31</v>
      </c>
      <c r="F739" s="1">
        <v>39601</v>
      </c>
      <c r="G739" s="1" t="s">
        <v>660</v>
      </c>
      <c r="H739" s="1" t="s">
        <v>661</v>
      </c>
      <c r="J739" s="1" t="s">
        <v>684</v>
      </c>
      <c r="K739" s="1" t="s">
        <v>666</v>
      </c>
      <c r="L739" s="1" t="s">
        <v>258</v>
      </c>
      <c r="M739" s="1" t="s">
        <v>1392</v>
      </c>
      <c r="N739" s="1" t="str">
        <f t="shared" si="11"/>
        <v>ADALTON/JANILSON RORIZ/MARIVALDO</v>
      </c>
    </row>
    <row r="740" spans="1:14" x14ac:dyDescent="0.3">
      <c r="A740" s="1">
        <v>702584</v>
      </c>
      <c r="B740" s="1" t="s">
        <v>774</v>
      </c>
      <c r="C740" s="5" t="s">
        <v>15</v>
      </c>
      <c r="D740" s="2">
        <v>44474</v>
      </c>
      <c r="E740" s="1" t="s">
        <v>427</v>
      </c>
      <c r="F740" s="1">
        <v>24201</v>
      </c>
      <c r="G740" s="1" t="s">
        <v>664</v>
      </c>
      <c r="H740" s="1" t="s">
        <v>661</v>
      </c>
      <c r="J740" s="1" t="s">
        <v>665</v>
      </c>
      <c r="K740" s="1" t="s">
        <v>666</v>
      </c>
      <c r="L740" s="1" t="s">
        <v>258</v>
      </c>
      <c r="M740" s="1" t="s">
        <v>667</v>
      </c>
      <c r="N740" s="1" t="str">
        <f t="shared" si="11"/>
        <v>JOSIEL NEVES</v>
      </c>
    </row>
    <row r="741" spans="1:14" x14ac:dyDescent="0.3">
      <c r="A741" s="1">
        <v>705279</v>
      </c>
      <c r="B741" s="1" t="s">
        <v>1191</v>
      </c>
      <c r="C741" s="5" t="s">
        <v>15</v>
      </c>
      <c r="D741" s="2">
        <v>45762</v>
      </c>
      <c r="E741" s="1" t="s">
        <v>31</v>
      </c>
      <c r="F741" s="1">
        <v>39601</v>
      </c>
      <c r="G741" s="1" t="s">
        <v>660</v>
      </c>
      <c r="H741" s="1" t="s">
        <v>661</v>
      </c>
      <c r="J741" s="1" t="s">
        <v>684</v>
      </c>
      <c r="K741" s="1" t="s">
        <v>666</v>
      </c>
      <c r="L741" s="1" t="s">
        <v>258</v>
      </c>
      <c r="M741" s="1" t="s">
        <v>1392</v>
      </c>
      <c r="N741" s="1" t="str">
        <f t="shared" si="11"/>
        <v>ADALTON/JANILSON RORIZ/MARIVALDO</v>
      </c>
    </row>
    <row r="742" spans="1:14" x14ac:dyDescent="0.3">
      <c r="A742" s="1">
        <v>704908</v>
      </c>
      <c r="B742" s="1" t="s">
        <v>775</v>
      </c>
      <c r="C742" s="5" t="s">
        <v>15</v>
      </c>
      <c r="D742" s="2">
        <v>45601</v>
      </c>
      <c r="E742" s="1" t="s">
        <v>31</v>
      </c>
      <c r="F742" s="1">
        <v>39601</v>
      </c>
      <c r="G742" s="1" t="s">
        <v>660</v>
      </c>
      <c r="H742" s="1" t="s">
        <v>661</v>
      </c>
      <c r="J742" s="1" t="s">
        <v>684</v>
      </c>
      <c r="K742" s="1" t="s">
        <v>666</v>
      </c>
      <c r="L742" s="1" t="s">
        <v>258</v>
      </c>
      <c r="M742" s="1" t="s">
        <v>1392</v>
      </c>
      <c r="N742" s="1" t="str">
        <f t="shared" si="11"/>
        <v>ADALTON/JANILSON RORIZ/MARIVALDO</v>
      </c>
    </row>
    <row r="743" spans="1:14" x14ac:dyDescent="0.3">
      <c r="A743" s="1">
        <v>705594</v>
      </c>
      <c r="B743" s="1" t="s">
        <v>1332</v>
      </c>
      <c r="C743" s="5" t="s">
        <v>15</v>
      </c>
      <c r="D743" s="2">
        <v>45881</v>
      </c>
      <c r="E743" s="1" t="s">
        <v>31</v>
      </c>
      <c r="F743" s="1">
        <v>39601</v>
      </c>
      <c r="G743" s="1" t="s">
        <v>660</v>
      </c>
      <c r="H743" s="1" t="s">
        <v>661</v>
      </c>
      <c r="J743" s="1" t="s">
        <v>684</v>
      </c>
      <c r="K743" s="1" t="s">
        <v>666</v>
      </c>
      <c r="L743" s="1" t="s">
        <v>258</v>
      </c>
      <c r="M743" s="1" t="s">
        <v>1392</v>
      </c>
      <c r="N743" s="1" t="str">
        <f t="shared" si="11"/>
        <v>ADALTON/JANILSON RORIZ/MARIVALDO</v>
      </c>
    </row>
    <row r="744" spans="1:14" x14ac:dyDescent="0.3">
      <c r="A744" s="1">
        <v>704999</v>
      </c>
      <c r="B744" s="1" t="s">
        <v>776</v>
      </c>
      <c r="C744" s="5" t="s">
        <v>15</v>
      </c>
      <c r="D744" s="2">
        <v>45629</v>
      </c>
      <c r="E744" s="1" t="s">
        <v>31</v>
      </c>
      <c r="F744" s="1">
        <v>39601</v>
      </c>
      <c r="G744" s="1" t="s">
        <v>660</v>
      </c>
      <c r="H744" s="1" t="s">
        <v>661</v>
      </c>
      <c r="J744" s="1" t="s">
        <v>684</v>
      </c>
      <c r="K744" s="1" t="s">
        <v>666</v>
      </c>
      <c r="L744" s="1" t="s">
        <v>258</v>
      </c>
      <c r="M744" s="1" t="s">
        <v>1392</v>
      </c>
      <c r="N744" s="1" t="str">
        <f t="shared" si="11"/>
        <v>ADALTON/JANILSON RORIZ/MARIVALDO</v>
      </c>
    </row>
    <row r="745" spans="1:14" x14ac:dyDescent="0.3">
      <c r="A745" s="1">
        <v>701855</v>
      </c>
      <c r="B745" s="1" t="s">
        <v>777</v>
      </c>
      <c r="C745" s="5" t="s">
        <v>15</v>
      </c>
      <c r="D745" s="2">
        <v>44125</v>
      </c>
      <c r="E745" s="1" t="s">
        <v>31</v>
      </c>
      <c r="F745" s="1">
        <v>24102</v>
      </c>
      <c r="G745" s="1" t="s">
        <v>669</v>
      </c>
      <c r="H745" s="1" t="s">
        <v>661</v>
      </c>
      <c r="J745" s="1" t="s">
        <v>680</v>
      </c>
      <c r="K745" s="1" t="s">
        <v>666</v>
      </c>
      <c r="L745" s="1" t="s">
        <v>1388</v>
      </c>
      <c r="M745" s="1" t="s">
        <v>1637</v>
      </c>
      <c r="N745" s="1" t="str">
        <f t="shared" si="11"/>
        <v>JUNIO TEIXEIRA /EDIVILSON</v>
      </c>
    </row>
    <row r="746" spans="1:14" x14ac:dyDescent="0.3">
      <c r="A746" s="1">
        <v>703149</v>
      </c>
      <c r="B746" s="1" t="s">
        <v>778</v>
      </c>
      <c r="C746" s="5" t="s">
        <v>15</v>
      </c>
      <c r="D746" s="2">
        <v>44725</v>
      </c>
      <c r="E746" s="1" t="s">
        <v>31</v>
      </c>
      <c r="F746" s="1">
        <v>24102</v>
      </c>
      <c r="G746" s="1" t="s">
        <v>669</v>
      </c>
      <c r="H746" s="1" t="s">
        <v>661</v>
      </c>
      <c r="J746" s="1" t="s">
        <v>672</v>
      </c>
      <c r="K746" s="1" t="s">
        <v>666</v>
      </c>
      <c r="L746" s="1" t="s">
        <v>1388</v>
      </c>
      <c r="M746" s="1" t="s">
        <v>1637</v>
      </c>
      <c r="N746" s="1" t="str">
        <f t="shared" si="11"/>
        <v>JUNIO TEIXEIRA /EDIVILSON</v>
      </c>
    </row>
    <row r="747" spans="1:14" x14ac:dyDescent="0.3">
      <c r="A747" s="1">
        <v>701115</v>
      </c>
      <c r="B747" s="1" t="s">
        <v>779</v>
      </c>
      <c r="C747" s="5" t="s">
        <v>15</v>
      </c>
      <c r="D747" s="2">
        <v>43641</v>
      </c>
      <c r="E747" s="1" t="s">
        <v>27</v>
      </c>
      <c r="F747" s="1">
        <v>39601</v>
      </c>
      <c r="G747" s="1" t="s">
        <v>660</v>
      </c>
      <c r="H747" s="1" t="s">
        <v>661</v>
      </c>
      <c r="J747" s="1" t="s">
        <v>662</v>
      </c>
      <c r="K747" s="1" t="s">
        <v>666</v>
      </c>
      <c r="L747" s="1" t="s">
        <v>258</v>
      </c>
      <c r="N747" s="1" t="str">
        <f t="shared" si="11"/>
        <v>MATHEUS ALMEIDA</v>
      </c>
    </row>
    <row r="748" spans="1:14" x14ac:dyDescent="0.3">
      <c r="A748" s="1">
        <v>702401</v>
      </c>
      <c r="B748" s="1" t="s">
        <v>780</v>
      </c>
      <c r="C748" s="5" t="s">
        <v>15</v>
      </c>
      <c r="D748" s="2">
        <v>44383</v>
      </c>
      <c r="E748" s="1" t="s">
        <v>179</v>
      </c>
      <c r="F748" s="1">
        <v>32102</v>
      </c>
      <c r="G748" s="1" t="s">
        <v>674</v>
      </c>
      <c r="H748" s="1" t="s">
        <v>661</v>
      </c>
      <c r="J748" s="1" t="s">
        <v>675</v>
      </c>
      <c r="K748" s="1" t="s">
        <v>25</v>
      </c>
      <c r="L748" s="1" t="s">
        <v>1369</v>
      </c>
      <c r="M748" s="1" t="s">
        <v>1638</v>
      </c>
      <c r="N748" s="1" t="str">
        <f t="shared" si="11"/>
        <v>EDIVILSON MENEZES</v>
      </c>
    </row>
    <row r="749" spans="1:14" x14ac:dyDescent="0.3">
      <c r="A749" s="1">
        <v>705232</v>
      </c>
      <c r="B749" s="1" t="s">
        <v>1192</v>
      </c>
      <c r="C749" s="5" t="s">
        <v>15</v>
      </c>
      <c r="D749" s="2">
        <v>45755</v>
      </c>
      <c r="E749" s="1" t="s">
        <v>381</v>
      </c>
      <c r="F749" s="1">
        <v>39602</v>
      </c>
      <c r="G749" s="1" t="s">
        <v>699</v>
      </c>
      <c r="H749" s="1" t="s">
        <v>661</v>
      </c>
      <c r="J749" s="1" t="s">
        <v>700</v>
      </c>
      <c r="K749" s="1" t="s">
        <v>666</v>
      </c>
      <c r="L749" s="1" t="s">
        <v>258</v>
      </c>
      <c r="M749" s="1" t="s">
        <v>701</v>
      </c>
      <c r="N749" s="1" t="str">
        <f t="shared" si="11"/>
        <v>IURY GUEDES</v>
      </c>
    </row>
    <row r="750" spans="1:14" x14ac:dyDescent="0.3">
      <c r="A750" s="1">
        <v>703919</v>
      </c>
      <c r="B750" s="1" t="s">
        <v>781</v>
      </c>
      <c r="C750" s="5" t="s">
        <v>15</v>
      </c>
      <c r="D750" s="2">
        <v>45083</v>
      </c>
      <c r="E750" s="1" t="s">
        <v>31</v>
      </c>
      <c r="F750" s="1">
        <v>24102</v>
      </c>
      <c r="G750" s="1" t="s">
        <v>669</v>
      </c>
      <c r="H750" s="1" t="s">
        <v>661</v>
      </c>
      <c r="J750" s="1" t="s">
        <v>672</v>
      </c>
      <c r="K750" s="1" t="s">
        <v>666</v>
      </c>
      <c r="L750" s="1" t="s">
        <v>1388</v>
      </c>
      <c r="M750" s="1" t="s">
        <v>1637</v>
      </c>
      <c r="N750" s="1" t="str">
        <f t="shared" si="11"/>
        <v>JUNIO TEIXEIRA /EDIVILSON</v>
      </c>
    </row>
    <row r="751" spans="1:14" x14ac:dyDescent="0.3">
      <c r="A751" s="1">
        <v>700910</v>
      </c>
      <c r="B751" s="1" t="s">
        <v>782</v>
      </c>
      <c r="C751" s="5" t="s">
        <v>15</v>
      </c>
      <c r="D751" s="2">
        <v>43535</v>
      </c>
      <c r="E751" s="1" t="s">
        <v>427</v>
      </c>
      <c r="F751" s="1">
        <v>39602</v>
      </c>
      <c r="G751" s="1" t="s">
        <v>699</v>
      </c>
      <c r="H751" s="1" t="s">
        <v>661</v>
      </c>
      <c r="J751" s="1" t="s">
        <v>700</v>
      </c>
      <c r="K751" s="1" t="s">
        <v>666</v>
      </c>
      <c r="L751" s="1" t="s">
        <v>258</v>
      </c>
      <c r="M751" s="1" t="s">
        <v>701</v>
      </c>
      <c r="N751" s="1" t="str">
        <f t="shared" si="11"/>
        <v>IURY GUEDES</v>
      </c>
    </row>
    <row r="752" spans="1:14" x14ac:dyDescent="0.3">
      <c r="A752" s="1">
        <v>702997</v>
      </c>
      <c r="B752" s="1" t="s">
        <v>783</v>
      </c>
      <c r="C752" s="5" t="s">
        <v>15</v>
      </c>
      <c r="D752" s="2">
        <v>44691</v>
      </c>
      <c r="E752" s="1" t="s">
        <v>27</v>
      </c>
      <c r="F752" s="1">
        <v>39601</v>
      </c>
      <c r="G752" s="1" t="s">
        <v>660</v>
      </c>
      <c r="H752" s="1" t="s">
        <v>661</v>
      </c>
      <c r="J752" s="1" t="s">
        <v>662</v>
      </c>
      <c r="K752" s="1" t="s">
        <v>666</v>
      </c>
      <c r="L752" s="1" t="s">
        <v>258</v>
      </c>
      <c r="N752" s="1" t="str">
        <f t="shared" si="11"/>
        <v>MATHEUS ALMEIDA</v>
      </c>
    </row>
    <row r="753" spans="1:14" x14ac:dyDescent="0.3">
      <c r="A753" s="1">
        <v>705166</v>
      </c>
      <c r="B753" s="1" t="s">
        <v>1171</v>
      </c>
      <c r="C753" s="5" t="s">
        <v>15</v>
      </c>
      <c r="D753" s="2">
        <v>45726</v>
      </c>
      <c r="E753" s="1" t="s">
        <v>31</v>
      </c>
      <c r="F753" s="1">
        <v>24102</v>
      </c>
      <c r="G753" s="1" t="s">
        <v>669</v>
      </c>
      <c r="H753" s="1" t="s">
        <v>661</v>
      </c>
      <c r="J753" s="1" t="s">
        <v>672</v>
      </c>
      <c r="K753" s="1" t="s">
        <v>666</v>
      </c>
      <c r="L753" s="1" t="s">
        <v>1388</v>
      </c>
      <c r="M753" s="1" t="s">
        <v>1637</v>
      </c>
      <c r="N753" s="1" t="str">
        <f t="shared" si="11"/>
        <v>JUNIO TEIXEIRA /EDIVILSON</v>
      </c>
    </row>
    <row r="754" spans="1:14" x14ac:dyDescent="0.3">
      <c r="A754" s="1">
        <v>101594</v>
      </c>
      <c r="B754" s="1" t="s">
        <v>784</v>
      </c>
      <c r="C754" s="5" t="s">
        <v>15</v>
      </c>
      <c r="D754" s="2">
        <v>42996</v>
      </c>
      <c r="E754" s="1" t="s">
        <v>60</v>
      </c>
      <c r="F754" s="1">
        <v>24102</v>
      </c>
      <c r="G754" s="1" t="s">
        <v>669</v>
      </c>
      <c r="H754" s="1" t="s">
        <v>661</v>
      </c>
      <c r="J754" s="1" t="s">
        <v>682</v>
      </c>
      <c r="K754" s="1" t="s">
        <v>666</v>
      </c>
      <c r="L754" s="1" t="s">
        <v>1390</v>
      </c>
      <c r="M754" s="1" t="s">
        <v>1391</v>
      </c>
      <c r="N754" s="1" t="str">
        <f t="shared" si="11"/>
        <v>ALCENO JUNIOR/JOÃO MARCOS</v>
      </c>
    </row>
    <row r="755" spans="1:14" x14ac:dyDescent="0.3">
      <c r="A755" s="1">
        <v>705515</v>
      </c>
      <c r="B755" s="1" t="s">
        <v>1305</v>
      </c>
      <c r="C755" s="5" t="s">
        <v>15</v>
      </c>
      <c r="D755" s="2">
        <v>45847</v>
      </c>
      <c r="E755" s="1" t="s">
        <v>60</v>
      </c>
      <c r="F755" s="1">
        <v>39601</v>
      </c>
      <c r="G755" s="1" t="s">
        <v>660</v>
      </c>
      <c r="H755" s="1" t="s">
        <v>661</v>
      </c>
      <c r="J755" s="1" t="s">
        <v>684</v>
      </c>
      <c r="K755" s="1" t="s">
        <v>666</v>
      </c>
      <c r="L755" s="1" t="s">
        <v>258</v>
      </c>
      <c r="M755" s="1" t="s">
        <v>1392</v>
      </c>
      <c r="N755" s="1" t="str">
        <f t="shared" si="11"/>
        <v>ADALTON/JANILSON RORIZ/MARIVALDO</v>
      </c>
    </row>
    <row r="756" spans="1:14" x14ac:dyDescent="0.3">
      <c r="A756" s="1">
        <v>704810</v>
      </c>
      <c r="B756" s="1" t="s">
        <v>785</v>
      </c>
      <c r="C756" s="5" t="s">
        <v>15</v>
      </c>
      <c r="D756" s="2">
        <v>45566</v>
      </c>
      <c r="E756" s="1" t="s">
        <v>31</v>
      </c>
      <c r="F756" s="1">
        <v>39601</v>
      </c>
      <c r="G756" s="1" t="s">
        <v>660</v>
      </c>
      <c r="H756" s="1" t="s">
        <v>661</v>
      </c>
      <c r="J756" s="1" t="s">
        <v>662</v>
      </c>
      <c r="K756" s="1" t="s">
        <v>666</v>
      </c>
      <c r="L756" s="1" t="s">
        <v>258</v>
      </c>
      <c r="N756" s="1" t="str">
        <f t="shared" si="11"/>
        <v>MATHEUS ALMEIDA</v>
      </c>
    </row>
    <row r="757" spans="1:14" x14ac:dyDescent="0.3">
      <c r="A757" s="1">
        <v>700702</v>
      </c>
      <c r="B757" s="1" t="s">
        <v>786</v>
      </c>
      <c r="C757" s="5" t="s">
        <v>15</v>
      </c>
      <c r="D757" s="2">
        <v>43396</v>
      </c>
      <c r="E757" s="1" t="s">
        <v>146</v>
      </c>
      <c r="F757" s="1">
        <v>39601</v>
      </c>
      <c r="G757" s="1" t="s">
        <v>660</v>
      </c>
      <c r="H757" s="1" t="s">
        <v>661</v>
      </c>
      <c r="J757" s="1" t="s">
        <v>662</v>
      </c>
      <c r="K757" s="1" t="s">
        <v>666</v>
      </c>
      <c r="L757" s="1" t="s">
        <v>258</v>
      </c>
      <c r="N757" s="1" t="str">
        <f t="shared" si="11"/>
        <v>MATHEUS ALMEIDA</v>
      </c>
    </row>
    <row r="758" spans="1:14" x14ac:dyDescent="0.3">
      <c r="A758" s="1">
        <v>702140</v>
      </c>
      <c r="B758" s="1" t="s">
        <v>787</v>
      </c>
      <c r="C758" s="5" t="s">
        <v>15</v>
      </c>
      <c r="D758" s="2">
        <v>44299</v>
      </c>
      <c r="E758" s="1" t="s">
        <v>31</v>
      </c>
      <c r="F758" s="1">
        <v>24102</v>
      </c>
      <c r="G758" s="1" t="s">
        <v>669</v>
      </c>
      <c r="H758" s="1" t="s">
        <v>661</v>
      </c>
      <c r="J758" s="1" t="s">
        <v>680</v>
      </c>
      <c r="K758" s="1" t="s">
        <v>666</v>
      </c>
      <c r="L758" s="1" t="s">
        <v>1388</v>
      </c>
      <c r="M758" s="1" t="s">
        <v>1637</v>
      </c>
      <c r="N758" s="1" t="str">
        <f t="shared" si="11"/>
        <v>JUNIO TEIXEIRA /EDIVILSON</v>
      </c>
    </row>
    <row r="759" spans="1:14" x14ac:dyDescent="0.3">
      <c r="A759" s="1">
        <v>702868</v>
      </c>
      <c r="B759" s="1" t="s">
        <v>788</v>
      </c>
      <c r="C759" s="5" t="s">
        <v>15</v>
      </c>
      <c r="D759" s="2">
        <v>44635</v>
      </c>
      <c r="E759" s="1" t="s">
        <v>31</v>
      </c>
      <c r="F759" s="1">
        <v>24102</v>
      </c>
      <c r="G759" s="1" t="s">
        <v>669</v>
      </c>
      <c r="H759" s="1" t="s">
        <v>661</v>
      </c>
      <c r="J759" s="1" t="s">
        <v>680</v>
      </c>
      <c r="K759" s="1" t="s">
        <v>666</v>
      </c>
      <c r="L759" s="1" t="s">
        <v>1388</v>
      </c>
      <c r="M759" s="1" t="s">
        <v>1637</v>
      </c>
      <c r="N759" s="1" t="str">
        <f t="shared" si="11"/>
        <v>JUNIO TEIXEIRA /EDIVILSON</v>
      </c>
    </row>
    <row r="760" spans="1:14" x14ac:dyDescent="0.3">
      <c r="A760" s="1">
        <v>705099</v>
      </c>
      <c r="B760" s="1" t="s">
        <v>789</v>
      </c>
      <c r="C760" s="5" t="s">
        <v>15</v>
      </c>
      <c r="D760" s="2">
        <v>45670</v>
      </c>
      <c r="E760" s="1" t="s">
        <v>31</v>
      </c>
      <c r="F760" s="1">
        <v>24102</v>
      </c>
      <c r="G760" s="1" t="s">
        <v>669</v>
      </c>
      <c r="H760" s="1" t="s">
        <v>661</v>
      </c>
      <c r="J760" s="1" t="s">
        <v>672</v>
      </c>
      <c r="K760" s="1" t="s">
        <v>666</v>
      </c>
      <c r="L760" s="1" t="s">
        <v>1388</v>
      </c>
      <c r="M760" s="1" t="s">
        <v>1637</v>
      </c>
      <c r="N760" s="1" t="str">
        <f t="shared" si="11"/>
        <v>JUNIO TEIXEIRA /EDIVILSON</v>
      </c>
    </row>
    <row r="761" spans="1:14" x14ac:dyDescent="0.3">
      <c r="A761" s="1">
        <v>703964</v>
      </c>
      <c r="B761" s="1" t="s">
        <v>790</v>
      </c>
      <c r="C761" s="5" t="s">
        <v>15</v>
      </c>
      <c r="D761" s="2">
        <v>45113</v>
      </c>
      <c r="E761" s="1" t="s">
        <v>31</v>
      </c>
      <c r="F761" s="1">
        <v>24102</v>
      </c>
      <c r="G761" s="1" t="s">
        <v>669</v>
      </c>
      <c r="H761" s="1" t="s">
        <v>661</v>
      </c>
      <c r="J761" s="1" t="s">
        <v>672</v>
      </c>
      <c r="K761" s="1" t="s">
        <v>666</v>
      </c>
      <c r="L761" s="1" t="s">
        <v>1388</v>
      </c>
      <c r="M761" s="1" t="s">
        <v>1637</v>
      </c>
      <c r="N761" s="1" t="str">
        <f t="shared" si="11"/>
        <v>JUNIO TEIXEIRA /EDIVILSON</v>
      </c>
    </row>
    <row r="762" spans="1:14" x14ac:dyDescent="0.3">
      <c r="A762" s="1">
        <v>705891</v>
      </c>
      <c r="B762" s="1" t="s">
        <v>1573</v>
      </c>
      <c r="C762" s="5" t="s">
        <v>15</v>
      </c>
      <c r="D762" s="2">
        <v>46063</v>
      </c>
      <c r="E762" s="1" t="s">
        <v>260</v>
      </c>
      <c r="F762" s="1">
        <v>24102</v>
      </c>
      <c r="G762" s="1" t="s">
        <v>669</v>
      </c>
      <c r="H762" s="1" t="s">
        <v>661</v>
      </c>
      <c r="J762" s="1" t="s">
        <v>670</v>
      </c>
      <c r="K762" s="1" t="s">
        <v>666</v>
      </c>
      <c r="L762" s="1" t="s">
        <v>1388</v>
      </c>
      <c r="M762" s="1" t="s">
        <v>1637</v>
      </c>
      <c r="N762" s="1" t="str">
        <f t="shared" si="11"/>
        <v>JUNIO TEIXEIRA /EDIVILSON</v>
      </c>
    </row>
    <row r="763" spans="1:14" x14ac:dyDescent="0.3">
      <c r="A763" s="1">
        <v>705714</v>
      </c>
      <c r="B763" s="1" t="s">
        <v>1463</v>
      </c>
      <c r="C763" s="5" t="s">
        <v>15</v>
      </c>
      <c r="D763" s="2">
        <v>45971</v>
      </c>
      <c r="E763" s="1" t="s">
        <v>31</v>
      </c>
      <c r="F763" s="1">
        <v>24102</v>
      </c>
      <c r="G763" s="1" t="s">
        <v>669</v>
      </c>
      <c r="H763" s="1" t="s">
        <v>661</v>
      </c>
      <c r="J763" s="1" t="s">
        <v>672</v>
      </c>
      <c r="K763" s="1" t="s">
        <v>666</v>
      </c>
      <c r="L763" s="1" t="s">
        <v>1388</v>
      </c>
      <c r="M763" s="1" t="s">
        <v>1637</v>
      </c>
      <c r="N763" s="1" t="str">
        <f t="shared" si="11"/>
        <v>JUNIO TEIXEIRA /EDIVILSON</v>
      </c>
    </row>
    <row r="764" spans="1:14" x14ac:dyDescent="0.3">
      <c r="A764" s="1">
        <v>705350</v>
      </c>
      <c r="B764" s="1" t="s">
        <v>1245</v>
      </c>
      <c r="C764" s="5" t="s">
        <v>15</v>
      </c>
      <c r="D764" s="2">
        <v>45784</v>
      </c>
      <c r="E764" s="1" t="s">
        <v>31</v>
      </c>
      <c r="F764" s="1">
        <v>39601</v>
      </c>
      <c r="G764" s="1" t="s">
        <v>660</v>
      </c>
      <c r="H764" s="1" t="s">
        <v>661</v>
      </c>
      <c r="J764" s="1" t="s">
        <v>684</v>
      </c>
      <c r="K764" s="1" t="s">
        <v>666</v>
      </c>
      <c r="L764" s="1" t="s">
        <v>258</v>
      </c>
      <c r="M764" s="1" t="s">
        <v>1392</v>
      </c>
      <c r="N764" s="1" t="str">
        <f t="shared" si="11"/>
        <v>ADALTON/JANILSON RORIZ/MARIVALDO</v>
      </c>
    </row>
    <row r="765" spans="1:14" x14ac:dyDescent="0.3">
      <c r="A765" s="1">
        <v>705772</v>
      </c>
      <c r="B765" s="1" t="s">
        <v>1497</v>
      </c>
      <c r="C765" s="5" t="s">
        <v>15</v>
      </c>
      <c r="D765" s="2">
        <v>45993</v>
      </c>
      <c r="E765" s="1" t="s">
        <v>31</v>
      </c>
      <c r="F765" s="1">
        <v>24201</v>
      </c>
      <c r="G765" s="1" t="s">
        <v>664</v>
      </c>
      <c r="H765" s="1" t="s">
        <v>661</v>
      </c>
      <c r="J765" s="1" t="s">
        <v>665</v>
      </c>
      <c r="K765" s="1" t="s">
        <v>666</v>
      </c>
      <c r="L765" s="1" t="s">
        <v>258</v>
      </c>
      <c r="M765" s="1" t="s">
        <v>667</v>
      </c>
      <c r="N765" s="1" t="str">
        <f t="shared" si="11"/>
        <v>JOSIEL NEVES</v>
      </c>
    </row>
    <row r="766" spans="1:14" x14ac:dyDescent="0.3">
      <c r="A766" s="1">
        <v>705914</v>
      </c>
      <c r="B766" s="1" t="s">
        <v>1625</v>
      </c>
      <c r="C766" s="5" t="s">
        <v>15</v>
      </c>
      <c r="D766" s="2">
        <v>46091</v>
      </c>
      <c r="E766" s="1" t="s">
        <v>31</v>
      </c>
      <c r="F766" s="1">
        <v>24102</v>
      </c>
      <c r="G766" s="1" t="s">
        <v>669</v>
      </c>
      <c r="H766" s="1" t="s">
        <v>661</v>
      </c>
      <c r="J766" s="1" t="s">
        <v>670</v>
      </c>
      <c r="K766" s="1" t="s">
        <v>666</v>
      </c>
      <c r="L766" s="1" t="s">
        <v>1388</v>
      </c>
      <c r="M766" s="1" t="s">
        <v>1637</v>
      </c>
      <c r="N766" s="1" t="str">
        <f t="shared" si="11"/>
        <v>JUNIO TEIXEIRA /EDIVILSON</v>
      </c>
    </row>
    <row r="767" spans="1:14" x14ac:dyDescent="0.3">
      <c r="A767" s="1">
        <v>700152</v>
      </c>
      <c r="B767" s="1" t="s">
        <v>791</v>
      </c>
      <c r="C767" s="5" t="s">
        <v>15</v>
      </c>
      <c r="D767" s="2">
        <v>43227</v>
      </c>
      <c r="E767" s="1" t="s">
        <v>60</v>
      </c>
      <c r="F767" s="1">
        <v>24102</v>
      </c>
      <c r="G767" s="1" t="s">
        <v>669</v>
      </c>
      <c r="H767" s="1" t="s">
        <v>661</v>
      </c>
      <c r="J767" s="1" t="s">
        <v>682</v>
      </c>
      <c r="K767" s="1" t="s">
        <v>666</v>
      </c>
      <c r="L767" s="1" t="s">
        <v>1390</v>
      </c>
      <c r="M767" s="1" t="s">
        <v>1391</v>
      </c>
      <c r="N767" s="1" t="str">
        <f t="shared" si="11"/>
        <v>ALCENO JUNIOR/JOÃO MARCOS</v>
      </c>
    </row>
    <row r="768" spans="1:14" x14ac:dyDescent="0.3">
      <c r="A768" s="1">
        <v>700426</v>
      </c>
      <c r="B768" s="1" t="s">
        <v>792</v>
      </c>
      <c r="C768" s="5" t="s">
        <v>15</v>
      </c>
      <c r="D768" s="2">
        <v>43326</v>
      </c>
      <c r="E768" s="1" t="s">
        <v>141</v>
      </c>
      <c r="F768" s="1">
        <v>24102</v>
      </c>
      <c r="G768" s="1" t="s">
        <v>669</v>
      </c>
      <c r="H768" s="1" t="s">
        <v>661</v>
      </c>
      <c r="J768" s="1" t="s">
        <v>697</v>
      </c>
      <c r="K768" s="1" t="s">
        <v>666</v>
      </c>
      <c r="L768" s="1" t="s">
        <v>1390</v>
      </c>
      <c r="M768" s="1" t="s">
        <v>1391</v>
      </c>
      <c r="N768" s="1" t="str">
        <f t="shared" si="11"/>
        <v>ALCENO JUNIOR/JOÃO MARCOS</v>
      </c>
    </row>
    <row r="769" spans="1:14" x14ac:dyDescent="0.3">
      <c r="A769" s="1">
        <v>705383</v>
      </c>
      <c r="B769" s="1" t="s">
        <v>1246</v>
      </c>
      <c r="C769" s="5" t="s">
        <v>15</v>
      </c>
      <c r="D769" s="2">
        <v>45784</v>
      </c>
      <c r="E769" s="1" t="s">
        <v>31</v>
      </c>
      <c r="F769" s="1">
        <v>39601</v>
      </c>
      <c r="G769" s="1" t="s">
        <v>660</v>
      </c>
      <c r="H769" s="1" t="s">
        <v>661</v>
      </c>
      <c r="J769" s="1" t="s">
        <v>684</v>
      </c>
      <c r="K769" s="1" t="s">
        <v>666</v>
      </c>
      <c r="L769" s="1" t="s">
        <v>258</v>
      </c>
      <c r="M769" s="1" t="s">
        <v>1392</v>
      </c>
      <c r="N769" s="1" t="str">
        <f t="shared" si="11"/>
        <v>ADALTON/JANILSON RORIZ/MARIVALDO</v>
      </c>
    </row>
    <row r="770" spans="1:14" x14ac:dyDescent="0.3">
      <c r="A770" s="1">
        <v>705298</v>
      </c>
      <c r="B770" s="1" t="s">
        <v>1193</v>
      </c>
      <c r="C770" s="5" t="s">
        <v>15</v>
      </c>
      <c r="D770" s="2">
        <v>45762</v>
      </c>
      <c r="E770" s="1" t="s">
        <v>31</v>
      </c>
      <c r="F770" s="1">
        <v>39601</v>
      </c>
      <c r="G770" s="1" t="s">
        <v>660</v>
      </c>
      <c r="H770" s="1" t="s">
        <v>661</v>
      </c>
      <c r="J770" s="1" t="s">
        <v>684</v>
      </c>
      <c r="K770" s="1" t="s">
        <v>666</v>
      </c>
      <c r="L770" s="1" t="s">
        <v>258</v>
      </c>
      <c r="M770" s="1" t="s">
        <v>1392</v>
      </c>
      <c r="N770" s="1" t="str">
        <f t="shared" si="11"/>
        <v>ADALTON/JANILSON RORIZ/MARIVALDO</v>
      </c>
    </row>
    <row r="771" spans="1:14" x14ac:dyDescent="0.3">
      <c r="A771" s="1">
        <v>704814</v>
      </c>
      <c r="B771" s="1" t="s">
        <v>795</v>
      </c>
      <c r="C771" s="5" t="s">
        <v>15</v>
      </c>
      <c r="D771" s="2">
        <v>45572</v>
      </c>
      <c r="E771" s="1" t="s">
        <v>418</v>
      </c>
      <c r="F771" s="1">
        <v>39601</v>
      </c>
      <c r="G771" s="1" t="s">
        <v>660</v>
      </c>
      <c r="H771" s="1" t="s">
        <v>661</v>
      </c>
      <c r="J771" s="1" t="s">
        <v>684</v>
      </c>
      <c r="K771" s="1" t="s">
        <v>666</v>
      </c>
      <c r="L771" s="1" t="s">
        <v>258</v>
      </c>
      <c r="M771" s="1" t="s">
        <v>1392</v>
      </c>
      <c r="N771" s="1" t="str">
        <f t="shared" ref="N771:N834" si="12">IF(M771&lt;&gt;"", M771, IF(L771&lt;&gt;"", L771, K771))</f>
        <v>ADALTON/JANILSON RORIZ/MARIVALDO</v>
      </c>
    </row>
    <row r="772" spans="1:14" x14ac:dyDescent="0.3">
      <c r="A772" s="1">
        <v>704912</v>
      </c>
      <c r="B772" s="1" t="s">
        <v>796</v>
      </c>
      <c r="C772" s="5" t="s">
        <v>15</v>
      </c>
      <c r="D772" s="2">
        <v>45601</v>
      </c>
      <c r="E772" s="1" t="s">
        <v>31</v>
      </c>
      <c r="F772" s="1">
        <v>39601</v>
      </c>
      <c r="G772" s="1" t="s">
        <v>660</v>
      </c>
      <c r="H772" s="1" t="s">
        <v>661</v>
      </c>
      <c r="J772" s="1" t="s">
        <v>662</v>
      </c>
      <c r="K772" s="1" t="s">
        <v>666</v>
      </c>
      <c r="L772" s="1" t="s">
        <v>258</v>
      </c>
      <c r="N772" s="1" t="str">
        <f t="shared" si="12"/>
        <v>MATHEUS ALMEIDA</v>
      </c>
    </row>
    <row r="773" spans="1:14" x14ac:dyDescent="0.3">
      <c r="A773" s="1">
        <v>704037</v>
      </c>
      <c r="B773" s="1" t="s">
        <v>799</v>
      </c>
      <c r="C773" s="5" t="s">
        <v>15</v>
      </c>
      <c r="D773" s="2">
        <v>45145</v>
      </c>
      <c r="E773" s="1" t="s">
        <v>507</v>
      </c>
      <c r="F773" s="1">
        <v>24201</v>
      </c>
      <c r="G773" s="1" t="s">
        <v>664</v>
      </c>
      <c r="H773" s="1" t="s">
        <v>661</v>
      </c>
      <c r="J773" s="1" t="s">
        <v>665</v>
      </c>
      <c r="K773" s="1" t="s">
        <v>666</v>
      </c>
      <c r="L773" s="1" t="s">
        <v>258</v>
      </c>
      <c r="M773" s="1" t="s">
        <v>667</v>
      </c>
      <c r="N773" s="1" t="str">
        <f t="shared" si="12"/>
        <v>JOSIEL NEVES</v>
      </c>
    </row>
    <row r="774" spans="1:14" x14ac:dyDescent="0.3">
      <c r="A774" s="1">
        <v>702905</v>
      </c>
      <c r="B774" s="1" t="s">
        <v>800</v>
      </c>
      <c r="C774" s="5" t="s">
        <v>15</v>
      </c>
      <c r="D774" s="2">
        <v>44656</v>
      </c>
      <c r="E774" s="1" t="s">
        <v>60</v>
      </c>
      <c r="F774" s="1">
        <v>24102</v>
      </c>
      <c r="G774" s="1" t="s">
        <v>669</v>
      </c>
      <c r="H774" s="1" t="s">
        <v>661</v>
      </c>
      <c r="J774" s="1" t="s">
        <v>682</v>
      </c>
      <c r="K774" s="1" t="s">
        <v>666</v>
      </c>
      <c r="L774" s="1" t="s">
        <v>1390</v>
      </c>
      <c r="M774" s="1" t="s">
        <v>1391</v>
      </c>
      <c r="N774" s="1" t="str">
        <f t="shared" si="12"/>
        <v>ALCENO JUNIOR/JOÃO MARCOS</v>
      </c>
    </row>
    <row r="775" spans="1:14" x14ac:dyDescent="0.3">
      <c r="A775" s="1">
        <v>701710</v>
      </c>
      <c r="B775" s="1" t="s">
        <v>801</v>
      </c>
      <c r="C775" s="5" t="s">
        <v>15</v>
      </c>
      <c r="D775" s="2">
        <v>44025</v>
      </c>
      <c r="E775" s="1" t="s">
        <v>31</v>
      </c>
      <c r="F775" s="1">
        <v>24102</v>
      </c>
      <c r="G775" s="1" t="s">
        <v>669</v>
      </c>
      <c r="H775" s="1" t="s">
        <v>661</v>
      </c>
      <c r="J775" s="1" t="s">
        <v>670</v>
      </c>
      <c r="K775" s="1" t="s">
        <v>666</v>
      </c>
      <c r="L775" s="1" t="s">
        <v>1388</v>
      </c>
      <c r="M775" s="1" t="s">
        <v>1637</v>
      </c>
      <c r="N775" s="1" t="str">
        <f t="shared" si="12"/>
        <v>JUNIO TEIXEIRA /EDIVILSON</v>
      </c>
    </row>
    <row r="776" spans="1:14" x14ac:dyDescent="0.3">
      <c r="A776" s="1">
        <v>705588</v>
      </c>
      <c r="B776" s="1" t="s">
        <v>1333</v>
      </c>
      <c r="C776" s="5" t="s">
        <v>15</v>
      </c>
      <c r="D776" s="2">
        <v>45881</v>
      </c>
      <c r="E776" s="1" t="s">
        <v>31</v>
      </c>
      <c r="F776" s="1">
        <v>24102</v>
      </c>
      <c r="G776" s="1" t="s">
        <v>669</v>
      </c>
      <c r="H776" s="1" t="s">
        <v>661</v>
      </c>
      <c r="J776" s="1" t="s">
        <v>682</v>
      </c>
      <c r="K776" s="1" t="s">
        <v>666</v>
      </c>
      <c r="L776" s="1" t="s">
        <v>1390</v>
      </c>
      <c r="M776" s="1" t="s">
        <v>1391</v>
      </c>
      <c r="N776" s="1" t="str">
        <f t="shared" si="12"/>
        <v>ALCENO JUNIOR/JOÃO MARCOS</v>
      </c>
    </row>
    <row r="777" spans="1:14" x14ac:dyDescent="0.3">
      <c r="A777" s="1">
        <v>703069</v>
      </c>
      <c r="B777" s="1" t="s">
        <v>802</v>
      </c>
      <c r="C777" s="5" t="s">
        <v>15</v>
      </c>
      <c r="D777" s="2">
        <v>44713</v>
      </c>
      <c r="E777" s="1" t="s">
        <v>418</v>
      </c>
      <c r="F777" s="1">
        <v>39601</v>
      </c>
      <c r="G777" s="1" t="s">
        <v>660</v>
      </c>
      <c r="H777" s="1" t="s">
        <v>661</v>
      </c>
      <c r="J777" s="1" t="s">
        <v>662</v>
      </c>
      <c r="K777" s="1" t="s">
        <v>666</v>
      </c>
      <c r="L777" s="1" t="s">
        <v>258</v>
      </c>
      <c r="N777" s="1" t="str">
        <f t="shared" si="12"/>
        <v>MATHEUS ALMEIDA</v>
      </c>
    </row>
    <row r="778" spans="1:14" x14ac:dyDescent="0.3">
      <c r="A778" s="1">
        <v>705855</v>
      </c>
      <c r="B778" s="1" t="s">
        <v>1574</v>
      </c>
      <c r="C778" s="5" t="s">
        <v>15</v>
      </c>
      <c r="D778" s="2">
        <v>46063</v>
      </c>
      <c r="E778" s="1" t="s">
        <v>31</v>
      </c>
      <c r="F778" s="1">
        <v>24102</v>
      </c>
      <c r="G778" s="1" t="s">
        <v>669</v>
      </c>
      <c r="H778" s="1" t="s">
        <v>661</v>
      </c>
      <c r="J778" s="1" t="s">
        <v>672</v>
      </c>
      <c r="K778" s="1" t="s">
        <v>666</v>
      </c>
      <c r="L778" s="1" t="s">
        <v>1388</v>
      </c>
      <c r="M778" s="1" t="s">
        <v>1637</v>
      </c>
      <c r="N778" s="1" t="str">
        <f t="shared" si="12"/>
        <v>JUNIO TEIXEIRA /EDIVILSON</v>
      </c>
    </row>
    <row r="779" spans="1:14" x14ac:dyDescent="0.3">
      <c r="A779" s="1">
        <v>705762</v>
      </c>
      <c r="B779" s="1" t="s">
        <v>1498</v>
      </c>
      <c r="C779" s="5" t="s">
        <v>15</v>
      </c>
      <c r="D779" s="2">
        <v>45993</v>
      </c>
      <c r="E779" s="1" t="s">
        <v>230</v>
      </c>
      <c r="F779" s="1">
        <v>24201</v>
      </c>
      <c r="G779" s="1" t="s">
        <v>664</v>
      </c>
      <c r="H779" s="1" t="s">
        <v>661</v>
      </c>
      <c r="J779" s="1" t="s">
        <v>1012</v>
      </c>
      <c r="K779" s="1" t="s">
        <v>666</v>
      </c>
      <c r="L779" s="1" t="s">
        <v>258</v>
      </c>
      <c r="N779" s="1" t="str">
        <f t="shared" si="12"/>
        <v>MATHEUS ALMEIDA</v>
      </c>
    </row>
    <row r="780" spans="1:14" x14ac:dyDescent="0.3">
      <c r="A780" s="1">
        <v>705856</v>
      </c>
      <c r="B780" s="1" t="s">
        <v>1575</v>
      </c>
      <c r="C780" s="5" t="s">
        <v>15</v>
      </c>
      <c r="D780" s="2">
        <v>46063</v>
      </c>
      <c r="E780" s="1" t="s">
        <v>31</v>
      </c>
      <c r="F780" s="1">
        <v>24102</v>
      </c>
      <c r="G780" s="1" t="s">
        <v>669</v>
      </c>
      <c r="H780" s="1" t="s">
        <v>661</v>
      </c>
      <c r="J780" s="1" t="s">
        <v>670</v>
      </c>
      <c r="K780" s="1" t="s">
        <v>666</v>
      </c>
      <c r="L780" s="1" t="s">
        <v>1388</v>
      </c>
      <c r="M780" s="1" t="s">
        <v>1637</v>
      </c>
      <c r="N780" s="1" t="str">
        <f t="shared" si="12"/>
        <v>JUNIO TEIXEIRA /EDIVILSON</v>
      </c>
    </row>
    <row r="781" spans="1:14" x14ac:dyDescent="0.3">
      <c r="A781" s="1">
        <v>705303</v>
      </c>
      <c r="B781" s="1" t="s">
        <v>1194</v>
      </c>
      <c r="C781" s="5" t="s">
        <v>15</v>
      </c>
      <c r="D781" s="2">
        <v>45762</v>
      </c>
      <c r="E781" s="1" t="s">
        <v>31</v>
      </c>
      <c r="F781" s="1">
        <v>24102</v>
      </c>
      <c r="G781" s="1" t="s">
        <v>669</v>
      </c>
      <c r="H781" s="1" t="s">
        <v>661</v>
      </c>
      <c r="J781" s="1" t="s">
        <v>680</v>
      </c>
      <c r="K781" s="1" t="s">
        <v>666</v>
      </c>
      <c r="L781" s="1" t="s">
        <v>1388</v>
      </c>
      <c r="M781" s="1" t="s">
        <v>1637</v>
      </c>
      <c r="N781" s="1" t="str">
        <f t="shared" si="12"/>
        <v>JUNIO TEIXEIRA /EDIVILSON</v>
      </c>
    </row>
    <row r="782" spans="1:14" x14ac:dyDescent="0.3">
      <c r="A782" s="1">
        <v>701747</v>
      </c>
      <c r="B782" s="1" t="s">
        <v>808</v>
      </c>
      <c r="C782" s="5" t="s">
        <v>15</v>
      </c>
      <c r="D782" s="2">
        <v>44053</v>
      </c>
      <c r="E782" s="1" t="s">
        <v>507</v>
      </c>
      <c r="F782" s="1">
        <v>24201</v>
      </c>
      <c r="G782" s="1" t="s">
        <v>664</v>
      </c>
      <c r="H782" s="1" t="s">
        <v>661</v>
      </c>
      <c r="J782" s="1" t="s">
        <v>665</v>
      </c>
      <c r="K782" s="1" t="s">
        <v>666</v>
      </c>
      <c r="L782" s="1" t="s">
        <v>258</v>
      </c>
      <c r="M782" s="1" t="s">
        <v>667</v>
      </c>
      <c r="N782" s="1" t="str">
        <f t="shared" si="12"/>
        <v>JOSIEL NEVES</v>
      </c>
    </row>
    <row r="783" spans="1:14" x14ac:dyDescent="0.3">
      <c r="A783" s="1">
        <v>700420</v>
      </c>
      <c r="B783" s="1" t="s">
        <v>809</v>
      </c>
      <c r="C783" s="5" t="s">
        <v>15</v>
      </c>
      <c r="D783" s="2">
        <v>43318</v>
      </c>
      <c r="E783" s="1" t="s">
        <v>60</v>
      </c>
      <c r="F783" s="1">
        <v>24102</v>
      </c>
      <c r="G783" s="1" t="s">
        <v>669</v>
      </c>
      <c r="H783" s="1" t="s">
        <v>661</v>
      </c>
      <c r="J783" s="1" t="s">
        <v>672</v>
      </c>
      <c r="K783" s="1" t="s">
        <v>666</v>
      </c>
      <c r="L783" s="1" t="s">
        <v>1388</v>
      </c>
      <c r="M783" s="1" t="s">
        <v>1637</v>
      </c>
      <c r="N783" s="1" t="str">
        <f t="shared" si="12"/>
        <v>JUNIO TEIXEIRA /EDIVILSON</v>
      </c>
    </row>
    <row r="784" spans="1:14" x14ac:dyDescent="0.3">
      <c r="A784" s="1">
        <v>704757</v>
      </c>
      <c r="B784" s="1" t="s">
        <v>810</v>
      </c>
      <c r="C784" s="5" t="s">
        <v>15</v>
      </c>
      <c r="D784" s="2">
        <v>45545</v>
      </c>
      <c r="E784" s="1" t="s">
        <v>31</v>
      </c>
      <c r="F784" s="1">
        <v>39601</v>
      </c>
      <c r="G784" s="1" t="s">
        <v>660</v>
      </c>
      <c r="H784" s="1" t="s">
        <v>661</v>
      </c>
      <c r="J784" s="1" t="s">
        <v>684</v>
      </c>
      <c r="K784" s="1" t="s">
        <v>666</v>
      </c>
      <c r="L784" s="1" t="s">
        <v>258</v>
      </c>
      <c r="M784" s="1" t="s">
        <v>1392</v>
      </c>
      <c r="N784" s="1" t="str">
        <f t="shared" si="12"/>
        <v>ADALTON/JANILSON RORIZ/MARIVALDO</v>
      </c>
    </row>
    <row r="785" spans="1:14" x14ac:dyDescent="0.3">
      <c r="A785" s="1">
        <v>705306</v>
      </c>
      <c r="B785" s="1" t="s">
        <v>1195</v>
      </c>
      <c r="C785" s="5" t="s">
        <v>15</v>
      </c>
      <c r="D785" s="2">
        <v>45762</v>
      </c>
      <c r="E785" s="1" t="s">
        <v>31</v>
      </c>
      <c r="F785" s="1">
        <v>24102</v>
      </c>
      <c r="G785" s="1" t="s">
        <v>669</v>
      </c>
      <c r="H785" s="1" t="s">
        <v>661</v>
      </c>
      <c r="J785" s="1" t="s">
        <v>672</v>
      </c>
      <c r="K785" s="1" t="s">
        <v>666</v>
      </c>
      <c r="L785" s="1" t="s">
        <v>1388</v>
      </c>
      <c r="M785" s="1" t="s">
        <v>1637</v>
      </c>
      <c r="N785" s="1" t="str">
        <f t="shared" si="12"/>
        <v>JUNIO TEIXEIRA /EDIVILSON</v>
      </c>
    </row>
    <row r="786" spans="1:14" x14ac:dyDescent="0.3">
      <c r="A786" s="1">
        <v>704688</v>
      </c>
      <c r="B786" s="1" t="s">
        <v>811</v>
      </c>
      <c r="C786" s="5" t="s">
        <v>15</v>
      </c>
      <c r="D786" s="2">
        <v>45510</v>
      </c>
      <c r="E786" s="1" t="s">
        <v>31</v>
      </c>
      <c r="F786" s="1">
        <v>39601</v>
      </c>
      <c r="G786" s="1" t="s">
        <v>660</v>
      </c>
      <c r="H786" s="1" t="s">
        <v>661</v>
      </c>
      <c r="J786" s="1" t="s">
        <v>662</v>
      </c>
      <c r="K786" s="1" t="s">
        <v>666</v>
      </c>
      <c r="L786" s="1" t="s">
        <v>258</v>
      </c>
      <c r="N786" s="1" t="str">
        <f t="shared" si="12"/>
        <v>MATHEUS ALMEIDA</v>
      </c>
    </row>
    <row r="787" spans="1:14" x14ac:dyDescent="0.3">
      <c r="A787" s="1">
        <v>705863</v>
      </c>
      <c r="B787" s="1" t="s">
        <v>1576</v>
      </c>
      <c r="C787" s="5" t="s">
        <v>15</v>
      </c>
      <c r="D787" s="2">
        <v>46063</v>
      </c>
      <c r="E787" s="1" t="s">
        <v>31</v>
      </c>
      <c r="F787" s="1">
        <v>24102</v>
      </c>
      <c r="G787" s="1" t="s">
        <v>669</v>
      </c>
      <c r="H787" s="1" t="s">
        <v>661</v>
      </c>
      <c r="J787" s="1" t="s">
        <v>672</v>
      </c>
      <c r="K787" s="1" t="s">
        <v>666</v>
      </c>
      <c r="L787" s="1" t="s">
        <v>1388</v>
      </c>
      <c r="M787" s="1" t="s">
        <v>1637</v>
      </c>
      <c r="N787" s="1" t="str">
        <f t="shared" si="12"/>
        <v>JUNIO TEIXEIRA /EDIVILSON</v>
      </c>
    </row>
    <row r="788" spans="1:14" x14ac:dyDescent="0.3">
      <c r="A788" s="1">
        <v>101321</v>
      </c>
      <c r="B788" s="1" t="s">
        <v>812</v>
      </c>
      <c r="C788" s="5" t="s">
        <v>15</v>
      </c>
      <c r="D788" s="2">
        <v>42863</v>
      </c>
      <c r="E788" s="1" t="s">
        <v>507</v>
      </c>
      <c r="F788" s="1">
        <v>24201</v>
      </c>
      <c r="G788" s="1" t="s">
        <v>664</v>
      </c>
      <c r="H788" s="1" t="s">
        <v>661</v>
      </c>
      <c r="J788" s="1" t="s">
        <v>665</v>
      </c>
      <c r="K788" s="1" t="s">
        <v>666</v>
      </c>
      <c r="L788" s="1" t="s">
        <v>258</v>
      </c>
      <c r="M788" s="1" t="s">
        <v>667</v>
      </c>
      <c r="N788" s="1" t="str">
        <f t="shared" si="12"/>
        <v>JOSIEL NEVES</v>
      </c>
    </row>
    <row r="789" spans="1:14" x14ac:dyDescent="0.3">
      <c r="A789" s="1">
        <v>700822</v>
      </c>
      <c r="B789" s="1" t="s">
        <v>813</v>
      </c>
      <c r="C789" s="5" t="s">
        <v>15</v>
      </c>
      <c r="D789" s="2">
        <v>43234</v>
      </c>
      <c r="E789" s="1" t="s">
        <v>16</v>
      </c>
      <c r="F789" s="1">
        <v>24102</v>
      </c>
      <c r="G789" s="1" t="s">
        <v>669</v>
      </c>
      <c r="H789" s="1" t="s">
        <v>661</v>
      </c>
      <c r="J789" s="1" t="s">
        <v>682</v>
      </c>
      <c r="K789" s="1" t="s">
        <v>666</v>
      </c>
      <c r="L789" s="1" t="s">
        <v>1390</v>
      </c>
      <c r="M789" s="1" t="s">
        <v>1391</v>
      </c>
      <c r="N789" s="1" t="str">
        <f t="shared" si="12"/>
        <v>ALCENO JUNIOR/JOÃO MARCOS</v>
      </c>
    </row>
    <row r="790" spans="1:14" x14ac:dyDescent="0.3">
      <c r="A790" s="1">
        <v>705853</v>
      </c>
      <c r="B790" s="1" t="s">
        <v>1577</v>
      </c>
      <c r="C790" s="5" t="s">
        <v>15</v>
      </c>
      <c r="D790" s="2">
        <v>46063</v>
      </c>
      <c r="E790" s="1" t="s">
        <v>31</v>
      </c>
      <c r="F790" s="1">
        <v>24102</v>
      </c>
      <c r="G790" s="1" t="s">
        <v>669</v>
      </c>
      <c r="H790" s="1" t="s">
        <v>661</v>
      </c>
      <c r="J790" s="1" t="s">
        <v>672</v>
      </c>
      <c r="K790" s="1" t="s">
        <v>666</v>
      </c>
      <c r="L790" s="1" t="s">
        <v>1388</v>
      </c>
      <c r="M790" s="1" t="s">
        <v>1637</v>
      </c>
      <c r="N790" s="1" t="str">
        <f t="shared" si="12"/>
        <v>JUNIO TEIXEIRA /EDIVILSON</v>
      </c>
    </row>
    <row r="791" spans="1:14" x14ac:dyDescent="0.3">
      <c r="A791" s="1">
        <v>700644</v>
      </c>
      <c r="B791" s="1" t="s">
        <v>815</v>
      </c>
      <c r="C791" s="5" t="s">
        <v>15</v>
      </c>
      <c r="D791" s="2">
        <v>43374</v>
      </c>
      <c r="E791" s="1" t="s">
        <v>31</v>
      </c>
      <c r="F791" s="1">
        <v>24102</v>
      </c>
      <c r="G791" s="1" t="s">
        <v>669</v>
      </c>
      <c r="H791" s="1" t="s">
        <v>661</v>
      </c>
      <c r="J791" s="1" t="s">
        <v>680</v>
      </c>
      <c r="K791" s="1" t="s">
        <v>666</v>
      </c>
      <c r="L791" s="1" t="s">
        <v>1388</v>
      </c>
      <c r="M791" s="1" t="s">
        <v>1637</v>
      </c>
      <c r="N791" s="1" t="str">
        <f t="shared" si="12"/>
        <v>JUNIO TEIXEIRA /EDIVILSON</v>
      </c>
    </row>
    <row r="792" spans="1:14" x14ac:dyDescent="0.3">
      <c r="A792" s="1">
        <v>704112</v>
      </c>
      <c r="B792" s="1" t="s">
        <v>816</v>
      </c>
      <c r="C792" s="5" t="s">
        <v>15</v>
      </c>
      <c r="D792" s="2">
        <v>45215</v>
      </c>
      <c r="E792" s="1" t="s">
        <v>109</v>
      </c>
      <c r="F792" s="1">
        <v>32102</v>
      </c>
      <c r="G792" s="1" t="s">
        <v>674</v>
      </c>
      <c r="H792" s="1" t="s">
        <v>661</v>
      </c>
      <c r="J792" s="1" t="s">
        <v>675</v>
      </c>
      <c r="K792" s="1" t="s">
        <v>25</v>
      </c>
      <c r="L792" s="1" t="s">
        <v>1369</v>
      </c>
      <c r="M792" s="1" t="s">
        <v>1638</v>
      </c>
      <c r="N792" s="1" t="str">
        <f t="shared" si="12"/>
        <v>EDIVILSON MENEZES</v>
      </c>
    </row>
    <row r="793" spans="1:14" x14ac:dyDescent="0.3">
      <c r="A793" s="1">
        <v>700166</v>
      </c>
      <c r="B793" s="1" t="s">
        <v>818</v>
      </c>
      <c r="C793" s="5" t="s">
        <v>15</v>
      </c>
      <c r="D793" s="2">
        <v>43234</v>
      </c>
      <c r="E793" s="1" t="s">
        <v>255</v>
      </c>
      <c r="F793" s="1">
        <v>39601</v>
      </c>
      <c r="G793" s="1" t="s">
        <v>660</v>
      </c>
      <c r="H793" s="1" t="s">
        <v>661</v>
      </c>
      <c r="J793" s="1" t="s">
        <v>684</v>
      </c>
      <c r="K793" s="1" t="s">
        <v>666</v>
      </c>
      <c r="L793" s="1" t="s">
        <v>258</v>
      </c>
      <c r="M793" s="1" t="s">
        <v>1392</v>
      </c>
      <c r="N793" s="1" t="str">
        <f t="shared" si="12"/>
        <v>ADALTON/JANILSON RORIZ/MARIVALDO</v>
      </c>
    </row>
    <row r="794" spans="1:14" x14ac:dyDescent="0.3">
      <c r="A794" s="1">
        <v>705409</v>
      </c>
      <c r="B794" s="1" t="s">
        <v>1248</v>
      </c>
      <c r="C794" s="5" t="s">
        <v>15</v>
      </c>
      <c r="D794" s="2">
        <v>45791</v>
      </c>
      <c r="E794" s="1" t="s">
        <v>31</v>
      </c>
      <c r="F794" s="1">
        <v>39601</v>
      </c>
      <c r="G794" s="1" t="s">
        <v>660</v>
      </c>
      <c r="H794" s="1" t="s">
        <v>661</v>
      </c>
      <c r="J794" s="1" t="s">
        <v>662</v>
      </c>
      <c r="K794" s="1" t="s">
        <v>666</v>
      </c>
      <c r="L794" s="1" t="s">
        <v>258</v>
      </c>
      <c r="N794" s="1" t="str">
        <f t="shared" si="12"/>
        <v>MATHEUS ALMEIDA</v>
      </c>
    </row>
    <row r="795" spans="1:14" x14ac:dyDescent="0.3">
      <c r="A795" s="1">
        <v>703108</v>
      </c>
      <c r="B795" s="1" t="s">
        <v>820</v>
      </c>
      <c r="C795" s="5" t="s">
        <v>15</v>
      </c>
      <c r="D795" s="2">
        <v>44713</v>
      </c>
      <c r="E795" s="1" t="s">
        <v>418</v>
      </c>
      <c r="F795" s="1">
        <v>39601</v>
      </c>
      <c r="G795" s="1" t="s">
        <v>660</v>
      </c>
      <c r="H795" s="1" t="s">
        <v>661</v>
      </c>
      <c r="J795" s="1" t="s">
        <v>684</v>
      </c>
      <c r="K795" s="1" t="s">
        <v>666</v>
      </c>
      <c r="L795" s="1" t="s">
        <v>258</v>
      </c>
      <c r="M795" s="1" t="s">
        <v>1392</v>
      </c>
      <c r="N795" s="1" t="str">
        <f t="shared" si="12"/>
        <v>ADALTON/JANILSON RORIZ/MARIVALDO</v>
      </c>
    </row>
    <row r="796" spans="1:14" x14ac:dyDescent="0.3">
      <c r="A796" s="1">
        <v>101708</v>
      </c>
      <c r="B796" s="1" t="s">
        <v>821</v>
      </c>
      <c r="C796" s="5" t="s">
        <v>15</v>
      </c>
      <c r="D796" s="2">
        <v>43060</v>
      </c>
      <c r="E796" s="1" t="s">
        <v>31</v>
      </c>
      <c r="F796" s="1">
        <v>24102</v>
      </c>
      <c r="G796" s="1" t="s">
        <v>669</v>
      </c>
      <c r="H796" s="1" t="s">
        <v>661</v>
      </c>
      <c r="J796" s="1" t="s">
        <v>672</v>
      </c>
      <c r="K796" s="1" t="s">
        <v>666</v>
      </c>
      <c r="L796" s="1" t="s">
        <v>1388</v>
      </c>
      <c r="M796" s="1" t="s">
        <v>1637</v>
      </c>
      <c r="N796" s="1" t="str">
        <f t="shared" si="12"/>
        <v>JUNIO TEIXEIRA /EDIVILSON</v>
      </c>
    </row>
    <row r="797" spans="1:14" x14ac:dyDescent="0.3">
      <c r="A797" s="1">
        <v>701752</v>
      </c>
      <c r="B797" s="1" t="s">
        <v>822</v>
      </c>
      <c r="C797" s="5" t="s">
        <v>15</v>
      </c>
      <c r="D797" s="2">
        <v>44053</v>
      </c>
      <c r="E797" s="1" t="s">
        <v>219</v>
      </c>
      <c r="F797" s="1">
        <v>32102</v>
      </c>
      <c r="G797" s="1" t="s">
        <v>674</v>
      </c>
      <c r="H797" s="1" t="s">
        <v>661</v>
      </c>
      <c r="J797" s="1" t="s">
        <v>675</v>
      </c>
      <c r="K797" s="1" t="s">
        <v>25</v>
      </c>
      <c r="L797" s="1" t="s">
        <v>1369</v>
      </c>
      <c r="M797" s="1" t="s">
        <v>1638</v>
      </c>
      <c r="N797" s="1" t="str">
        <f t="shared" si="12"/>
        <v>EDIVILSON MENEZES</v>
      </c>
    </row>
    <row r="798" spans="1:14" x14ac:dyDescent="0.3">
      <c r="A798" s="1">
        <v>703056</v>
      </c>
      <c r="B798" s="1" t="s">
        <v>823</v>
      </c>
      <c r="C798" s="5" t="s">
        <v>15</v>
      </c>
      <c r="D798" s="2">
        <v>44699</v>
      </c>
      <c r="E798" s="1" t="s">
        <v>686</v>
      </c>
      <c r="F798" s="1">
        <v>39601</v>
      </c>
      <c r="G798" s="1" t="s">
        <v>660</v>
      </c>
      <c r="H798" s="1" t="s">
        <v>661</v>
      </c>
      <c r="J798" s="1" t="s">
        <v>700</v>
      </c>
      <c r="K798" s="1" t="s">
        <v>666</v>
      </c>
      <c r="L798" s="1" t="s">
        <v>258</v>
      </c>
      <c r="M798" s="1" t="s">
        <v>701</v>
      </c>
      <c r="N798" s="1" t="str">
        <f t="shared" si="12"/>
        <v>IURY GUEDES</v>
      </c>
    </row>
    <row r="799" spans="1:14" x14ac:dyDescent="0.3">
      <c r="A799" s="1">
        <v>706573</v>
      </c>
      <c r="B799" s="1" t="s">
        <v>824</v>
      </c>
      <c r="C799" s="5" t="s">
        <v>15</v>
      </c>
      <c r="D799" s="2">
        <v>45489</v>
      </c>
      <c r="E799" s="1" t="s">
        <v>418</v>
      </c>
      <c r="F799" s="1">
        <v>39601</v>
      </c>
      <c r="G799" s="1" t="s">
        <v>660</v>
      </c>
      <c r="H799" s="1" t="s">
        <v>661</v>
      </c>
      <c r="J799" s="1" t="s">
        <v>684</v>
      </c>
      <c r="K799" s="1" t="s">
        <v>666</v>
      </c>
      <c r="L799" s="1" t="s">
        <v>258</v>
      </c>
      <c r="M799" s="1" t="s">
        <v>1392</v>
      </c>
      <c r="N799" s="1" t="str">
        <f t="shared" si="12"/>
        <v>ADALTON/JANILSON RORIZ/MARIVALDO</v>
      </c>
    </row>
    <row r="800" spans="1:14" x14ac:dyDescent="0.3">
      <c r="A800" s="1">
        <v>705843</v>
      </c>
      <c r="B800" s="1" t="s">
        <v>1578</v>
      </c>
      <c r="C800" s="5" t="s">
        <v>15</v>
      </c>
      <c r="D800" s="2">
        <v>46063</v>
      </c>
      <c r="E800" s="1" t="s">
        <v>31</v>
      </c>
      <c r="F800" s="1">
        <v>24102</v>
      </c>
      <c r="G800" s="1" t="s">
        <v>669</v>
      </c>
      <c r="H800" s="1" t="s">
        <v>661</v>
      </c>
      <c r="J800" s="1" t="s">
        <v>672</v>
      </c>
      <c r="K800" s="1" t="s">
        <v>666</v>
      </c>
      <c r="L800" s="1" t="s">
        <v>1388</v>
      </c>
      <c r="M800" s="1" t="s">
        <v>1637</v>
      </c>
      <c r="N800" s="1" t="str">
        <f t="shared" si="12"/>
        <v>JUNIO TEIXEIRA /EDIVILSON</v>
      </c>
    </row>
    <row r="801" spans="1:14" x14ac:dyDescent="0.3">
      <c r="A801" s="1">
        <v>101761</v>
      </c>
      <c r="B801" s="1" t="s">
        <v>825</v>
      </c>
      <c r="C801" s="5" t="s">
        <v>15</v>
      </c>
      <c r="D801" s="2">
        <v>43073</v>
      </c>
      <c r="E801" s="1" t="s">
        <v>60</v>
      </c>
      <c r="F801" s="1">
        <v>24102</v>
      </c>
      <c r="G801" s="1" t="s">
        <v>669</v>
      </c>
      <c r="H801" s="1" t="s">
        <v>661</v>
      </c>
      <c r="J801" s="1" t="s">
        <v>672</v>
      </c>
      <c r="K801" s="1" t="s">
        <v>666</v>
      </c>
      <c r="L801" s="1" t="s">
        <v>1388</v>
      </c>
      <c r="M801" s="1" t="s">
        <v>1637</v>
      </c>
      <c r="N801" s="1" t="str">
        <f t="shared" si="12"/>
        <v>JUNIO TEIXEIRA /EDIVILSON</v>
      </c>
    </row>
    <row r="802" spans="1:14" x14ac:dyDescent="0.3">
      <c r="A802" s="1">
        <v>705026</v>
      </c>
      <c r="B802" s="1" t="s">
        <v>827</v>
      </c>
      <c r="C802" s="5" t="s">
        <v>15</v>
      </c>
      <c r="D802" s="2">
        <v>45636</v>
      </c>
      <c r="E802" s="1" t="s">
        <v>31</v>
      </c>
      <c r="F802" s="1">
        <v>24102</v>
      </c>
      <c r="G802" s="1" t="s">
        <v>669</v>
      </c>
      <c r="H802" s="1" t="s">
        <v>661</v>
      </c>
      <c r="J802" s="1" t="s">
        <v>672</v>
      </c>
      <c r="K802" s="1" t="s">
        <v>666</v>
      </c>
      <c r="L802" s="1" t="s">
        <v>1388</v>
      </c>
      <c r="M802" s="1" t="s">
        <v>1637</v>
      </c>
      <c r="N802" s="1" t="str">
        <f t="shared" si="12"/>
        <v>JUNIO TEIXEIRA /EDIVILSON</v>
      </c>
    </row>
    <row r="803" spans="1:14" x14ac:dyDescent="0.3">
      <c r="A803" s="1">
        <v>705446</v>
      </c>
      <c r="B803" s="1" t="s">
        <v>1249</v>
      </c>
      <c r="C803" s="5" t="s">
        <v>15</v>
      </c>
      <c r="D803" s="2">
        <v>45797</v>
      </c>
      <c r="E803" s="1" t="s">
        <v>31</v>
      </c>
      <c r="F803" s="1">
        <v>24102</v>
      </c>
      <c r="G803" s="1" t="s">
        <v>669</v>
      </c>
      <c r="H803" s="1" t="s">
        <v>661</v>
      </c>
      <c r="J803" s="1" t="s">
        <v>672</v>
      </c>
      <c r="K803" s="1" t="s">
        <v>666</v>
      </c>
      <c r="L803" s="1" t="s">
        <v>1388</v>
      </c>
      <c r="M803" s="1" t="s">
        <v>1637</v>
      </c>
      <c r="N803" s="1" t="str">
        <f t="shared" si="12"/>
        <v>JUNIO TEIXEIRA /EDIVILSON</v>
      </c>
    </row>
    <row r="804" spans="1:14" x14ac:dyDescent="0.3">
      <c r="A804" s="1">
        <v>700501</v>
      </c>
      <c r="B804" s="1" t="s">
        <v>828</v>
      </c>
      <c r="C804" s="5" t="s">
        <v>15</v>
      </c>
      <c r="D804" s="2">
        <v>43346</v>
      </c>
      <c r="E804" s="1" t="s">
        <v>60</v>
      </c>
      <c r="F804" s="1">
        <v>24102</v>
      </c>
      <c r="G804" s="1" t="s">
        <v>669</v>
      </c>
      <c r="H804" s="1" t="s">
        <v>661</v>
      </c>
      <c r="J804" s="1" t="s">
        <v>672</v>
      </c>
      <c r="K804" s="1" t="s">
        <v>666</v>
      </c>
      <c r="L804" s="1" t="s">
        <v>1388</v>
      </c>
      <c r="M804" s="1" t="s">
        <v>1637</v>
      </c>
      <c r="N804" s="1" t="str">
        <f t="shared" si="12"/>
        <v>JUNIO TEIXEIRA /EDIVILSON</v>
      </c>
    </row>
    <row r="805" spans="1:14" x14ac:dyDescent="0.3">
      <c r="A805" s="1">
        <v>704843</v>
      </c>
      <c r="B805" s="1" t="s">
        <v>829</v>
      </c>
      <c r="C805" s="5" t="s">
        <v>15</v>
      </c>
      <c r="D805" s="2">
        <v>45572</v>
      </c>
      <c r="E805" s="1" t="s">
        <v>138</v>
      </c>
      <c r="F805" s="1">
        <v>24102</v>
      </c>
      <c r="G805" s="1" t="s">
        <v>669</v>
      </c>
      <c r="H805" s="1" t="s">
        <v>661</v>
      </c>
      <c r="J805" s="1" t="s">
        <v>682</v>
      </c>
      <c r="K805" s="1" t="s">
        <v>666</v>
      </c>
      <c r="L805" s="1" t="s">
        <v>1390</v>
      </c>
      <c r="M805" s="1" t="s">
        <v>1391</v>
      </c>
      <c r="N805" s="1" t="str">
        <f t="shared" si="12"/>
        <v>ALCENO JUNIOR/JOÃO MARCOS</v>
      </c>
    </row>
    <row r="806" spans="1:14" x14ac:dyDescent="0.3">
      <c r="A806" s="1">
        <v>705336</v>
      </c>
      <c r="B806" s="1" t="s">
        <v>1250</v>
      </c>
      <c r="C806" s="5" t="s">
        <v>15</v>
      </c>
      <c r="D806" s="2">
        <v>45784</v>
      </c>
      <c r="E806" s="1" t="s">
        <v>31</v>
      </c>
      <c r="F806" s="1">
        <v>24102</v>
      </c>
      <c r="G806" s="1" t="s">
        <v>669</v>
      </c>
      <c r="H806" s="1" t="s">
        <v>661</v>
      </c>
      <c r="J806" s="1" t="s">
        <v>672</v>
      </c>
      <c r="K806" s="1" t="s">
        <v>666</v>
      </c>
      <c r="L806" s="1" t="s">
        <v>1388</v>
      </c>
      <c r="M806" s="1" t="s">
        <v>1637</v>
      </c>
      <c r="N806" s="1" t="str">
        <f t="shared" si="12"/>
        <v>JUNIO TEIXEIRA /EDIVILSON</v>
      </c>
    </row>
    <row r="807" spans="1:14" x14ac:dyDescent="0.3">
      <c r="A807" s="1">
        <v>705346</v>
      </c>
      <c r="B807" s="1" t="s">
        <v>1251</v>
      </c>
      <c r="C807" s="5" t="s">
        <v>15</v>
      </c>
      <c r="D807" s="2">
        <v>45784</v>
      </c>
      <c r="E807" s="1" t="s">
        <v>31</v>
      </c>
      <c r="F807" s="1">
        <v>24102</v>
      </c>
      <c r="G807" s="1" t="s">
        <v>669</v>
      </c>
      <c r="H807" s="1" t="s">
        <v>661</v>
      </c>
      <c r="J807" s="1" t="s">
        <v>672</v>
      </c>
      <c r="K807" s="1" t="s">
        <v>666</v>
      </c>
      <c r="L807" s="1" t="s">
        <v>1388</v>
      </c>
      <c r="M807" s="1" t="s">
        <v>1637</v>
      </c>
      <c r="N807" s="1" t="str">
        <f t="shared" si="12"/>
        <v>JUNIO TEIXEIRA /EDIVILSON</v>
      </c>
    </row>
    <row r="808" spans="1:14" x14ac:dyDescent="0.3">
      <c r="A808" s="1">
        <v>703182</v>
      </c>
      <c r="B808" s="1" t="s">
        <v>830</v>
      </c>
      <c r="C808" s="5" t="s">
        <v>15</v>
      </c>
      <c r="D808" s="2">
        <v>44753</v>
      </c>
      <c r="E808" s="1" t="s">
        <v>686</v>
      </c>
      <c r="F808" s="1">
        <v>39601</v>
      </c>
      <c r="G808" s="1" t="s">
        <v>660</v>
      </c>
      <c r="H808" s="1" t="s">
        <v>661</v>
      </c>
      <c r="J808" s="1" t="s">
        <v>700</v>
      </c>
      <c r="K808" s="1" t="s">
        <v>666</v>
      </c>
      <c r="L808" s="1" t="s">
        <v>258</v>
      </c>
      <c r="M808" s="1" t="s">
        <v>701</v>
      </c>
      <c r="N808" s="1" t="str">
        <f t="shared" si="12"/>
        <v>IURY GUEDES</v>
      </c>
    </row>
    <row r="809" spans="1:14" x14ac:dyDescent="0.3">
      <c r="A809" s="1">
        <v>704125</v>
      </c>
      <c r="B809" s="1" t="s">
        <v>831</v>
      </c>
      <c r="C809" s="5" t="s">
        <v>15</v>
      </c>
      <c r="D809" s="2">
        <v>45238</v>
      </c>
      <c r="E809" s="1" t="s">
        <v>138</v>
      </c>
      <c r="F809" s="1">
        <v>24102</v>
      </c>
      <c r="G809" s="1" t="s">
        <v>669</v>
      </c>
      <c r="H809" s="1" t="s">
        <v>661</v>
      </c>
      <c r="J809" s="1" t="s">
        <v>682</v>
      </c>
      <c r="K809" s="1" t="s">
        <v>666</v>
      </c>
      <c r="L809" s="1" t="s">
        <v>1390</v>
      </c>
      <c r="M809" s="1" t="s">
        <v>1391</v>
      </c>
      <c r="N809" s="1" t="str">
        <f t="shared" si="12"/>
        <v>ALCENO JUNIOR/JOÃO MARCOS</v>
      </c>
    </row>
    <row r="810" spans="1:14" x14ac:dyDescent="0.3">
      <c r="A810" s="1">
        <v>704928</v>
      </c>
      <c r="B810" s="1" t="s">
        <v>832</v>
      </c>
      <c r="C810" s="5" t="s">
        <v>15</v>
      </c>
      <c r="D810" s="2">
        <v>45601</v>
      </c>
      <c r="E810" s="1" t="s">
        <v>418</v>
      </c>
      <c r="F810" s="1">
        <v>39601</v>
      </c>
      <c r="G810" s="1" t="s">
        <v>660</v>
      </c>
      <c r="H810" s="1" t="s">
        <v>661</v>
      </c>
      <c r="J810" s="1" t="s">
        <v>662</v>
      </c>
      <c r="K810" s="1" t="s">
        <v>666</v>
      </c>
      <c r="L810" s="1" t="s">
        <v>258</v>
      </c>
      <c r="N810" s="1" t="str">
        <f t="shared" si="12"/>
        <v>MATHEUS ALMEIDA</v>
      </c>
    </row>
    <row r="811" spans="1:14" x14ac:dyDescent="0.3">
      <c r="A811" s="1">
        <v>705087</v>
      </c>
      <c r="B811" s="1" t="s">
        <v>833</v>
      </c>
      <c r="C811" s="5" t="s">
        <v>15</v>
      </c>
      <c r="D811" s="2">
        <v>45670</v>
      </c>
      <c r="E811" s="1" t="s">
        <v>31</v>
      </c>
      <c r="F811" s="1">
        <v>24102</v>
      </c>
      <c r="G811" s="1" t="s">
        <v>669</v>
      </c>
      <c r="H811" s="1" t="s">
        <v>661</v>
      </c>
      <c r="J811" s="1" t="s">
        <v>672</v>
      </c>
      <c r="K811" s="1" t="s">
        <v>666</v>
      </c>
      <c r="L811" s="1" t="s">
        <v>1388</v>
      </c>
      <c r="M811" s="1" t="s">
        <v>1637</v>
      </c>
      <c r="N811" s="1" t="str">
        <f t="shared" si="12"/>
        <v>JUNIO TEIXEIRA /EDIVILSON</v>
      </c>
    </row>
    <row r="812" spans="1:14" x14ac:dyDescent="0.3">
      <c r="A812" s="1">
        <v>705681</v>
      </c>
      <c r="B812" s="1" t="s">
        <v>1429</v>
      </c>
      <c r="C812" s="5" t="s">
        <v>15</v>
      </c>
      <c r="D812" s="2">
        <v>45944</v>
      </c>
      <c r="E812" s="1" t="s">
        <v>31</v>
      </c>
      <c r="F812" s="1">
        <v>39601</v>
      </c>
      <c r="G812" s="1" t="s">
        <v>660</v>
      </c>
      <c r="H812" s="1" t="s">
        <v>661</v>
      </c>
      <c r="J812" s="1" t="s">
        <v>662</v>
      </c>
      <c r="K812" s="1" t="s">
        <v>666</v>
      </c>
      <c r="L812" s="1" t="s">
        <v>258</v>
      </c>
      <c r="N812" s="1" t="str">
        <f t="shared" si="12"/>
        <v>MATHEUS ALMEIDA</v>
      </c>
    </row>
    <row r="813" spans="1:14" x14ac:dyDescent="0.3">
      <c r="A813" s="1">
        <v>703005</v>
      </c>
      <c r="B813" s="1" t="s">
        <v>834</v>
      </c>
      <c r="C813" s="5" t="s">
        <v>15</v>
      </c>
      <c r="D813" s="2">
        <v>44691</v>
      </c>
      <c r="E813" s="1" t="s">
        <v>146</v>
      </c>
      <c r="F813" s="1">
        <v>24102</v>
      </c>
      <c r="G813" s="1" t="s">
        <v>669</v>
      </c>
      <c r="H813" s="1" t="s">
        <v>661</v>
      </c>
      <c r="J813" s="1" t="s">
        <v>697</v>
      </c>
      <c r="K813" s="1" t="s">
        <v>666</v>
      </c>
      <c r="L813" s="1" t="s">
        <v>1390</v>
      </c>
      <c r="M813" s="1" t="s">
        <v>1391</v>
      </c>
      <c r="N813" s="1" t="str">
        <f t="shared" si="12"/>
        <v>ALCENO JUNIOR/JOÃO MARCOS</v>
      </c>
    </row>
    <row r="814" spans="1:14" x14ac:dyDescent="0.3">
      <c r="A814" s="1">
        <v>702606</v>
      </c>
      <c r="B814" s="1" t="s">
        <v>835</v>
      </c>
      <c r="C814" s="5" t="s">
        <v>15</v>
      </c>
      <c r="D814" s="2">
        <v>44487</v>
      </c>
      <c r="E814" s="1" t="s">
        <v>507</v>
      </c>
      <c r="F814" s="1">
        <v>24201</v>
      </c>
      <c r="G814" s="1" t="s">
        <v>664</v>
      </c>
      <c r="H814" s="1" t="s">
        <v>661</v>
      </c>
      <c r="J814" s="1" t="s">
        <v>665</v>
      </c>
      <c r="K814" s="1" t="s">
        <v>666</v>
      </c>
      <c r="L814" s="1" t="s">
        <v>258</v>
      </c>
      <c r="M814" s="1" t="s">
        <v>667</v>
      </c>
      <c r="N814" s="1" t="str">
        <f t="shared" si="12"/>
        <v>JOSIEL NEVES</v>
      </c>
    </row>
    <row r="815" spans="1:14" x14ac:dyDescent="0.3">
      <c r="A815" s="1">
        <v>702143</v>
      </c>
      <c r="B815" s="1" t="s">
        <v>836</v>
      </c>
      <c r="C815" s="5" t="s">
        <v>15</v>
      </c>
      <c r="D815" s="2">
        <v>44299</v>
      </c>
      <c r="E815" s="1" t="s">
        <v>138</v>
      </c>
      <c r="F815" s="1">
        <v>24102</v>
      </c>
      <c r="G815" s="1" t="s">
        <v>669</v>
      </c>
      <c r="H815" s="1" t="s">
        <v>661</v>
      </c>
      <c r="J815" s="1" t="s">
        <v>682</v>
      </c>
      <c r="K815" s="1" t="s">
        <v>666</v>
      </c>
      <c r="L815" s="1" t="s">
        <v>1390</v>
      </c>
      <c r="M815" s="1" t="s">
        <v>1391</v>
      </c>
      <c r="N815" s="1" t="str">
        <f t="shared" si="12"/>
        <v>ALCENO JUNIOR/JOÃO MARCOS</v>
      </c>
    </row>
    <row r="816" spans="1:14" x14ac:dyDescent="0.3">
      <c r="A816" s="1">
        <v>705394</v>
      </c>
      <c r="B816" s="1" t="s">
        <v>1252</v>
      </c>
      <c r="C816" s="5" t="s">
        <v>15</v>
      </c>
      <c r="D816" s="2">
        <v>45791</v>
      </c>
      <c r="E816" s="1" t="s">
        <v>31</v>
      </c>
      <c r="F816" s="1">
        <v>39601</v>
      </c>
      <c r="G816" s="1" t="s">
        <v>660</v>
      </c>
      <c r="H816" s="1" t="s">
        <v>661</v>
      </c>
      <c r="J816" s="1" t="s">
        <v>662</v>
      </c>
      <c r="K816" s="1" t="s">
        <v>666</v>
      </c>
      <c r="L816" s="1" t="s">
        <v>258</v>
      </c>
      <c r="N816" s="1" t="str">
        <f t="shared" si="12"/>
        <v>MATHEUS ALMEIDA</v>
      </c>
    </row>
    <row r="817" spans="1:14" x14ac:dyDescent="0.3">
      <c r="A817" s="1">
        <v>705549</v>
      </c>
      <c r="B817" s="1" t="s">
        <v>1334</v>
      </c>
      <c r="C817" s="5" t="s">
        <v>15</v>
      </c>
      <c r="D817" s="2">
        <v>45881</v>
      </c>
      <c r="E817" s="1" t="s">
        <v>16</v>
      </c>
      <c r="F817" s="1">
        <v>24102</v>
      </c>
      <c r="G817" s="1" t="s">
        <v>669</v>
      </c>
      <c r="H817" s="1" t="s">
        <v>661</v>
      </c>
      <c r="J817" s="1" t="s">
        <v>682</v>
      </c>
      <c r="K817" s="1" t="s">
        <v>666</v>
      </c>
      <c r="L817" s="1" t="s">
        <v>1390</v>
      </c>
      <c r="M817" s="1" t="s">
        <v>1391</v>
      </c>
      <c r="N817" s="1" t="str">
        <f t="shared" si="12"/>
        <v>ALCENO JUNIOR/JOÃO MARCOS</v>
      </c>
    </row>
    <row r="818" spans="1:14" x14ac:dyDescent="0.3">
      <c r="A818" s="1">
        <v>705842</v>
      </c>
      <c r="B818" s="1" t="s">
        <v>1579</v>
      </c>
      <c r="C818" s="5" t="s">
        <v>92</v>
      </c>
      <c r="D818" s="2">
        <v>46063</v>
      </c>
      <c r="E818" s="1" t="s">
        <v>31</v>
      </c>
      <c r="F818" s="1">
        <v>24102</v>
      </c>
      <c r="G818" s="1" t="s">
        <v>669</v>
      </c>
      <c r="H818" s="1" t="s">
        <v>661</v>
      </c>
      <c r="I818" s="2">
        <v>46107</v>
      </c>
      <c r="J818" s="1" t="s">
        <v>670</v>
      </c>
      <c r="K818" s="1" t="s">
        <v>666</v>
      </c>
      <c r="L818" s="1" t="s">
        <v>1388</v>
      </c>
      <c r="M818" s="1" t="s">
        <v>1637</v>
      </c>
      <c r="N818" s="1" t="str">
        <f t="shared" si="12"/>
        <v>JUNIO TEIXEIRA /EDIVILSON</v>
      </c>
    </row>
    <row r="819" spans="1:14" x14ac:dyDescent="0.3">
      <c r="A819" s="1">
        <v>703708</v>
      </c>
      <c r="B819" s="1" t="s">
        <v>837</v>
      </c>
      <c r="C819" s="5" t="s">
        <v>15</v>
      </c>
      <c r="D819" s="2">
        <v>45019</v>
      </c>
      <c r="E819" s="1" t="s">
        <v>686</v>
      </c>
      <c r="F819" s="1">
        <v>39602</v>
      </c>
      <c r="G819" s="1" t="s">
        <v>699</v>
      </c>
      <c r="H819" s="1" t="s">
        <v>661</v>
      </c>
      <c r="J819" s="1" t="s">
        <v>700</v>
      </c>
      <c r="K819" s="1" t="s">
        <v>666</v>
      </c>
      <c r="L819" s="1" t="s">
        <v>258</v>
      </c>
      <c r="M819" s="1" t="s">
        <v>701</v>
      </c>
      <c r="N819" s="1" t="str">
        <f t="shared" si="12"/>
        <v>IURY GUEDES</v>
      </c>
    </row>
    <row r="820" spans="1:14" x14ac:dyDescent="0.3">
      <c r="A820" s="1">
        <v>703284</v>
      </c>
      <c r="B820" s="1" t="s">
        <v>838</v>
      </c>
      <c r="C820" s="5" t="s">
        <v>92</v>
      </c>
      <c r="D820" s="2">
        <v>44788</v>
      </c>
      <c r="E820" s="1" t="s">
        <v>60</v>
      </c>
      <c r="F820" s="1">
        <v>24102</v>
      </c>
      <c r="G820" s="1" t="s">
        <v>669</v>
      </c>
      <c r="H820" s="1" t="s">
        <v>661</v>
      </c>
      <c r="I820" s="2">
        <v>46093</v>
      </c>
      <c r="J820" s="1" t="s">
        <v>697</v>
      </c>
      <c r="K820" s="1" t="s">
        <v>666</v>
      </c>
      <c r="L820" s="1" t="s">
        <v>1390</v>
      </c>
      <c r="M820" s="1" t="s">
        <v>1391</v>
      </c>
      <c r="N820" s="1" t="str">
        <f t="shared" si="12"/>
        <v>ALCENO JUNIOR/JOÃO MARCOS</v>
      </c>
    </row>
    <row r="821" spans="1:14" x14ac:dyDescent="0.3">
      <c r="A821" s="1">
        <v>701294</v>
      </c>
      <c r="B821" s="1" t="s">
        <v>840</v>
      </c>
      <c r="C821" s="5" t="s">
        <v>15</v>
      </c>
      <c r="D821" s="2">
        <v>43718</v>
      </c>
      <c r="E821" s="1" t="s">
        <v>105</v>
      </c>
      <c r="F821" s="1">
        <v>24102</v>
      </c>
      <c r="G821" s="1" t="s">
        <v>669</v>
      </c>
      <c r="H821" s="1" t="s">
        <v>661</v>
      </c>
      <c r="J821" s="1" t="s">
        <v>697</v>
      </c>
      <c r="K821" s="1" t="s">
        <v>666</v>
      </c>
      <c r="L821" s="1" t="s">
        <v>1390</v>
      </c>
      <c r="M821" s="1" t="s">
        <v>1391</v>
      </c>
      <c r="N821" s="1" t="str">
        <f t="shared" si="12"/>
        <v>ALCENO JUNIOR/JOÃO MARCOS</v>
      </c>
    </row>
    <row r="822" spans="1:14" x14ac:dyDescent="0.3">
      <c r="A822" s="1">
        <v>704322</v>
      </c>
      <c r="B822" s="1" t="s">
        <v>841</v>
      </c>
      <c r="C822" s="5" t="s">
        <v>15</v>
      </c>
      <c r="D822" s="2">
        <v>45356</v>
      </c>
      <c r="E822" s="1" t="s">
        <v>507</v>
      </c>
      <c r="F822" s="1">
        <v>24102</v>
      </c>
      <c r="G822" s="1" t="s">
        <v>669</v>
      </c>
      <c r="H822" s="1" t="s">
        <v>661</v>
      </c>
      <c r="J822" s="1" t="s">
        <v>670</v>
      </c>
      <c r="K822" s="1" t="s">
        <v>666</v>
      </c>
      <c r="L822" s="1" t="s">
        <v>1388</v>
      </c>
      <c r="M822" s="1" t="s">
        <v>1637</v>
      </c>
      <c r="N822" s="1" t="str">
        <f t="shared" si="12"/>
        <v>JUNIO TEIXEIRA /EDIVILSON</v>
      </c>
    </row>
    <row r="823" spans="1:14" x14ac:dyDescent="0.3">
      <c r="A823" s="1">
        <v>705319</v>
      </c>
      <c r="B823" s="1" t="s">
        <v>1253</v>
      </c>
      <c r="C823" s="5" t="s">
        <v>15</v>
      </c>
      <c r="D823" s="2">
        <v>45784</v>
      </c>
      <c r="E823" s="1" t="s">
        <v>60</v>
      </c>
      <c r="F823" s="1">
        <v>24102</v>
      </c>
      <c r="G823" s="1" t="s">
        <v>669</v>
      </c>
      <c r="H823" s="1" t="s">
        <v>661</v>
      </c>
      <c r="J823" s="1" t="s">
        <v>804</v>
      </c>
      <c r="K823" s="1" t="s">
        <v>666</v>
      </c>
      <c r="M823" s="1" t="s">
        <v>805</v>
      </c>
      <c r="N823" s="1" t="str">
        <f t="shared" si="12"/>
        <v>JAILSON RORIZ</v>
      </c>
    </row>
    <row r="824" spans="1:14" x14ac:dyDescent="0.3">
      <c r="A824" s="1">
        <v>705837</v>
      </c>
      <c r="B824" s="1" t="s">
        <v>1580</v>
      </c>
      <c r="C824" s="5" t="s">
        <v>15</v>
      </c>
      <c r="D824" s="2">
        <v>46063</v>
      </c>
      <c r="E824" s="1" t="s">
        <v>16</v>
      </c>
      <c r="F824" s="1">
        <v>24102</v>
      </c>
      <c r="G824" s="1" t="s">
        <v>669</v>
      </c>
      <c r="H824" s="1" t="s">
        <v>661</v>
      </c>
      <c r="J824" s="1" t="s">
        <v>682</v>
      </c>
      <c r="K824" s="1" t="s">
        <v>666</v>
      </c>
      <c r="L824" s="1" t="s">
        <v>1390</v>
      </c>
      <c r="M824" s="1" t="s">
        <v>1391</v>
      </c>
      <c r="N824" s="1" t="str">
        <f t="shared" si="12"/>
        <v>ALCENO JUNIOR/JOÃO MARCOS</v>
      </c>
    </row>
    <row r="825" spans="1:14" x14ac:dyDescent="0.3">
      <c r="A825" s="1">
        <v>703965</v>
      </c>
      <c r="B825" s="1" t="s">
        <v>842</v>
      </c>
      <c r="C825" s="5" t="s">
        <v>15</v>
      </c>
      <c r="D825" s="2">
        <v>45113</v>
      </c>
      <c r="E825" s="1" t="s">
        <v>418</v>
      </c>
      <c r="F825" s="1">
        <v>39601</v>
      </c>
      <c r="G825" s="1" t="s">
        <v>660</v>
      </c>
      <c r="H825" s="1" t="s">
        <v>661</v>
      </c>
      <c r="J825" s="1" t="s">
        <v>662</v>
      </c>
      <c r="K825" s="1" t="s">
        <v>666</v>
      </c>
      <c r="L825" s="1" t="s">
        <v>258</v>
      </c>
      <c r="N825" s="1" t="str">
        <f t="shared" si="12"/>
        <v>MATHEUS ALMEIDA</v>
      </c>
    </row>
    <row r="826" spans="1:14" x14ac:dyDescent="0.3">
      <c r="A826" s="1">
        <v>703414</v>
      </c>
      <c r="B826" s="1" t="s">
        <v>843</v>
      </c>
      <c r="C826" s="5" t="s">
        <v>15</v>
      </c>
      <c r="D826" s="2">
        <v>44873</v>
      </c>
      <c r="E826" s="1" t="s">
        <v>52</v>
      </c>
      <c r="F826" s="1">
        <v>32102</v>
      </c>
      <c r="G826" s="1" t="s">
        <v>674</v>
      </c>
      <c r="H826" s="1" t="s">
        <v>661</v>
      </c>
      <c r="J826" s="1" t="s">
        <v>675</v>
      </c>
      <c r="K826" s="1" t="s">
        <v>25</v>
      </c>
      <c r="L826" s="1" t="s">
        <v>1369</v>
      </c>
      <c r="M826" s="1" t="s">
        <v>1638</v>
      </c>
      <c r="N826" s="1" t="str">
        <f t="shared" si="12"/>
        <v>EDIVILSON MENEZES</v>
      </c>
    </row>
    <row r="827" spans="1:14" x14ac:dyDescent="0.3">
      <c r="A827" s="1">
        <v>101406</v>
      </c>
      <c r="B827" s="1" t="s">
        <v>844</v>
      </c>
      <c r="C827" s="5" t="s">
        <v>15</v>
      </c>
      <c r="D827" s="2">
        <v>42926</v>
      </c>
      <c r="E827" s="1" t="s">
        <v>31</v>
      </c>
      <c r="F827" s="1">
        <v>24102</v>
      </c>
      <c r="G827" s="1" t="s">
        <v>669</v>
      </c>
      <c r="H827" s="1" t="s">
        <v>661</v>
      </c>
      <c r="J827" s="1" t="s">
        <v>670</v>
      </c>
      <c r="K827" s="1" t="s">
        <v>666</v>
      </c>
      <c r="L827" s="1" t="s">
        <v>1388</v>
      </c>
      <c r="M827" s="1" t="s">
        <v>1637</v>
      </c>
      <c r="N827" s="1" t="str">
        <f t="shared" si="12"/>
        <v>JUNIO TEIXEIRA /EDIVILSON</v>
      </c>
    </row>
    <row r="828" spans="1:14" x14ac:dyDescent="0.3">
      <c r="A828" s="1">
        <v>701205</v>
      </c>
      <c r="B828" s="1" t="s">
        <v>845</v>
      </c>
      <c r="C828" s="5" t="s">
        <v>15</v>
      </c>
      <c r="D828" s="2">
        <v>43682</v>
      </c>
      <c r="E828" s="1" t="s">
        <v>31</v>
      </c>
      <c r="F828" s="1">
        <v>24102</v>
      </c>
      <c r="G828" s="1" t="s">
        <v>669</v>
      </c>
      <c r="H828" s="1" t="s">
        <v>661</v>
      </c>
      <c r="J828" s="1" t="s">
        <v>672</v>
      </c>
      <c r="K828" s="1" t="s">
        <v>666</v>
      </c>
      <c r="L828" s="1" t="s">
        <v>1388</v>
      </c>
      <c r="M828" s="1" t="s">
        <v>1637</v>
      </c>
      <c r="N828" s="1" t="str">
        <f t="shared" si="12"/>
        <v>JUNIO TEIXEIRA /EDIVILSON</v>
      </c>
    </row>
    <row r="829" spans="1:14" x14ac:dyDescent="0.3">
      <c r="A829" s="1">
        <v>702545</v>
      </c>
      <c r="B829" s="1" t="s">
        <v>846</v>
      </c>
      <c r="C829" s="5" t="s">
        <v>15</v>
      </c>
      <c r="D829" s="2">
        <v>44452</v>
      </c>
      <c r="E829" s="1" t="s">
        <v>507</v>
      </c>
      <c r="F829" s="1">
        <v>24201</v>
      </c>
      <c r="G829" s="1" t="s">
        <v>664</v>
      </c>
      <c r="H829" s="1" t="s">
        <v>661</v>
      </c>
      <c r="J829" s="1" t="s">
        <v>665</v>
      </c>
      <c r="K829" s="1" t="s">
        <v>666</v>
      </c>
      <c r="L829" s="1" t="s">
        <v>258</v>
      </c>
      <c r="M829" s="1" t="s">
        <v>667</v>
      </c>
      <c r="N829" s="1" t="str">
        <f t="shared" si="12"/>
        <v>JOSIEL NEVES</v>
      </c>
    </row>
    <row r="830" spans="1:14" x14ac:dyDescent="0.3">
      <c r="A830" s="1">
        <v>704349</v>
      </c>
      <c r="B830" s="1" t="s">
        <v>847</v>
      </c>
      <c r="C830" s="5" t="s">
        <v>15</v>
      </c>
      <c r="D830" s="2">
        <v>45363</v>
      </c>
      <c r="E830" s="1" t="s">
        <v>16</v>
      </c>
      <c r="F830" s="1">
        <v>24102</v>
      </c>
      <c r="G830" s="1" t="s">
        <v>669</v>
      </c>
      <c r="H830" s="1" t="s">
        <v>661</v>
      </c>
      <c r="J830" s="1" t="s">
        <v>682</v>
      </c>
      <c r="K830" s="1" t="s">
        <v>666</v>
      </c>
      <c r="L830" s="1" t="s">
        <v>1390</v>
      </c>
      <c r="M830" s="1" t="s">
        <v>1391</v>
      </c>
      <c r="N830" s="1" t="str">
        <f t="shared" si="12"/>
        <v>ALCENO JUNIOR/JOÃO MARCOS</v>
      </c>
    </row>
    <row r="831" spans="1:14" x14ac:dyDescent="0.3">
      <c r="A831" s="1">
        <v>705097</v>
      </c>
      <c r="B831" s="1" t="s">
        <v>848</v>
      </c>
      <c r="C831" s="5" t="s">
        <v>15</v>
      </c>
      <c r="D831" s="2">
        <v>45670</v>
      </c>
      <c r="E831" s="1" t="s">
        <v>31</v>
      </c>
      <c r="F831" s="1">
        <v>24102</v>
      </c>
      <c r="G831" s="1" t="s">
        <v>669</v>
      </c>
      <c r="H831" s="1" t="s">
        <v>661</v>
      </c>
      <c r="J831" s="1" t="s">
        <v>697</v>
      </c>
      <c r="K831" s="1" t="s">
        <v>666</v>
      </c>
      <c r="L831" s="1" t="s">
        <v>1390</v>
      </c>
      <c r="M831" s="1" t="s">
        <v>1391</v>
      </c>
      <c r="N831" s="1" t="str">
        <f t="shared" si="12"/>
        <v>ALCENO JUNIOR/JOÃO MARCOS</v>
      </c>
    </row>
    <row r="832" spans="1:14" x14ac:dyDescent="0.3">
      <c r="A832" s="1">
        <v>704579</v>
      </c>
      <c r="B832" s="1" t="s">
        <v>849</v>
      </c>
      <c r="C832" s="5" t="s">
        <v>233</v>
      </c>
      <c r="D832" s="2">
        <v>45448</v>
      </c>
      <c r="E832" s="1" t="s">
        <v>1626</v>
      </c>
      <c r="F832" s="1">
        <v>39602</v>
      </c>
      <c r="G832" s="1" t="s">
        <v>699</v>
      </c>
      <c r="H832" s="1" t="s">
        <v>661</v>
      </c>
      <c r="J832" s="1" t="s">
        <v>700</v>
      </c>
      <c r="K832" s="1" t="s">
        <v>666</v>
      </c>
      <c r="L832" s="1" t="s">
        <v>258</v>
      </c>
      <c r="M832" s="1" t="s">
        <v>701</v>
      </c>
      <c r="N832" s="1" t="str">
        <f t="shared" si="12"/>
        <v>IURY GUEDES</v>
      </c>
    </row>
    <row r="833" spans="1:14" x14ac:dyDescent="0.3">
      <c r="A833" s="1">
        <v>704235</v>
      </c>
      <c r="B833" s="1" t="s">
        <v>850</v>
      </c>
      <c r="C833" s="5" t="s">
        <v>15</v>
      </c>
      <c r="D833" s="2">
        <v>45328</v>
      </c>
      <c r="E833" s="1" t="s">
        <v>31</v>
      </c>
      <c r="F833" s="1">
        <v>24102</v>
      </c>
      <c r="G833" s="1" t="s">
        <v>669</v>
      </c>
      <c r="H833" s="1" t="s">
        <v>661</v>
      </c>
      <c r="J833" s="1" t="s">
        <v>672</v>
      </c>
      <c r="K833" s="1" t="s">
        <v>666</v>
      </c>
      <c r="L833" s="1" t="s">
        <v>1388</v>
      </c>
      <c r="M833" s="1" t="s">
        <v>1637</v>
      </c>
      <c r="N833" s="1" t="str">
        <f t="shared" si="12"/>
        <v>JUNIO TEIXEIRA /EDIVILSON</v>
      </c>
    </row>
    <row r="834" spans="1:14" x14ac:dyDescent="0.3">
      <c r="A834" s="1">
        <v>703984</v>
      </c>
      <c r="B834" s="1" t="s">
        <v>851</v>
      </c>
      <c r="C834" s="5" t="s">
        <v>15</v>
      </c>
      <c r="D834" s="2">
        <v>45113</v>
      </c>
      <c r="E834" s="1" t="s">
        <v>31</v>
      </c>
      <c r="F834" s="1">
        <v>24102</v>
      </c>
      <c r="G834" s="1" t="s">
        <v>669</v>
      </c>
      <c r="H834" s="1" t="s">
        <v>661</v>
      </c>
      <c r="J834" s="1" t="s">
        <v>672</v>
      </c>
      <c r="K834" s="1" t="s">
        <v>666</v>
      </c>
      <c r="L834" s="1" t="s">
        <v>1388</v>
      </c>
      <c r="M834" s="1" t="s">
        <v>1637</v>
      </c>
      <c r="N834" s="1" t="str">
        <f t="shared" si="12"/>
        <v>JUNIO TEIXEIRA /EDIVILSON</v>
      </c>
    </row>
    <row r="835" spans="1:14" x14ac:dyDescent="0.3">
      <c r="A835" s="1">
        <v>705272</v>
      </c>
      <c r="B835" s="1" t="s">
        <v>1198</v>
      </c>
      <c r="C835" s="5" t="s">
        <v>15</v>
      </c>
      <c r="D835" s="2">
        <v>45762</v>
      </c>
      <c r="E835" s="1" t="s">
        <v>31</v>
      </c>
      <c r="F835" s="1">
        <v>24102</v>
      </c>
      <c r="G835" s="1" t="s">
        <v>669</v>
      </c>
      <c r="H835" s="1" t="s">
        <v>661</v>
      </c>
      <c r="J835" s="1" t="s">
        <v>680</v>
      </c>
      <c r="K835" s="1" t="s">
        <v>666</v>
      </c>
      <c r="L835" s="1" t="s">
        <v>1388</v>
      </c>
      <c r="M835" s="1" t="s">
        <v>1637</v>
      </c>
      <c r="N835" s="1" t="str">
        <f t="shared" ref="N835:N898" si="13">IF(M835&lt;&gt;"", M835, IF(L835&lt;&gt;"", L835, K835))</f>
        <v>JUNIO TEIXEIRA /EDIVILSON</v>
      </c>
    </row>
    <row r="836" spans="1:14" x14ac:dyDescent="0.3">
      <c r="A836" s="1">
        <v>705347</v>
      </c>
      <c r="B836" s="1" t="s">
        <v>1254</v>
      </c>
      <c r="C836" s="5" t="s">
        <v>15</v>
      </c>
      <c r="D836" s="2">
        <v>45784</v>
      </c>
      <c r="E836" s="1" t="s">
        <v>31</v>
      </c>
      <c r="F836" s="1">
        <v>39601</v>
      </c>
      <c r="G836" s="1" t="s">
        <v>660</v>
      </c>
      <c r="H836" s="1" t="s">
        <v>661</v>
      </c>
      <c r="J836" s="1" t="s">
        <v>684</v>
      </c>
      <c r="K836" s="1" t="s">
        <v>666</v>
      </c>
      <c r="L836" s="1" t="s">
        <v>258</v>
      </c>
      <c r="M836" s="1" t="s">
        <v>1392</v>
      </c>
      <c r="N836" s="1" t="str">
        <f t="shared" si="13"/>
        <v>ADALTON/JANILSON RORIZ/MARIVALDO</v>
      </c>
    </row>
    <row r="837" spans="1:14" x14ac:dyDescent="0.3">
      <c r="A837" s="1">
        <v>703622</v>
      </c>
      <c r="B837" s="1" t="s">
        <v>852</v>
      </c>
      <c r="C837" s="5" t="s">
        <v>15</v>
      </c>
      <c r="D837" s="2">
        <v>44991</v>
      </c>
      <c r="E837" s="1" t="s">
        <v>138</v>
      </c>
      <c r="F837" s="1">
        <v>24102</v>
      </c>
      <c r="G837" s="1" t="s">
        <v>669</v>
      </c>
      <c r="H837" s="1" t="s">
        <v>661</v>
      </c>
      <c r="J837" s="1" t="s">
        <v>682</v>
      </c>
      <c r="K837" s="1" t="s">
        <v>666</v>
      </c>
      <c r="L837" s="1" t="s">
        <v>1390</v>
      </c>
      <c r="M837" s="1" t="s">
        <v>1391</v>
      </c>
      <c r="N837" s="1" t="str">
        <f t="shared" si="13"/>
        <v>ALCENO JUNIOR/JOÃO MARCOS</v>
      </c>
    </row>
    <row r="838" spans="1:14" x14ac:dyDescent="0.3">
      <c r="A838" s="1">
        <v>701103</v>
      </c>
      <c r="B838" s="1" t="s">
        <v>853</v>
      </c>
      <c r="C838" s="5" t="s">
        <v>15</v>
      </c>
      <c r="D838" s="2">
        <v>43641</v>
      </c>
      <c r="E838" s="1" t="s">
        <v>371</v>
      </c>
      <c r="F838" s="1">
        <v>39601</v>
      </c>
      <c r="G838" s="1" t="s">
        <v>660</v>
      </c>
      <c r="H838" s="1" t="s">
        <v>661</v>
      </c>
      <c r="J838" s="1" t="s">
        <v>684</v>
      </c>
      <c r="K838" s="1" t="s">
        <v>666</v>
      </c>
      <c r="L838" s="1" t="s">
        <v>258</v>
      </c>
      <c r="M838" s="1" t="s">
        <v>1392</v>
      </c>
      <c r="N838" s="1" t="str">
        <f t="shared" si="13"/>
        <v>ADALTON/JANILSON RORIZ/MARIVALDO</v>
      </c>
    </row>
    <row r="839" spans="1:14" x14ac:dyDescent="0.3">
      <c r="A839" s="1">
        <v>704644</v>
      </c>
      <c r="B839" s="1" t="s">
        <v>854</v>
      </c>
      <c r="C839" s="5" t="s">
        <v>15</v>
      </c>
      <c r="D839" s="2">
        <v>45476</v>
      </c>
      <c r="E839" s="1" t="s">
        <v>381</v>
      </c>
      <c r="F839" s="1">
        <v>39602</v>
      </c>
      <c r="G839" s="1" t="s">
        <v>699</v>
      </c>
      <c r="H839" s="1" t="s">
        <v>661</v>
      </c>
      <c r="J839" s="1" t="s">
        <v>700</v>
      </c>
      <c r="K839" s="1" t="s">
        <v>666</v>
      </c>
      <c r="L839" s="1" t="s">
        <v>258</v>
      </c>
      <c r="M839" s="1" t="s">
        <v>701</v>
      </c>
      <c r="N839" s="1" t="str">
        <f t="shared" si="13"/>
        <v>IURY GUEDES</v>
      </c>
    </row>
    <row r="840" spans="1:14" x14ac:dyDescent="0.3">
      <c r="A840" s="1">
        <v>702901</v>
      </c>
      <c r="B840" s="1" t="s">
        <v>855</v>
      </c>
      <c r="C840" s="5" t="s">
        <v>15</v>
      </c>
      <c r="D840" s="2">
        <v>44642</v>
      </c>
      <c r="E840" s="1" t="s">
        <v>507</v>
      </c>
      <c r="F840" s="1">
        <v>24102</v>
      </c>
      <c r="G840" s="1" t="s">
        <v>669</v>
      </c>
      <c r="H840" s="1" t="s">
        <v>661</v>
      </c>
      <c r="J840" s="1" t="s">
        <v>85</v>
      </c>
      <c r="K840" s="1" t="s">
        <v>1371</v>
      </c>
      <c r="L840" s="1" t="s">
        <v>1380</v>
      </c>
      <c r="M840" s="1" t="s">
        <v>1380</v>
      </c>
      <c r="N840" s="1" t="str">
        <f t="shared" si="13"/>
        <v xml:space="preserve">LEONARDO SANTOS </v>
      </c>
    </row>
    <row r="841" spans="1:14" x14ac:dyDescent="0.3">
      <c r="A841" s="1">
        <v>701507</v>
      </c>
      <c r="B841" s="1" t="s">
        <v>857</v>
      </c>
      <c r="C841" s="5" t="s">
        <v>15</v>
      </c>
      <c r="D841" s="2">
        <v>43936</v>
      </c>
      <c r="E841" s="1" t="s">
        <v>105</v>
      </c>
      <c r="F841" s="1">
        <v>24102</v>
      </c>
      <c r="G841" s="1" t="s">
        <v>669</v>
      </c>
      <c r="H841" s="1" t="s">
        <v>661</v>
      </c>
      <c r="J841" s="1" t="s">
        <v>804</v>
      </c>
      <c r="K841" s="1" t="s">
        <v>666</v>
      </c>
      <c r="M841" s="1" t="s">
        <v>805</v>
      </c>
      <c r="N841" s="1" t="str">
        <f t="shared" si="13"/>
        <v>JAILSON RORIZ</v>
      </c>
    </row>
    <row r="842" spans="1:14" x14ac:dyDescent="0.3">
      <c r="A842" s="1">
        <v>705293</v>
      </c>
      <c r="B842" s="1" t="s">
        <v>1199</v>
      </c>
      <c r="C842" s="5" t="s">
        <v>15</v>
      </c>
      <c r="D842" s="2">
        <v>45762</v>
      </c>
      <c r="E842" s="1" t="s">
        <v>31</v>
      </c>
      <c r="F842" s="1">
        <v>39601</v>
      </c>
      <c r="G842" s="1" t="s">
        <v>660</v>
      </c>
      <c r="H842" s="1" t="s">
        <v>661</v>
      </c>
      <c r="J842" s="1" t="s">
        <v>684</v>
      </c>
      <c r="K842" s="1" t="s">
        <v>666</v>
      </c>
      <c r="L842" s="1" t="s">
        <v>258</v>
      </c>
      <c r="M842" s="1" t="s">
        <v>1392</v>
      </c>
      <c r="N842" s="1" t="str">
        <f t="shared" si="13"/>
        <v>ADALTON/JANILSON RORIZ/MARIVALDO</v>
      </c>
    </row>
    <row r="843" spans="1:14" x14ac:dyDescent="0.3">
      <c r="A843" s="1">
        <v>705896</v>
      </c>
      <c r="B843" s="1" t="s">
        <v>1627</v>
      </c>
      <c r="C843" s="5" t="s">
        <v>15</v>
      </c>
      <c r="D843" s="2">
        <v>46091</v>
      </c>
      <c r="E843" s="1" t="s">
        <v>22</v>
      </c>
      <c r="F843" s="1">
        <v>39601</v>
      </c>
      <c r="G843" s="1" t="s">
        <v>660</v>
      </c>
      <c r="H843" s="1" t="s">
        <v>661</v>
      </c>
      <c r="J843" s="1" t="s">
        <v>700</v>
      </c>
      <c r="K843" s="1" t="s">
        <v>666</v>
      </c>
      <c r="L843" s="1" t="s">
        <v>258</v>
      </c>
      <c r="M843" s="1" t="s">
        <v>701</v>
      </c>
      <c r="N843" s="1" t="str">
        <f t="shared" si="13"/>
        <v>IURY GUEDES</v>
      </c>
    </row>
    <row r="844" spans="1:14" x14ac:dyDescent="0.3">
      <c r="A844" s="1">
        <v>700408</v>
      </c>
      <c r="B844" s="1" t="s">
        <v>858</v>
      </c>
      <c r="C844" s="5" t="s">
        <v>15</v>
      </c>
      <c r="D844" s="2">
        <v>43318</v>
      </c>
      <c r="E844" s="1" t="s">
        <v>141</v>
      </c>
      <c r="F844" s="1">
        <v>24102</v>
      </c>
      <c r="G844" s="1" t="s">
        <v>669</v>
      </c>
      <c r="H844" s="1" t="s">
        <v>661</v>
      </c>
      <c r="J844" s="1" t="s">
        <v>697</v>
      </c>
      <c r="K844" s="1" t="s">
        <v>666</v>
      </c>
      <c r="L844" s="1" t="s">
        <v>1390</v>
      </c>
      <c r="M844" s="1" t="s">
        <v>1391</v>
      </c>
      <c r="N844" s="1" t="str">
        <f t="shared" si="13"/>
        <v>ALCENO JUNIOR/JOÃO MARCOS</v>
      </c>
    </row>
    <row r="845" spans="1:14" x14ac:dyDescent="0.3">
      <c r="A845" s="1">
        <v>705912</v>
      </c>
      <c r="B845" s="1" t="s">
        <v>1628</v>
      </c>
      <c r="C845" s="5" t="s">
        <v>15</v>
      </c>
      <c r="D845" s="2">
        <v>46091</v>
      </c>
      <c r="E845" s="1" t="s">
        <v>31</v>
      </c>
      <c r="F845" s="1">
        <v>24102</v>
      </c>
      <c r="G845" s="1" t="s">
        <v>669</v>
      </c>
      <c r="H845" s="1" t="s">
        <v>661</v>
      </c>
      <c r="J845" s="1" t="s">
        <v>680</v>
      </c>
      <c r="K845" s="1" t="s">
        <v>666</v>
      </c>
      <c r="L845" s="1" t="s">
        <v>1388</v>
      </c>
      <c r="M845" s="1" t="s">
        <v>1637</v>
      </c>
      <c r="N845" s="1" t="str">
        <f t="shared" si="13"/>
        <v>JUNIO TEIXEIRA /EDIVILSON</v>
      </c>
    </row>
    <row r="846" spans="1:14" x14ac:dyDescent="0.3">
      <c r="A846" s="1">
        <v>705426</v>
      </c>
      <c r="B846" s="1" t="s">
        <v>1257</v>
      </c>
      <c r="C846" s="5" t="s">
        <v>15</v>
      </c>
      <c r="D846" s="2">
        <v>45797</v>
      </c>
      <c r="E846" s="1" t="s">
        <v>31</v>
      </c>
      <c r="F846" s="1">
        <v>39601</v>
      </c>
      <c r="G846" s="1" t="s">
        <v>660</v>
      </c>
      <c r="H846" s="1" t="s">
        <v>661</v>
      </c>
      <c r="J846" s="1" t="s">
        <v>662</v>
      </c>
      <c r="K846" s="1" t="s">
        <v>666</v>
      </c>
      <c r="L846" s="1" t="s">
        <v>258</v>
      </c>
      <c r="N846" s="1" t="str">
        <f t="shared" si="13"/>
        <v>MATHEUS ALMEIDA</v>
      </c>
    </row>
    <row r="847" spans="1:14" x14ac:dyDescent="0.3">
      <c r="A847" s="1">
        <v>705427</v>
      </c>
      <c r="B847" s="1" t="s">
        <v>1258</v>
      </c>
      <c r="C847" s="5" t="s">
        <v>15</v>
      </c>
      <c r="D847" s="2">
        <v>45797</v>
      </c>
      <c r="E847" s="1" t="s">
        <v>31</v>
      </c>
      <c r="F847" s="1">
        <v>39601</v>
      </c>
      <c r="G847" s="1" t="s">
        <v>660</v>
      </c>
      <c r="H847" s="1" t="s">
        <v>661</v>
      </c>
      <c r="J847" s="1" t="s">
        <v>662</v>
      </c>
      <c r="K847" s="1" t="s">
        <v>666</v>
      </c>
      <c r="L847" s="1" t="s">
        <v>258</v>
      </c>
      <c r="N847" s="1" t="str">
        <f t="shared" si="13"/>
        <v>MATHEUS ALMEIDA</v>
      </c>
    </row>
    <row r="848" spans="1:14" x14ac:dyDescent="0.3">
      <c r="A848" s="1">
        <v>703314</v>
      </c>
      <c r="B848" s="1" t="s">
        <v>859</v>
      </c>
      <c r="C848" s="5" t="s">
        <v>15</v>
      </c>
      <c r="D848" s="2">
        <v>44824</v>
      </c>
      <c r="E848" s="1" t="s">
        <v>507</v>
      </c>
      <c r="F848" s="1">
        <v>24201</v>
      </c>
      <c r="G848" s="1" t="s">
        <v>664</v>
      </c>
      <c r="H848" s="1" t="s">
        <v>661</v>
      </c>
      <c r="J848" s="1" t="s">
        <v>665</v>
      </c>
      <c r="K848" s="1" t="s">
        <v>666</v>
      </c>
      <c r="L848" s="1" t="s">
        <v>258</v>
      </c>
      <c r="M848" s="1" t="s">
        <v>667</v>
      </c>
      <c r="N848" s="1" t="str">
        <f t="shared" si="13"/>
        <v>JOSIEL NEVES</v>
      </c>
    </row>
    <row r="849" spans="1:14" x14ac:dyDescent="0.3">
      <c r="A849" s="1">
        <v>705711</v>
      </c>
      <c r="B849" s="1" t="s">
        <v>1465</v>
      </c>
      <c r="C849" s="5" t="s">
        <v>15</v>
      </c>
      <c r="D849" s="2">
        <v>45971</v>
      </c>
      <c r="E849" s="1" t="s">
        <v>31</v>
      </c>
      <c r="F849" s="1">
        <v>24102</v>
      </c>
      <c r="G849" s="1" t="s">
        <v>669</v>
      </c>
      <c r="H849" s="1" t="s">
        <v>661</v>
      </c>
      <c r="J849" s="1" t="s">
        <v>672</v>
      </c>
      <c r="K849" s="1" t="s">
        <v>666</v>
      </c>
      <c r="L849" s="1" t="s">
        <v>1388</v>
      </c>
      <c r="M849" s="1" t="s">
        <v>1637</v>
      </c>
      <c r="N849" s="1" t="str">
        <f t="shared" si="13"/>
        <v>JUNIO TEIXEIRA /EDIVILSON</v>
      </c>
    </row>
    <row r="850" spans="1:14" x14ac:dyDescent="0.3">
      <c r="A850" s="1">
        <v>702315</v>
      </c>
      <c r="B850" s="1" t="s">
        <v>860</v>
      </c>
      <c r="C850" s="5" t="s">
        <v>15</v>
      </c>
      <c r="D850" s="2">
        <v>44334</v>
      </c>
      <c r="E850" s="1" t="s">
        <v>861</v>
      </c>
      <c r="F850" s="1">
        <v>39602</v>
      </c>
      <c r="G850" s="1" t="s">
        <v>699</v>
      </c>
      <c r="H850" s="1" t="s">
        <v>661</v>
      </c>
      <c r="J850" s="1" t="s">
        <v>700</v>
      </c>
      <c r="K850" s="1" t="s">
        <v>666</v>
      </c>
      <c r="L850" s="1" t="s">
        <v>258</v>
      </c>
      <c r="M850" s="1" t="s">
        <v>701</v>
      </c>
      <c r="N850" s="1" t="str">
        <f t="shared" si="13"/>
        <v>IURY GUEDES</v>
      </c>
    </row>
    <row r="851" spans="1:14" x14ac:dyDescent="0.3">
      <c r="A851" s="1">
        <v>700255</v>
      </c>
      <c r="B851" s="1" t="s">
        <v>862</v>
      </c>
      <c r="C851" s="5" t="s">
        <v>15</v>
      </c>
      <c r="D851" s="2">
        <v>43262</v>
      </c>
      <c r="E851" s="1" t="s">
        <v>166</v>
      </c>
      <c r="F851" s="1">
        <v>24102</v>
      </c>
      <c r="G851" s="1" t="s">
        <v>669</v>
      </c>
      <c r="H851" s="1" t="s">
        <v>661</v>
      </c>
      <c r="J851" s="1" t="s">
        <v>697</v>
      </c>
      <c r="K851" s="1" t="s">
        <v>666</v>
      </c>
      <c r="L851" s="1" t="s">
        <v>1390</v>
      </c>
      <c r="M851" s="1" t="s">
        <v>1391</v>
      </c>
      <c r="N851" s="1" t="str">
        <f t="shared" si="13"/>
        <v>ALCENO JUNIOR/JOÃO MARCOS</v>
      </c>
    </row>
    <row r="852" spans="1:14" x14ac:dyDescent="0.3">
      <c r="A852" s="1">
        <v>704868</v>
      </c>
      <c r="B852" s="1" t="s">
        <v>863</v>
      </c>
      <c r="C852" s="5" t="s">
        <v>15</v>
      </c>
      <c r="D852" s="2">
        <v>45579</v>
      </c>
      <c r="E852" s="1" t="s">
        <v>31</v>
      </c>
      <c r="F852" s="1">
        <v>24201</v>
      </c>
      <c r="G852" s="1" t="s">
        <v>664</v>
      </c>
      <c r="H852" s="1" t="s">
        <v>661</v>
      </c>
      <c r="J852" s="1" t="s">
        <v>665</v>
      </c>
      <c r="K852" s="1" t="s">
        <v>666</v>
      </c>
      <c r="L852" s="1" t="s">
        <v>258</v>
      </c>
      <c r="M852" s="1" t="s">
        <v>667</v>
      </c>
      <c r="N852" s="1" t="str">
        <f t="shared" si="13"/>
        <v>JOSIEL NEVES</v>
      </c>
    </row>
    <row r="853" spans="1:14" x14ac:dyDescent="0.3">
      <c r="A853" s="1">
        <v>705911</v>
      </c>
      <c r="B853" s="1" t="s">
        <v>1629</v>
      </c>
      <c r="C853" s="5" t="s">
        <v>15</v>
      </c>
      <c r="D853" s="2">
        <v>46091</v>
      </c>
      <c r="E853" s="1" t="s">
        <v>31</v>
      </c>
      <c r="F853" s="1">
        <v>24102</v>
      </c>
      <c r="G853" s="1" t="s">
        <v>669</v>
      </c>
      <c r="H853" s="1" t="s">
        <v>661</v>
      </c>
      <c r="J853" s="1" t="s">
        <v>680</v>
      </c>
      <c r="K853" s="1" t="s">
        <v>666</v>
      </c>
      <c r="L853" s="1" t="s">
        <v>1388</v>
      </c>
      <c r="M853" s="1" t="s">
        <v>1637</v>
      </c>
      <c r="N853" s="1" t="str">
        <f t="shared" si="13"/>
        <v>JUNIO TEIXEIRA /EDIVILSON</v>
      </c>
    </row>
    <row r="854" spans="1:14" x14ac:dyDescent="0.3">
      <c r="A854" s="1">
        <v>702159</v>
      </c>
      <c r="B854" s="1" t="s">
        <v>864</v>
      </c>
      <c r="C854" s="5" t="s">
        <v>15</v>
      </c>
      <c r="D854" s="2">
        <v>44299</v>
      </c>
      <c r="E854" s="1" t="s">
        <v>60</v>
      </c>
      <c r="F854" s="1">
        <v>24102</v>
      </c>
      <c r="G854" s="1" t="s">
        <v>669</v>
      </c>
      <c r="H854" s="1" t="s">
        <v>661</v>
      </c>
      <c r="J854" s="1" t="s">
        <v>682</v>
      </c>
      <c r="K854" s="1" t="s">
        <v>666</v>
      </c>
      <c r="L854" s="1" t="s">
        <v>1390</v>
      </c>
      <c r="M854" s="1" t="s">
        <v>1391</v>
      </c>
      <c r="N854" s="1" t="str">
        <f t="shared" si="13"/>
        <v>ALCENO JUNIOR/JOÃO MARCOS</v>
      </c>
    </row>
    <row r="855" spans="1:14" x14ac:dyDescent="0.3">
      <c r="A855" s="1">
        <v>101465</v>
      </c>
      <c r="B855" s="1" t="s">
        <v>865</v>
      </c>
      <c r="C855" s="5" t="s">
        <v>15</v>
      </c>
      <c r="D855" s="2">
        <v>42962</v>
      </c>
      <c r="E855" s="1" t="s">
        <v>31</v>
      </c>
      <c r="F855" s="1">
        <v>24102</v>
      </c>
      <c r="G855" s="1" t="s">
        <v>669</v>
      </c>
      <c r="H855" s="1" t="s">
        <v>661</v>
      </c>
      <c r="J855" s="1" t="s">
        <v>670</v>
      </c>
      <c r="K855" s="1" t="s">
        <v>666</v>
      </c>
      <c r="L855" s="1" t="s">
        <v>1388</v>
      </c>
      <c r="M855" s="1" t="s">
        <v>1637</v>
      </c>
      <c r="N855" s="1" t="str">
        <f t="shared" si="13"/>
        <v>JUNIO TEIXEIRA /EDIVILSON</v>
      </c>
    </row>
    <row r="856" spans="1:14" x14ac:dyDescent="0.3">
      <c r="A856" s="1">
        <v>705182</v>
      </c>
      <c r="B856" s="1" t="s">
        <v>1172</v>
      </c>
      <c r="C856" s="5" t="s">
        <v>15</v>
      </c>
      <c r="D856" s="2">
        <v>45733</v>
      </c>
      <c r="E856" s="1" t="s">
        <v>31</v>
      </c>
      <c r="F856" s="1">
        <v>24102</v>
      </c>
      <c r="G856" s="1" t="s">
        <v>669</v>
      </c>
      <c r="H856" s="1" t="s">
        <v>661</v>
      </c>
      <c r="J856" s="1" t="s">
        <v>680</v>
      </c>
      <c r="K856" s="1" t="s">
        <v>666</v>
      </c>
      <c r="L856" s="1" t="s">
        <v>1388</v>
      </c>
      <c r="M856" s="1" t="s">
        <v>1637</v>
      </c>
      <c r="N856" s="1" t="str">
        <f t="shared" si="13"/>
        <v>JUNIO TEIXEIRA /EDIVILSON</v>
      </c>
    </row>
    <row r="857" spans="1:14" x14ac:dyDescent="0.3">
      <c r="A857" s="1">
        <v>700101</v>
      </c>
      <c r="B857" s="1" t="s">
        <v>867</v>
      </c>
      <c r="C857" s="5" t="s">
        <v>15</v>
      </c>
      <c r="D857" s="2">
        <v>43164</v>
      </c>
      <c r="E857" s="1" t="s">
        <v>31</v>
      </c>
      <c r="F857" s="1">
        <v>24102</v>
      </c>
      <c r="G857" s="1" t="s">
        <v>669</v>
      </c>
      <c r="H857" s="1" t="s">
        <v>661</v>
      </c>
      <c r="J857" s="1" t="s">
        <v>672</v>
      </c>
      <c r="K857" s="1" t="s">
        <v>666</v>
      </c>
      <c r="L857" s="1" t="s">
        <v>1388</v>
      </c>
      <c r="M857" s="1" t="s">
        <v>1637</v>
      </c>
      <c r="N857" s="1" t="str">
        <f t="shared" si="13"/>
        <v>JUNIO TEIXEIRA /EDIVILSON</v>
      </c>
    </row>
    <row r="858" spans="1:14" x14ac:dyDescent="0.3">
      <c r="A858" s="1">
        <v>705841</v>
      </c>
      <c r="B858" s="1" t="s">
        <v>1581</v>
      </c>
      <c r="C858" s="5" t="s">
        <v>15</v>
      </c>
      <c r="D858" s="2">
        <v>46063</v>
      </c>
      <c r="E858" s="1" t="s">
        <v>31</v>
      </c>
      <c r="F858" s="1">
        <v>24102</v>
      </c>
      <c r="G858" s="1" t="s">
        <v>669</v>
      </c>
      <c r="H858" s="1" t="s">
        <v>661</v>
      </c>
      <c r="J858" s="1" t="s">
        <v>672</v>
      </c>
      <c r="K858" s="1" t="s">
        <v>666</v>
      </c>
      <c r="L858" s="1" t="s">
        <v>1388</v>
      </c>
      <c r="M858" s="1" t="s">
        <v>1637</v>
      </c>
      <c r="N858" s="1" t="str">
        <f t="shared" si="13"/>
        <v>JUNIO TEIXEIRA /EDIVILSON</v>
      </c>
    </row>
    <row r="859" spans="1:14" x14ac:dyDescent="0.3">
      <c r="A859" s="1">
        <v>100978</v>
      </c>
      <c r="B859" s="1" t="s">
        <v>868</v>
      </c>
      <c r="C859" s="5" t="s">
        <v>15</v>
      </c>
      <c r="D859" s="2">
        <v>42548</v>
      </c>
      <c r="E859" s="1" t="s">
        <v>457</v>
      </c>
      <c r="F859" s="1">
        <v>24102</v>
      </c>
      <c r="G859" s="1" t="s">
        <v>669</v>
      </c>
      <c r="H859" s="1" t="s">
        <v>661</v>
      </c>
      <c r="J859" s="1" t="s">
        <v>804</v>
      </c>
      <c r="K859" s="1" t="s">
        <v>666</v>
      </c>
      <c r="M859" s="1" t="s">
        <v>805</v>
      </c>
      <c r="N859" s="1" t="str">
        <f t="shared" si="13"/>
        <v>JAILSON RORIZ</v>
      </c>
    </row>
    <row r="860" spans="1:14" x14ac:dyDescent="0.3">
      <c r="A860" s="1">
        <v>705028</v>
      </c>
      <c r="B860" s="1" t="s">
        <v>869</v>
      </c>
      <c r="C860" s="5" t="s">
        <v>15</v>
      </c>
      <c r="D860" s="2">
        <v>45635</v>
      </c>
      <c r="E860" s="1" t="s">
        <v>31</v>
      </c>
      <c r="F860" s="1">
        <v>24102</v>
      </c>
      <c r="G860" s="1" t="s">
        <v>669</v>
      </c>
      <c r="H860" s="1" t="s">
        <v>661</v>
      </c>
      <c r="J860" s="1" t="s">
        <v>672</v>
      </c>
      <c r="K860" s="1" t="s">
        <v>666</v>
      </c>
      <c r="L860" s="1" t="s">
        <v>1388</v>
      </c>
      <c r="M860" s="1" t="s">
        <v>1637</v>
      </c>
      <c r="N860" s="1" t="str">
        <f t="shared" si="13"/>
        <v>JUNIO TEIXEIRA /EDIVILSON</v>
      </c>
    </row>
    <row r="861" spans="1:14" x14ac:dyDescent="0.3">
      <c r="A861" s="1">
        <v>700554</v>
      </c>
      <c r="B861" s="1" t="s">
        <v>870</v>
      </c>
      <c r="C861" s="5" t="s">
        <v>15</v>
      </c>
      <c r="D861" s="2">
        <v>43360</v>
      </c>
      <c r="E861" s="1" t="s">
        <v>141</v>
      </c>
      <c r="F861" s="1">
        <v>24102</v>
      </c>
      <c r="G861" s="1" t="s">
        <v>669</v>
      </c>
      <c r="H861" s="1" t="s">
        <v>661</v>
      </c>
      <c r="J861" s="1" t="s">
        <v>672</v>
      </c>
      <c r="K861" s="1" t="s">
        <v>666</v>
      </c>
      <c r="L861" s="1" t="s">
        <v>1388</v>
      </c>
      <c r="M861" s="1" t="s">
        <v>1637</v>
      </c>
      <c r="N861" s="1" t="str">
        <f t="shared" si="13"/>
        <v>JUNIO TEIXEIRA /EDIVILSON</v>
      </c>
    </row>
    <row r="862" spans="1:14" x14ac:dyDescent="0.3">
      <c r="A862" s="1">
        <v>705231</v>
      </c>
      <c r="B862" s="1" t="s">
        <v>1181</v>
      </c>
      <c r="C862" s="5" t="s">
        <v>15</v>
      </c>
      <c r="D862" s="2">
        <v>45762</v>
      </c>
      <c r="E862" s="1" t="s">
        <v>31</v>
      </c>
      <c r="F862" s="1">
        <v>24102</v>
      </c>
      <c r="G862" s="1" t="s">
        <v>669</v>
      </c>
      <c r="H862" s="1" t="s">
        <v>661</v>
      </c>
      <c r="J862" s="1" t="s">
        <v>85</v>
      </c>
      <c r="K862" s="1" t="s">
        <v>1371</v>
      </c>
      <c r="L862" s="1" t="s">
        <v>1380</v>
      </c>
      <c r="M862" s="1" t="s">
        <v>1380</v>
      </c>
      <c r="N862" s="1" t="str">
        <f t="shared" si="13"/>
        <v xml:space="preserve">LEONARDO SANTOS </v>
      </c>
    </row>
    <row r="863" spans="1:14" x14ac:dyDescent="0.3">
      <c r="A863" s="1">
        <v>704420</v>
      </c>
      <c r="B863" s="1" t="s">
        <v>872</v>
      </c>
      <c r="C863" s="5" t="s">
        <v>15</v>
      </c>
      <c r="D863" s="2">
        <v>45391</v>
      </c>
      <c r="E863" s="1" t="s">
        <v>60</v>
      </c>
      <c r="F863" s="1">
        <v>39601</v>
      </c>
      <c r="G863" s="1" t="s">
        <v>660</v>
      </c>
      <c r="H863" s="1" t="s">
        <v>661</v>
      </c>
      <c r="J863" s="1" t="s">
        <v>684</v>
      </c>
      <c r="K863" s="1" t="s">
        <v>666</v>
      </c>
      <c r="L863" s="1" t="s">
        <v>258</v>
      </c>
      <c r="M863" s="1" t="s">
        <v>1392</v>
      </c>
      <c r="N863" s="1" t="str">
        <f t="shared" si="13"/>
        <v>ADALTON/JANILSON RORIZ/MARIVALDO</v>
      </c>
    </row>
    <row r="864" spans="1:14" x14ac:dyDescent="0.3">
      <c r="A864" s="1">
        <v>705274</v>
      </c>
      <c r="B864" s="1" t="s">
        <v>1200</v>
      </c>
      <c r="C864" s="5" t="s">
        <v>15</v>
      </c>
      <c r="D864" s="2">
        <v>45762</v>
      </c>
      <c r="E864" s="1" t="s">
        <v>31</v>
      </c>
      <c r="F864" s="1">
        <v>24102</v>
      </c>
      <c r="G864" s="1" t="s">
        <v>669</v>
      </c>
      <c r="H864" s="1" t="s">
        <v>661</v>
      </c>
      <c r="J864" s="1" t="s">
        <v>680</v>
      </c>
      <c r="K864" s="1" t="s">
        <v>666</v>
      </c>
      <c r="L864" s="1" t="s">
        <v>1388</v>
      </c>
      <c r="M864" s="1" t="s">
        <v>1637</v>
      </c>
      <c r="N864" s="1" t="str">
        <f t="shared" si="13"/>
        <v>JUNIO TEIXEIRA /EDIVILSON</v>
      </c>
    </row>
    <row r="865" spans="1:14" x14ac:dyDescent="0.3">
      <c r="A865" s="1">
        <v>101078</v>
      </c>
      <c r="B865" s="1" t="s">
        <v>874</v>
      </c>
      <c r="C865" s="5" t="s">
        <v>15</v>
      </c>
      <c r="D865" s="2">
        <v>42667</v>
      </c>
      <c r="E865" s="1" t="s">
        <v>251</v>
      </c>
      <c r="F865" s="1">
        <v>39601</v>
      </c>
      <c r="G865" s="1" t="s">
        <v>660</v>
      </c>
      <c r="H865" s="1" t="s">
        <v>661</v>
      </c>
      <c r="J865" s="1" t="s">
        <v>662</v>
      </c>
      <c r="K865" s="1" t="s">
        <v>666</v>
      </c>
      <c r="L865" s="1" t="s">
        <v>258</v>
      </c>
      <c r="N865" s="1" t="str">
        <f t="shared" si="13"/>
        <v>MATHEUS ALMEIDA</v>
      </c>
    </row>
    <row r="866" spans="1:14" x14ac:dyDescent="0.3">
      <c r="A866" s="1">
        <v>705854</v>
      </c>
      <c r="B866" s="1" t="s">
        <v>1582</v>
      </c>
      <c r="C866" s="5" t="s">
        <v>15</v>
      </c>
      <c r="D866" s="2">
        <v>46063</v>
      </c>
      <c r="E866" s="1" t="s">
        <v>31</v>
      </c>
      <c r="F866" s="1">
        <v>24102</v>
      </c>
      <c r="G866" s="1" t="s">
        <v>669</v>
      </c>
      <c r="H866" s="1" t="s">
        <v>661</v>
      </c>
      <c r="J866" s="1" t="s">
        <v>670</v>
      </c>
      <c r="K866" s="1" t="s">
        <v>666</v>
      </c>
      <c r="L866" s="1" t="s">
        <v>1388</v>
      </c>
      <c r="M866" s="1" t="s">
        <v>1637</v>
      </c>
      <c r="N866" s="1" t="str">
        <f t="shared" si="13"/>
        <v>JUNIO TEIXEIRA /EDIVILSON</v>
      </c>
    </row>
    <row r="867" spans="1:14" x14ac:dyDescent="0.3">
      <c r="A867" s="1">
        <v>704401</v>
      </c>
      <c r="B867" s="1" t="s">
        <v>875</v>
      </c>
      <c r="C867" s="5" t="s">
        <v>15</v>
      </c>
      <c r="D867" s="2">
        <v>45391</v>
      </c>
      <c r="E867" s="1" t="s">
        <v>418</v>
      </c>
      <c r="F867" s="1">
        <v>39601</v>
      </c>
      <c r="G867" s="1" t="s">
        <v>660</v>
      </c>
      <c r="H867" s="1" t="s">
        <v>661</v>
      </c>
      <c r="J867" s="1" t="s">
        <v>684</v>
      </c>
      <c r="K867" s="1" t="s">
        <v>666</v>
      </c>
      <c r="L867" s="1" t="s">
        <v>258</v>
      </c>
      <c r="M867" s="1" t="s">
        <v>1392</v>
      </c>
      <c r="N867" s="1" t="str">
        <f t="shared" si="13"/>
        <v>ADALTON/JANILSON RORIZ/MARIVALDO</v>
      </c>
    </row>
    <row r="868" spans="1:14" x14ac:dyDescent="0.3">
      <c r="A868" s="1">
        <v>705488</v>
      </c>
      <c r="B868" s="1" t="s">
        <v>1306</v>
      </c>
      <c r="C868" s="5" t="s">
        <v>15</v>
      </c>
      <c r="D868" s="2">
        <v>45839</v>
      </c>
      <c r="E868" s="1" t="s">
        <v>31</v>
      </c>
      <c r="F868" s="1">
        <v>39601</v>
      </c>
      <c r="G868" s="1" t="s">
        <v>660</v>
      </c>
      <c r="H868" s="1" t="s">
        <v>661</v>
      </c>
      <c r="J868" s="1" t="s">
        <v>662</v>
      </c>
      <c r="K868" s="1" t="s">
        <v>666</v>
      </c>
      <c r="L868" s="1" t="s">
        <v>258</v>
      </c>
      <c r="N868" s="1" t="str">
        <f t="shared" si="13"/>
        <v>MATHEUS ALMEIDA</v>
      </c>
    </row>
    <row r="869" spans="1:14" x14ac:dyDescent="0.3">
      <c r="A869" s="1">
        <v>704394</v>
      </c>
      <c r="B869" s="1" t="s">
        <v>876</v>
      </c>
      <c r="C869" s="5" t="s">
        <v>15</v>
      </c>
      <c r="D869" s="2">
        <v>45391</v>
      </c>
      <c r="E869" s="1" t="s">
        <v>418</v>
      </c>
      <c r="F869" s="1">
        <v>39601</v>
      </c>
      <c r="G869" s="1" t="s">
        <v>660</v>
      </c>
      <c r="H869" s="1" t="s">
        <v>661</v>
      </c>
      <c r="J869" s="1" t="s">
        <v>684</v>
      </c>
      <c r="K869" s="1" t="s">
        <v>666</v>
      </c>
      <c r="L869" s="1" t="s">
        <v>258</v>
      </c>
      <c r="M869" s="1" t="s">
        <v>1392</v>
      </c>
      <c r="N869" s="1" t="str">
        <f t="shared" si="13"/>
        <v>ADALTON/JANILSON RORIZ/MARIVALDO</v>
      </c>
    </row>
    <row r="870" spans="1:14" x14ac:dyDescent="0.3">
      <c r="A870" s="1">
        <v>704421</v>
      </c>
      <c r="B870" s="1" t="s">
        <v>877</v>
      </c>
      <c r="C870" s="5" t="s">
        <v>15</v>
      </c>
      <c r="D870" s="2">
        <v>45398</v>
      </c>
      <c r="E870" s="1" t="s">
        <v>381</v>
      </c>
      <c r="F870" s="1">
        <v>39602</v>
      </c>
      <c r="G870" s="1" t="s">
        <v>699</v>
      </c>
      <c r="H870" s="1" t="s">
        <v>661</v>
      </c>
      <c r="J870" s="1" t="s">
        <v>700</v>
      </c>
      <c r="K870" s="1" t="s">
        <v>666</v>
      </c>
      <c r="L870" s="1" t="s">
        <v>258</v>
      </c>
      <c r="M870" s="1" t="s">
        <v>701</v>
      </c>
      <c r="N870" s="1" t="str">
        <f t="shared" si="13"/>
        <v>IURY GUEDES</v>
      </c>
    </row>
    <row r="871" spans="1:14" x14ac:dyDescent="0.3">
      <c r="A871" s="1">
        <v>704984</v>
      </c>
      <c r="B871" s="1" t="s">
        <v>878</v>
      </c>
      <c r="C871" s="5" t="s">
        <v>15</v>
      </c>
      <c r="D871" s="2">
        <v>45629</v>
      </c>
      <c r="E871" s="1" t="s">
        <v>31</v>
      </c>
      <c r="F871" s="1">
        <v>39601</v>
      </c>
      <c r="G871" s="1" t="s">
        <v>660</v>
      </c>
      <c r="H871" s="1" t="s">
        <v>661</v>
      </c>
      <c r="J871" s="1" t="s">
        <v>684</v>
      </c>
      <c r="K871" s="1" t="s">
        <v>666</v>
      </c>
      <c r="L871" s="1" t="s">
        <v>258</v>
      </c>
      <c r="M871" s="1" t="s">
        <v>1392</v>
      </c>
      <c r="N871" s="1" t="str">
        <f t="shared" si="13"/>
        <v>ADALTON/JANILSON RORIZ/MARIVALDO</v>
      </c>
    </row>
    <row r="872" spans="1:14" x14ac:dyDescent="0.3">
      <c r="A872" s="1">
        <v>704164</v>
      </c>
      <c r="B872" s="1" t="s">
        <v>879</v>
      </c>
      <c r="C872" s="5" t="s">
        <v>15</v>
      </c>
      <c r="D872" s="2">
        <v>45264</v>
      </c>
      <c r="E872" s="1" t="s">
        <v>31</v>
      </c>
      <c r="F872" s="1">
        <v>24102</v>
      </c>
      <c r="G872" s="1" t="s">
        <v>669</v>
      </c>
      <c r="H872" s="1" t="s">
        <v>661</v>
      </c>
      <c r="J872" s="1" t="s">
        <v>672</v>
      </c>
      <c r="K872" s="1" t="s">
        <v>666</v>
      </c>
      <c r="L872" s="1" t="s">
        <v>1388</v>
      </c>
      <c r="M872" s="1" t="s">
        <v>1637</v>
      </c>
      <c r="N872" s="1" t="str">
        <f t="shared" si="13"/>
        <v>JUNIO TEIXEIRA /EDIVILSON</v>
      </c>
    </row>
    <row r="873" spans="1:14" x14ac:dyDescent="0.3">
      <c r="A873" s="1">
        <v>705459</v>
      </c>
      <c r="B873" s="1" t="s">
        <v>1283</v>
      </c>
      <c r="C873" s="5" t="s">
        <v>15</v>
      </c>
      <c r="D873" s="2">
        <v>45812</v>
      </c>
      <c r="E873" s="1" t="s">
        <v>31</v>
      </c>
      <c r="F873" s="1">
        <v>39601</v>
      </c>
      <c r="G873" s="1" t="s">
        <v>660</v>
      </c>
      <c r="H873" s="1" t="s">
        <v>661</v>
      </c>
      <c r="J873" s="1" t="s">
        <v>662</v>
      </c>
      <c r="K873" s="1" t="s">
        <v>666</v>
      </c>
      <c r="L873" s="1" t="s">
        <v>258</v>
      </c>
      <c r="N873" s="1" t="str">
        <f t="shared" si="13"/>
        <v>MATHEUS ALMEIDA</v>
      </c>
    </row>
    <row r="874" spans="1:14" x14ac:dyDescent="0.3">
      <c r="A874" s="1">
        <v>701699</v>
      </c>
      <c r="B874" s="1" t="s">
        <v>880</v>
      </c>
      <c r="C874" s="5" t="s">
        <v>15</v>
      </c>
      <c r="D874" s="2">
        <v>44025</v>
      </c>
      <c r="E874" s="1" t="s">
        <v>141</v>
      </c>
      <c r="F874" s="1">
        <v>24102</v>
      </c>
      <c r="G874" s="1" t="s">
        <v>669</v>
      </c>
      <c r="H874" s="1" t="s">
        <v>661</v>
      </c>
      <c r="J874" s="1" t="s">
        <v>697</v>
      </c>
      <c r="K874" s="1" t="s">
        <v>666</v>
      </c>
      <c r="L874" s="1" t="s">
        <v>1390</v>
      </c>
      <c r="M874" s="1" t="s">
        <v>1391</v>
      </c>
      <c r="N874" s="1" t="str">
        <f t="shared" si="13"/>
        <v>ALCENO JUNIOR/JOÃO MARCOS</v>
      </c>
    </row>
    <row r="875" spans="1:14" x14ac:dyDescent="0.3">
      <c r="A875" s="1">
        <v>700084</v>
      </c>
      <c r="B875" s="1" t="s">
        <v>881</v>
      </c>
      <c r="C875" s="5" t="s">
        <v>15</v>
      </c>
      <c r="D875" s="2">
        <v>43150</v>
      </c>
      <c r="E875" s="1" t="s">
        <v>31</v>
      </c>
      <c r="F875" s="1">
        <v>24102</v>
      </c>
      <c r="G875" s="1" t="s">
        <v>669</v>
      </c>
      <c r="H875" s="1" t="s">
        <v>661</v>
      </c>
      <c r="J875" s="1" t="s">
        <v>672</v>
      </c>
      <c r="K875" s="1" t="s">
        <v>666</v>
      </c>
      <c r="L875" s="1" t="s">
        <v>1388</v>
      </c>
      <c r="M875" s="1" t="s">
        <v>1637</v>
      </c>
      <c r="N875" s="1" t="str">
        <f t="shared" si="13"/>
        <v>JUNIO TEIXEIRA /EDIVILSON</v>
      </c>
    </row>
    <row r="876" spans="1:14" x14ac:dyDescent="0.3">
      <c r="A876" s="1">
        <v>703699</v>
      </c>
      <c r="B876" s="1" t="s">
        <v>882</v>
      </c>
      <c r="C876" s="5" t="s">
        <v>15</v>
      </c>
      <c r="D876" s="2">
        <v>45019</v>
      </c>
      <c r="E876" s="1" t="s">
        <v>1086</v>
      </c>
      <c r="F876" s="1">
        <v>31103</v>
      </c>
      <c r="G876" s="1" t="s">
        <v>718</v>
      </c>
      <c r="H876" s="1" t="s">
        <v>661</v>
      </c>
      <c r="J876" s="1" t="s">
        <v>719</v>
      </c>
      <c r="K876" s="1" t="s">
        <v>1381</v>
      </c>
      <c r="N876" s="1" t="str">
        <f t="shared" si="13"/>
        <v>MARCOS OLIVEIRA</v>
      </c>
    </row>
    <row r="877" spans="1:14" x14ac:dyDescent="0.3">
      <c r="A877" s="1">
        <v>705200</v>
      </c>
      <c r="B877" s="1" t="s">
        <v>1173</v>
      </c>
      <c r="C877" s="5" t="s">
        <v>15</v>
      </c>
      <c r="D877" s="2">
        <v>45726</v>
      </c>
      <c r="E877" s="1" t="s">
        <v>31</v>
      </c>
      <c r="F877" s="1">
        <v>24102</v>
      </c>
      <c r="G877" s="1" t="s">
        <v>669</v>
      </c>
      <c r="H877" s="1" t="s">
        <v>661</v>
      </c>
      <c r="J877" s="1" t="s">
        <v>672</v>
      </c>
      <c r="K877" s="1" t="s">
        <v>666</v>
      </c>
      <c r="L877" s="1" t="s">
        <v>1388</v>
      </c>
      <c r="M877" s="1" t="s">
        <v>1637</v>
      </c>
      <c r="N877" s="1" t="str">
        <f t="shared" si="13"/>
        <v>JUNIO TEIXEIRA /EDIVILSON</v>
      </c>
    </row>
    <row r="878" spans="1:14" x14ac:dyDescent="0.3">
      <c r="A878" s="1">
        <v>705084</v>
      </c>
      <c r="B878" s="1" t="s">
        <v>884</v>
      </c>
      <c r="C878" s="5" t="s">
        <v>15</v>
      </c>
      <c r="D878" s="2">
        <v>45670</v>
      </c>
      <c r="E878" s="1" t="s">
        <v>31</v>
      </c>
      <c r="F878" s="1">
        <v>24102</v>
      </c>
      <c r="G878" s="1" t="s">
        <v>669</v>
      </c>
      <c r="H878" s="1" t="s">
        <v>661</v>
      </c>
      <c r="J878" s="1" t="s">
        <v>672</v>
      </c>
      <c r="K878" s="1" t="s">
        <v>666</v>
      </c>
      <c r="L878" s="1" t="s">
        <v>1388</v>
      </c>
      <c r="M878" s="1" t="s">
        <v>1637</v>
      </c>
      <c r="N878" s="1" t="str">
        <f t="shared" si="13"/>
        <v>JUNIO TEIXEIRA /EDIVILSON</v>
      </c>
    </row>
    <row r="879" spans="1:14" x14ac:dyDescent="0.3">
      <c r="A879" s="1">
        <v>703453</v>
      </c>
      <c r="B879" s="1" t="s">
        <v>885</v>
      </c>
      <c r="C879" s="5" t="s">
        <v>15</v>
      </c>
      <c r="D879" s="2">
        <v>44881</v>
      </c>
      <c r="E879" s="1" t="s">
        <v>31</v>
      </c>
      <c r="F879" s="1">
        <v>24201</v>
      </c>
      <c r="G879" s="1" t="s">
        <v>664</v>
      </c>
      <c r="H879" s="1" t="s">
        <v>661</v>
      </c>
      <c r="J879" s="1" t="s">
        <v>665</v>
      </c>
      <c r="K879" s="1" t="s">
        <v>666</v>
      </c>
      <c r="L879" s="1" t="s">
        <v>258</v>
      </c>
      <c r="M879" s="1" t="s">
        <v>667</v>
      </c>
      <c r="N879" s="1" t="str">
        <f t="shared" si="13"/>
        <v>JOSIEL NEVES</v>
      </c>
    </row>
    <row r="880" spans="1:14" x14ac:dyDescent="0.3">
      <c r="A880" s="1">
        <v>703273</v>
      </c>
      <c r="B880" s="1" t="s">
        <v>886</v>
      </c>
      <c r="C880" s="5" t="s">
        <v>15</v>
      </c>
      <c r="D880" s="2">
        <v>44781</v>
      </c>
      <c r="E880" s="1" t="s">
        <v>97</v>
      </c>
      <c r="F880" s="1">
        <v>32102</v>
      </c>
      <c r="G880" s="1" t="s">
        <v>674</v>
      </c>
      <c r="H880" s="1" t="s">
        <v>661</v>
      </c>
      <c r="J880" s="1" t="s">
        <v>675</v>
      </c>
      <c r="K880" s="1" t="s">
        <v>25</v>
      </c>
      <c r="L880" s="1" t="s">
        <v>1369</v>
      </c>
      <c r="M880" s="1" t="s">
        <v>1638</v>
      </c>
      <c r="N880" s="1" t="str">
        <f t="shared" si="13"/>
        <v>EDIVILSON MENEZES</v>
      </c>
    </row>
    <row r="881" spans="1:14" x14ac:dyDescent="0.3">
      <c r="A881" s="1">
        <v>704536</v>
      </c>
      <c r="B881" s="1" t="s">
        <v>887</v>
      </c>
      <c r="C881" s="5" t="s">
        <v>15</v>
      </c>
      <c r="D881" s="2">
        <v>45426</v>
      </c>
      <c r="E881" s="1" t="s">
        <v>31</v>
      </c>
      <c r="F881" s="1">
        <v>39601</v>
      </c>
      <c r="G881" s="1" t="s">
        <v>660</v>
      </c>
      <c r="H881" s="1" t="s">
        <v>661</v>
      </c>
      <c r="J881" s="1" t="s">
        <v>662</v>
      </c>
      <c r="K881" s="1" t="s">
        <v>666</v>
      </c>
      <c r="L881" s="1" t="s">
        <v>258</v>
      </c>
      <c r="N881" s="1" t="str">
        <f t="shared" si="13"/>
        <v>MATHEUS ALMEIDA</v>
      </c>
    </row>
    <row r="882" spans="1:14" x14ac:dyDescent="0.3">
      <c r="A882" s="1">
        <v>704921</v>
      </c>
      <c r="B882" s="1" t="s">
        <v>888</v>
      </c>
      <c r="C882" s="5" t="s">
        <v>15</v>
      </c>
      <c r="D882" s="2">
        <v>45601</v>
      </c>
      <c r="E882" s="1" t="s">
        <v>31</v>
      </c>
      <c r="F882" s="1">
        <v>39601</v>
      </c>
      <c r="G882" s="1" t="s">
        <v>660</v>
      </c>
      <c r="H882" s="1" t="s">
        <v>661</v>
      </c>
      <c r="J882" s="1" t="s">
        <v>662</v>
      </c>
      <c r="K882" s="1" t="s">
        <v>666</v>
      </c>
      <c r="L882" s="1" t="s">
        <v>258</v>
      </c>
      <c r="N882" s="1" t="str">
        <f t="shared" si="13"/>
        <v>MATHEUS ALMEIDA</v>
      </c>
    </row>
    <row r="883" spans="1:14" x14ac:dyDescent="0.3">
      <c r="A883" s="1">
        <v>705025</v>
      </c>
      <c r="B883" s="1" t="s">
        <v>889</v>
      </c>
      <c r="C883" s="5" t="s">
        <v>15</v>
      </c>
      <c r="D883" s="2">
        <v>45636</v>
      </c>
      <c r="E883" s="1" t="s">
        <v>31</v>
      </c>
      <c r="F883" s="1">
        <v>24102</v>
      </c>
      <c r="G883" s="1" t="s">
        <v>669</v>
      </c>
      <c r="H883" s="1" t="s">
        <v>661</v>
      </c>
      <c r="J883" s="1" t="s">
        <v>672</v>
      </c>
      <c r="K883" s="1" t="s">
        <v>666</v>
      </c>
      <c r="L883" s="1" t="s">
        <v>1388</v>
      </c>
      <c r="M883" s="1" t="s">
        <v>1637</v>
      </c>
      <c r="N883" s="1" t="str">
        <f t="shared" si="13"/>
        <v>JUNIO TEIXEIRA /EDIVILSON</v>
      </c>
    </row>
    <row r="884" spans="1:14" x14ac:dyDescent="0.3">
      <c r="A884" s="1">
        <v>101626</v>
      </c>
      <c r="B884" s="1" t="s">
        <v>890</v>
      </c>
      <c r="C884" s="5" t="s">
        <v>15</v>
      </c>
      <c r="D884" s="2">
        <v>43010</v>
      </c>
      <c r="E884" s="1" t="s">
        <v>111</v>
      </c>
      <c r="F884" s="1">
        <v>24102</v>
      </c>
      <c r="G884" s="1" t="s">
        <v>669</v>
      </c>
      <c r="H884" s="1" t="s">
        <v>661</v>
      </c>
      <c r="J884" s="1" t="s">
        <v>891</v>
      </c>
      <c r="K884" s="1" t="s">
        <v>666</v>
      </c>
      <c r="N884" s="1" t="str">
        <f t="shared" si="13"/>
        <v>CRISOSTOMO CASTRO</v>
      </c>
    </row>
    <row r="885" spans="1:14" x14ac:dyDescent="0.3">
      <c r="A885" s="1">
        <v>702066</v>
      </c>
      <c r="B885" s="1" t="s">
        <v>892</v>
      </c>
      <c r="C885" s="5" t="s">
        <v>15</v>
      </c>
      <c r="D885" s="2">
        <v>44264</v>
      </c>
      <c r="E885" s="1" t="s">
        <v>199</v>
      </c>
      <c r="F885" s="1">
        <v>24102</v>
      </c>
      <c r="G885" s="1" t="s">
        <v>669</v>
      </c>
      <c r="H885" s="1" t="s">
        <v>661</v>
      </c>
      <c r="J885" s="1" t="s">
        <v>682</v>
      </c>
      <c r="K885" s="1" t="s">
        <v>666</v>
      </c>
      <c r="L885" s="1" t="s">
        <v>1390</v>
      </c>
      <c r="M885" s="1" t="s">
        <v>1391</v>
      </c>
      <c r="N885" s="1" t="str">
        <f t="shared" si="13"/>
        <v>ALCENO JUNIOR/JOÃO MARCOS</v>
      </c>
    </row>
    <row r="886" spans="1:14" x14ac:dyDescent="0.3">
      <c r="A886" s="1">
        <v>705551</v>
      </c>
      <c r="B886" s="1" t="s">
        <v>1338</v>
      </c>
      <c r="C886" s="5" t="s">
        <v>15</v>
      </c>
      <c r="D886" s="2">
        <v>45874</v>
      </c>
      <c r="E886" s="1" t="s">
        <v>31</v>
      </c>
      <c r="F886" s="1">
        <v>39601</v>
      </c>
      <c r="G886" s="1" t="s">
        <v>660</v>
      </c>
      <c r="H886" s="1" t="s">
        <v>661</v>
      </c>
      <c r="J886" s="1" t="s">
        <v>684</v>
      </c>
      <c r="K886" s="1" t="s">
        <v>666</v>
      </c>
      <c r="L886" s="1" t="s">
        <v>258</v>
      </c>
      <c r="M886" s="1" t="s">
        <v>1392</v>
      </c>
      <c r="N886" s="1" t="str">
        <f t="shared" si="13"/>
        <v>ADALTON/JANILSON RORIZ/MARIVALDO</v>
      </c>
    </row>
    <row r="887" spans="1:14" x14ac:dyDescent="0.3">
      <c r="A887" s="1">
        <v>704006</v>
      </c>
      <c r="B887" s="1" t="s">
        <v>893</v>
      </c>
      <c r="C887" s="5" t="s">
        <v>15</v>
      </c>
      <c r="D887" s="2">
        <v>45118</v>
      </c>
      <c r="E887" s="1" t="s">
        <v>162</v>
      </c>
      <c r="F887" s="1">
        <v>32102</v>
      </c>
      <c r="G887" s="1" t="s">
        <v>674</v>
      </c>
      <c r="H887" s="1" t="s">
        <v>661</v>
      </c>
      <c r="J887" s="1" t="s">
        <v>675</v>
      </c>
      <c r="K887" s="1" t="s">
        <v>25</v>
      </c>
      <c r="L887" s="1" t="s">
        <v>1369</v>
      </c>
      <c r="M887" s="1" t="s">
        <v>1638</v>
      </c>
      <c r="N887" s="1" t="str">
        <f t="shared" si="13"/>
        <v>EDIVILSON MENEZES</v>
      </c>
    </row>
    <row r="888" spans="1:14" x14ac:dyDescent="0.3">
      <c r="A888" s="1">
        <v>700136</v>
      </c>
      <c r="B888" s="1" t="s">
        <v>895</v>
      </c>
      <c r="C888" s="5" t="s">
        <v>15</v>
      </c>
      <c r="D888" s="2">
        <v>43222</v>
      </c>
      <c r="E888" s="1" t="s">
        <v>336</v>
      </c>
      <c r="F888" s="1">
        <v>24102</v>
      </c>
      <c r="G888" s="1" t="s">
        <v>669</v>
      </c>
      <c r="H888" s="1" t="s">
        <v>661</v>
      </c>
      <c r="J888" s="1" t="s">
        <v>804</v>
      </c>
      <c r="K888" s="1" t="s">
        <v>666</v>
      </c>
      <c r="M888" s="1" t="s">
        <v>805</v>
      </c>
      <c r="N888" s="1" t="str">
        <f t="shared" si="13"/>
        <v>JAILSON RORIZ</v>
      </c>
    </row>
    <row r="889" spans="1:14" x14ac:dyDescent="0.3">
      <c r="A889" s="1">
        <v>702805</v>
      </c>
      <c r="B889" s="1" t="s">
        <v>896</v>
      </c>
      <c r="C889" s="5" t="s">
        <v>15</v>
      </c>
      <c r="D889" s="2">
        <v>44607</v>
      </c>
      <c r="E889" s="1" t="s">
        <v>31</v>
      </c>
      <c r="F889" s="1">
        <v>24102</v>
      </c>
      <c r="G889" s="1" t="s">
        <v>669</v>
      </c>
      <c r="H889" s="1" t="s">
        <v>661</v>
      </c>
      <c r="J889" s="1" t="s">
        <v>680</v>
      </c>
      <c r="K889" s="1" t="s">
        <v>666</v>
      </c>
      <c r="L889" s="1" t="s">
        <v>1388</v>
      </c>
      <c r="M889" s="1" t="s">
        <v>1637</v>
      </c>
      <c r="N889" s="1" t="str">
        <f t="shared" si="13"/>
        <v>JUNIO TEIXEIRA /EDIVILSON</v>
      </c>
    </row>
    <row r="890" spans="1:14" x14ac:dyDescent="0.3">
      <c r="A890" s="1">
        <v>702799</v>
      </c>
      <c r="B890" s="1" t="s">
        <v>898</v>
      </c>
      <c r="C890" s="5" t="s">
        <v>15</v>
      </c>
      <c r="D890" s="2">
        <v>44607</v>
      </c>
      <c r="E890" s="1" t="s">
        <v>138</v>
      </c>
      <c r="F890" s="1">
        <v>24102</v>
      </c>
      <c r="G890" s="1" t="s">
        <v>669</v>
      </c>
      <c r="H890" s="1" t="s">
        <v>661</v>
      </c>
      <c r="J890" s="1" t="s">
        <v>672</v>
      </c>
      <c r="K890" s="1" t="s">
        <v>666</v>
      </c>
      <c r="L890" s="1" t="s">
        <v>1388</v>
      </c>
      <c r="M890" s="1" t="s">
        <v>1637</v>
      </c>
      <c r="N890" s="1" t="str">
        <f t="shared" si="13"/>
        <v>JUNIO TEIXEIRA /EDIVILSON</v>
      </c>
    </row>
    <row r="891" spans="1:14" x14ac:dyDescent="0.3">
      <c r="A891" s="1">
        <v>700178</v>
      </c>
      <c r="B891" s="1" t="s">
        <v>899</v>
      </c>
      <c r="C891" s="5" t="s">
        <v>15</v>
      </c>
      <c r="D891" s="2">
        <v>43234</v>
      </c>
      <c r="E891" s="1" t="s">
        <v>507</v>
      </c>
      <c r="F891" s="1">
        <v>24201</v>
      </c>
      <c r="G891" s="1" t="s">
        <v>664</v>
      </c>
      <c r="H891" s="1" t="s">
        <v>661</v>
      </c>
      <c r="J891" s="1" t="s">
        <v>665</v>
      </c>
      <c r="K891" s="1" t="s">
        <v>666</v>
      </c>
      <c r="L891" s="1" t="s">
        <v>258</v>
      </c>
      <c r="M891" s="1" t="s">
        <v>667</v>
      </c>
      <c r="N891" s="1" t="str">
        <f t="shared" si="13"/>
        <v>JOSIEL NEVES</v>
      </c>
    </row>
    <row r="892" spans="1:14" x14ac:dyDescent="0.3">
      <c r="A892" s="1">
        <v>701367</v>
      </c>
      <c r="B892" s="1" t="s">
        <v>900</v>
      </c>
      <c r="C892" s="5" t="s">
        <v>15</v>
      </c>
      <c r="D892" s="2">
        <v>43759</v>
      </c>
      <c r="E892" s="1" t="s">
        <v>31</v>
      </c>
      <c r="F892" s="1">
        <v>24102</v>
      </c>
      <c r="G892" s="1" t="s">
        <v>669</v>
      </c>
      <c r="H892" s="1" t="s">
        <v>661</v>
      </c>
      <c r="J892" s="1" t="s">
        <v>672</v>
      </c>
      <c r="K892" s="1" t="s">
        <v>666</v>
      </c>
      <c r="L892" s="1" t="s">
        <v>1388</v>
      </c>
      <c r="M892" s="1" t="s">
        <v>1637</v>
      </c>
      <c r="N892" s="1" t="str">
        <f t="shared" si="13"/>
        <v>JUNIO TEIXEIRA /EDIVILSON</v>
      </c>
    </row>
    <row r="893" spans="1:14" x14ac:dyDescent="0.3">
      <c r="A893" s="1">
        <v>704555</v>
      </c>
      <c r="B893" s="1" t="s">
        <v>901</v>
      </c>
      <c r="C893" s="5" t="s">
        <v>15</v>
      </c>
      <c r="D893" s="2">
        <v>45426</v>
      </c>
      <c r="E893" s="1" t="s">
        <v>31</v>
      </c>
      <c r="F893" s="1">
        <v>39601</v>
      </c>
      <c r="G893" s="1" t="s">
        <v>660</v>
      </c>
      <c r="H893" s="1" t="s">
        <v>661</v>
      </c>
      <c r="J893" s="1" t="s">
        <v>684</v>
      </c>
      <c r="K893" s="1" t="s">
        <v>666</v>
      </c>
      <c r="L893" s="1" t="s">
        <v>258</v>
      </c>
      <c r="M893" s="1" t="s">
        <v>1392</v>
      </c>
      <c r="N893" s="1" t="str">
        <f t="shared" si="13"/>
        <v>ADALTON/JANILSON RORIZ/MARIVALDO</v>
      </c>
    </row>
    <row r="894" spans="1:14" x14ac:dyDescent="0.3">
      <c r="A894" s="1">
        <v>704516</v>
      </c>
      <c r="B894" s="1" t="s">
        <v>902</v>
      </c>
      <c r="C894" s="5" t="s">
        <v>15</v>
      </c>
      <c r="D894" s="2">
        <v>45420</v>
      </c>
      <c r="E894" s="1" t="s">
        <v>31</v>
      </c>
      <c r="F894" s="1">
        <v>39601</v>
      </c>
      <c r="G894" s="1" t="s">
        <v>660</v>
      </c>
      <c r="H894" s="1" t="s">
        <v>661</v>
      </c>
      <c r="J894" s="1" t="s">
        <v>684</v>
      </c>
      <c r="K894" s="1" t="s">
        <v>666</v>
      </c>
      <c r="L894" s="1" t="s">
        <v>258</v>
      </c>
      <c r="M894" s="1" t="s">
        <v>1392</v>
      </c>
      <c r="N894" s="1" t="str">
        <f t="shared" si="13"/>
        <v>ADALTON/JANILSON RORIZ/MARIVALDO</v>
      </c>
    </row>
    <row r="895" spans="1:14" x14ac:dyDescent="0.3">
      <c r="A895" s="1">
        <v>705665</v>
      </c>
      <c r="B895" s="1" t="s">
        <v>1431</v>
      </c>
      <c r="C895" s="5" t="s">
        <v>15</v>
      </c>
      <c r="D895" s="2">
        <v>45944</v>
      </c>
      <c r="E895" s="1" t="s">
        <v>31</v>
      </c>
      <c r="F895" s="1">
        <v>24102</v>
      </c>
      <c r="G895" s="1" t="s">
        <v>669</v>
      </c>
      <c r="H895" s="1" t="s">
        <v>661</v>
      </c>
      <c r="J895" s="1" t="s">
        <v>682</v>
      </c>
      <c r="K895" s="1" t="s">
        <v>666</v>
      </c>
      <c r="L895" s="1" t="s">
        <v>1390</v>
      </c>
      <c r="M895" s="1" t="s">
        <v>1391</v>
      </c>
      <c r="N895" s="1" t="str">
        <f t="shared" si="13"/>
        <v>ALCENO JUNIOR/JOÃO MARCOS</v>
      </c>
    </row>
    <row r="896" spans="1:14" x14ac:dyDescent="0.3">
      <c r="A896" s="1">
        <v>705077</v>
      </c>
      <c r="B896" s="1" t="s">
        <v>903</v>
      </c>
      <c r="C896" s="5" t="s">
        <v>15</v>
      </c>
      <c r="D896" s="2">
        <v>45671</v>
      </c>
      <c r="E896" s="1" t="s">
        <v>31</v>
      </c>
      <c r="F896" s="1">
        <v>24102</v>
      </c>
      <c r="G896" s="1" t="s">
        <v>669</v>
      </c>
      <c r="H896" s="1" t="s">
        <v>661</v>
      </c>
      <c r="J896" s="1" t="s">
        <v>672</v>
      </c>
      <c r="K896" s="1" t="s">
        <v>666</v>
      </c>
      <c r="L896" s="1" t="s">
        <v>1388</v>
      </c>
      <c r="M896" s="1" t="s">
        <v>1637</v>
      </c>
      <c r="N896" s="1" t="str">
        <f t="shared" si="13"/>
        <v>JUNIO TEIXEIRA /EDIVILSON</v>
      </c>
    </row>
    <row r="897" spans="1:14" x14ac:dyDescent="0.3">
      <c r="A897" s="1">
        <v>702906</v>
      </c>
      <c r="B897" s="1" t="s">
        <v>906</v>
      </c>
      <c r="C897" s="5" t="s">
        <v>15</v>
      </c>
      <c r="D897" s="2">
        <v>44656</v>
      </c>
      <c r="E897" s="1" t="s">
        <v>31</v>
      </c>
      <c r="F897" s="1">
        <v>24102</v>
      </c>
      <c r="G897" s="1" t="s">
        <v>669</v>
      </c>
      <c r="H897" s="1" t="s">
        <v>661</v>
      </c>
      <c r="J897" s="1" t="s">
        <v>697</v>
      </c>
      <c r="K897" s="1" t="s">
        <v>666</v>
      </c>
      <c r="L897" s="1" t="s">
        <v>1390</v>
      </c>
      <c r="M897" s="1" t="s">
        <v>1391</v>
      </c>
      <c r="N897" s="1" t="str">
        <f t="shared" si="13"/>
        <v>ALCENO JUNIOR/JOÃO MARCOS</v>
      </c>
    </row>
    <row r="898" spans="1:14" x14ac:dyDescent="0.3">
      <c r="A898" s="1">
        <v>704621</v>
      </c>
      <c r="B898" s="1" t="s">
        <v>907</v>
      </c>
      <c r="C898" s="5" t="s">
        <v>15</v>
      </c>
      <c r="D898" s="2">
        <v>45476</v>
      </c>
      <c r="E898" s="1" t="s">
        <v>31</v>
      </c>
      <c r="F898" s="1">
        <v>39601</v>
      </c>
      <c r="G898" s="1" t="s">
        <v>660</v>
      </c>
      <c r="H898" s="1" t="s">
        <v>661</v>
      </c>
      <c r="J898" s="1" t="s">
        <v>684</v>
      </c>
      <c r="K898" s="1" t="s">
        <v>666</v>
      </c>
      <c r="L898" s="1" t="s">
        <v>258</v>
      </c>
      <c r="M898" s="1" t="s">
        <v>1392</v>
      </c>
      <c r="N898" s="1" t="str">
        <f t="shared" si="13"/>
        <v>ADALTON/JANILSON RORIZ/MARIVALDO</v>
      </c>
    </row>
    <row r="899" spans="1:14" x14ac:dyDescent="0.3">
      <c r="A899" s="1">
        <v>701641</v>
      </c>
      <c r="B899" s="1" t="s">
        <v>908</v>
      </c>
      <c r="C899" s="5" t="s">
        <v>15</v>
      </c>
      <c r="D899" s="2">
        <v>44018</v>
      </c>
      <c r="E899" s="1" t="s">
        <v>22</v>
      </c>
      <c r="F899" s="1">
        <v>39601</v>
      </c>
      <c r="G899" s="1" t="s">
        <v>660</v>
      </c>
      <c r="H899" s="1" t="s">
        <v>661</v>
      </c>
      <c r="J899" s="1" t="s">
        <v>662</v>
      </c>
      <c r="K899" s="1" t="s">
        <v>666</v>
      </c>
      <c r="L899" s="1" t="s">
        <v>258</v>
      </c>
      <c r="N899" s="1" t="str">
        <f t="shared" ref="N899:N962" si="14">IF(M899&lt;&gt;"", M899, IF(L899&lt;&gt;"", L899, K899))</f>
        <v>MATHEUS ALMEIDA</v>
      </c>
    </row>
    <row r="900" spans="1:14" x14ac:dyDescent="0.3">
      <c r="A900" s="1">
        <v>704071</v>
      </c>
      <c r="B900" s="1" t="s">
        <v>909</v>
      </c>
      <c r="C900" s="5" t="s">
        <v>15</v>
      </c>
      <c r="D900" s="2">
        <v>45175</v>
      </c>
      <c r="E900" s="1" t="s">
        <v>507</v>
      </c>
      <c r="F900" s="1">
        <v>24201</v>
      </c>
      <c r="G900" s="1" t="s">
        <v>664</v>
      </c>
      <c r="H900" s="1" t="s">
        <v>661</v>
      </c>
      <c r="J900" s="1" t="s">
        <v>665</v>
      </c>
      <c r="K900" s="1" t="s">
        <v>666</v>
      </c>
      <c r="L900" s="1" t="s">
        <v>258</v>
      </c>
      <c r="M900" s="1" t="s">
        <v>667</v>
      </c>
      <c r="N900" s="1" t="str">
        <f t="shared" si="14"/>
        <v>JOSIEL NEVES</v>
      </c>
    </row>
    <row r="901" spans="1:14" x14ac:dyDescent="0.3">
      <c r="A901" s="1">
        <v>703401</v>
      </c>
      <c r="B901" s="1" t="s">
        <v>910</v>
      </c>
      <c r="C901" s="5" t="s">
        <v>15</v>
      </c>
      <c r="D901" s="2">
        <v>44852</v>
      </c>
      <c r="E901" s="1" t="s">
        <v>686</v>
      </c>
      <c r="F901" s="1">
        <v>39601</v>
      </c>
      <c r="G901" s="1" t="s">
        <v>660</v>
      </c>
      <c r="H901" s="1" t="s">
        <v>661</v>
      </c>
      <c r="J901" s="1" t="s">
        <v>684</v>
      </c>
      <c r="K901" s="1" t="s">
        <v>666</v>
      </c>
      <c r="L901" s="1" t="s">
        <v>258</v>
      </c>
      <c r="M901" s="1" t="s">
        <v>1392</v>
      </c>
      <c r="N901" s="1" t="str">
        <f t="shared" si="14"/>
        <v>ADALTON/JANILSON RORIZ/MARIVALDO</v>
      </c>
    </row>
    <row r="902" spans="1:14" x14ac:dyDescent="0.3">
      <c r="A902" s="1">
        <v>705461</v>
      </c>
      <c r="B902" s="1" t="s">
        <v>1284</v>
      </c>
      <c r="C902" s="5" t="s">
        <v>15</v>
      </c>
      <c r="D902" s="2">
        <v>45812</v>
      </c>
      <c r="E902" s="1" t="s">
        <v>31</v>
      </c>
      <c r="F902" s="1">
        <v>24102</v>
      </c>
      <c r="G902" s="1" t="s">
        <v>669</v>
      </c>
      <c r="H902" s="1" t="s">
        <v>661</v>
      </c>
      <c r="J902" s="1" t="s">
        <v>680</v>
      </c>
      <c r="K902" s="1" t="s">
        <v>666</v>
      </c>
      <c r="L902" s="1" t="s">
        <v>1388</v>
      </c>
      <c r="M902" s="1" t="s">
        <v>1637</v>
      </c>
      <c r="N902" s="1" t="str">
        <f t="shared" si="14"/>
        <v>JUNIO TEIXEIRA /EDIVILSON</v>
      </c>
    </row>
    <row r="903" spans="1:14" x14ac:dyDescent="0.3">
      <c r="A903" s="1">
        <v>704364</v>
      </c>
      <c r="B903" s="1" t="s">
        <v>911</v>
      </c>
      <c r="C903" s="5" t="s">
        <v>92</v>
      </c>
      <c r="D903" s="2">
        <v>45384</v>
      </c>
      <c r="E903" s="1" t="s">
        <v>16</v>
      </c>
      <c r="F903" s="1">
        <v>24102</v>
      </c>
      <c r="G903" s="1" t="s">
        <v>669</v>
      </c>
      <c r="H903" s="1" t="s">
        <v>661</v>
      </c>
      <c r="I903" s="2">
        <v>46093</v>
      </c>
      <c r="J903" s="1" t="s">
        <v>682</v>
      </c>
      <c r="K903" s="1" t="s">
        <v>666</v>
      </c>
      <c r="L903" s="1" t="s">
        <v>1390</v>
      </c>
      <c r="M903" s="1" t="s">
        <v>1391</v>
      </c>
      <c r="N903" s="1" t="str">
        <f t="shared" si="14"/>
        <v>ALCENO JUNIOR/JOÃO MARCOS</v>
      </c>
    </row>
    <row r="904" spans="1:14" x14ac:dyDescent="0.3">
      <c r="A904" s="1">
        <v>701338</v>
      </c>
      <c r="B904" s="1" t="s">
        <v>912</v>
      </c>
      <c r="C904" s="5" t="s">
        <v>15</v>
      </c>
      <c r="D904" s="2">
        <v>43759</v>
      </c>
      <c r="E904" s="1" t="s">
        <v>138</v>
      </c>
      <c r="F904" s="1">
        <v>24102</v>
      </c>
      <c r="G904" s="1" t="s">
        <v>669</v>
      </c>
      <c r="H904" s="1" t="s">
        <v>661</v>
      </c>
      <c r="J904" s="1" t="s">
        <v>682</v>
      </c>
      <c r="K904" s="1" t="s">
        <v>666</v>
      </c>
      <c r="L904" s="1" t="s">
        <v>1390</v>
      </c>
      <c r="M904" s="1" t="s">
        <v>1391</v>
      </c>
      <c r="N904" s="1" t="str">
        <f t="shared" si="14"/>
        <v>ALCENO JUNIOR/JOÃO MARCOS</v>
      </c>
    </row>
    <row r="905" spans="1:14" x14ac:dyDescent="0.3">
      <c r="A905" s="1">
        <v>701942</v>
      </c>
      <c r="B905" s="1" t="s">
        <v>913</v>
      </c>
      <c r="C905" s="5" t="s">
        <v>15</v>
      </c>
      <c r="D905" s="2">
        <v>44153</v>
      </c>
      <c r="E905" s="1" t="s">
        <v>794</v>
      </c>
      <c r="F905" s="1">
        <v>39602</v>
      </c>
      <c r="G905" s="1" t="s">
        <v>699</v>
      </c>
      <c r="H905" s="1" t="s">
        <v>661</v>
      </c>
      <c r="J905" s="1" t="s">
        <v>700</v>
      </c>
      <c r="K905" s="1" t="s">
        <v>666</v>
      </c>
      <c r="L905" s="1" t="s">
        <v>258</v>
      </c>
      <c r="M905" s="1" t="s">
        <v>701</v>
      </c>
      <c r="N905" s="1" t="str">
        <f t="shared" si="14"/>
        <v>IURY GUEDES</v>
      </c>
    </row>
    <row r="906" spans="1:14" x14ac:dyDescent="0.3">
      <c r="A906" s="1">
        <v>701307</v>
      </c>
      <c r="B906" s="1" t="s">
        <v>914</v>
      </c>
      <c r="C906" s="5" t="s">
        <v>15</v>
      </c>
      <c r="D906" s="2">
        <v>39510</v>
      </c>
      <c r="E906" s="1" t="s">
        <v>255</v>
      </c>
      <c r="F906" s="1">
        <v>24102</v>
      </c>
      <c r="G906" s="1" t="s">
        <v>669</v>
      </c>
      <c r="H906" s="1" t="s">
        <v>661</v>
      </c>
      <c r="J906" s="1" t="s">
        <v>670</v>
      </c>
      <c r="K906" s="1" t="s">
        <v>666</v>
      </c>
      <c r="L906" s="1" t="s">
        <v>1388</v>
      </c>
      <c r="M906" s="1" t="s">
        <v>1637</v>
      </c>
      <c r="N906" s="1" t="str">
        <f t="shared" si="14"/>
        <v>JUNIO TEIXEIRA /EDIVILSON</v>
      </c>
    </row>
    <row r="907" spans="1:14" x14ac:dyDescent="0.3">
      <c r="A907" s="1">
        <v>101765</v>
      </c>
      <c r="B907" s="1" t="s">
        <v>915</v>
      </c>
      <c r="C907" s="5" t="s">
        <v>15</v>
      </c>
      <c r="D907" s="2">
        <v>43073</v>
      </c>
      <c r="E907" s="1" t="s">
        <v>507</v>
      </c>
      <c r="F907" s="1">
        <v>24102</v>
      </c>
      <c r="G907" s="1" t="s">
        <v>669</v>
      </c>
      <c r="H907" s="1" t="s">
        <v>661</v>
      </c>
      <c r="J907" s="1" t="s">
        <v>682</v>
      </c>
      <c r="K907" s="1" t="s">
        <v>666</v>
      </c>
      <c r="L907" s="1" t="s">
        <v>1390</v>
      </c>
      <c r="M907" s="1" t="s">
        <v>1391</v>
      </c>
      <c r="N907" s="1" t="str">
        <f t="shared" si="14"/>
        <v>ALCENO JUNIOR/JOÃO MARCOS</v>
      </c>
    </row>
    <row r="908" spans="1:14" x14ac:dyDescent="0.3">
      <c r="A908" s="1">
        <v>703724</v>
      </c>
      <c r="B908" s="1" t="s">
        <v>916</v>
      </c>
      <c r="C908" s="5" t="s">
        <v>15</v>
      </c>
      <c r="D908" s="2">
        <v>45026</v>
      </c>
      <c r="E908" s="1" t="s">
        <v>16</v>
      </c>
      <c r="F908" s="1">
        <v>24102</v>
      </c>
      <c r="G908" s="1" t="s">
        <v>669</v>
      </c>
      <c r="H908" s="1" t="s">
        <v>661</v>
      </c>
      <c r="J908" s="1" t="s">
        <v>682</v>
      </c>
      <c r="K908" s="1" t="s">
        <v>666</v>
      </c>
      <c r="L908" s="1" t="s">
        <v>1390</v>
      </c>
      <c r="M908" s="1" t="s">
        <v>1391</v>
      </c>
      <c r="N908" s="1" t="str">
        <f t="shared" si="14"/>
        <v>ALCENO JUNIOR/JOÃO MARCOS</v>
      </c>
    </row>
    <row r="909" spans="1:14" x14ac:dyDescent="0.3">
      <c r="A909" s="1">
        <v>704785</v>
      </c>
      <c r="B909" s="1" t="s">
        <v>917</v>
      </c>
      <c r="C909" s="5" t="s">
        <v>15</v>
      </c>
      <c r="D909" s="2">
        <v>45551</v>
      </c>
      <c r="E909" s="1" t="s">
        <v>418</v>
      </c>
      <c r="F909" s="1">
        <v>39601</v>
      </c>
      <c r="G909" s="1" t="s">
        <v>660</v>
      </c>
      <c r="H909" s="1" t="s">
        <v>661</v>
      </c>
      <c r="J909" s="1" t="s">
        <v>684</v>
      </c>
      <c r="K909" s="1" t="s">
        <v>666</v>
      </c>
      <c r="L909" s="1" t="s">
        <v>258</v>
      </c>
      <c r="M909" s="1" t="s">
        <v>1392</v>
      </c>
      <c r="N909" s="1" t="str">
        <f t="shared" si="14"/>
        <v>ADALTON/JANILSON RORIZ/MARIVALDO</v>
      </c>
    </row>
    <row r="910" spans="1:14" x14ac:dyDescent="0.3">
      <c r="A910" s="1">
        <v>704253</v>
      </c>
      <c r="B910" s="1" t="s">
        <v>918</v>
      </c>
      <c r="C910" s="5" t="s">
        <v>15</v>
      </c>
      <c r="D910" s="2">
        <v>45342</v>
      </c>
      <c r="E910" s="1" t="s">
        <v>31</v>
      </c>
      <c r="F910" s="1">
        <v>24102</v>
      </c>
      <c r="G910" s="1" t="s">
        <v>669</v>
      </c>
      <c r="H910" s="1" t="s">
        <v>661</v>
      </c>
      <c r="J910" s="1" t="s">
        <v>680</v>
      </c>
      <c r="K910" s="1" t="s">
        <v>666</v>
      </c>
      <c r="L910" s="1" t="s">
        <v>1388</v>
      </c>
      <c r="M910" s="1" t="s">
        <v>1637</v>
      </c>
      <c r="N910" s="1" t="str">
        <f t="shared" si="14"/>
        <v>JUNIO TEIXEIRA /EDIVILSON</v>
      </c>
    </row>
    <row r="911" spans="1:14" x14ac:dyDescent="0.3">
      <c r="A911" s="1">
        <v>705727</v>
      </c>
      <c r="B911" s="1" t="s">
        <v>1466</v>
      </c>
      <c r="C911" s="5" t="s">
        <v>15</v>
      </c>
      <c r="D911" s="2">
        <v>45972</v>
      </c>
      <c r="E911" s="1" t="s">
        <v>31</v>
      </c>
      <c r="F911" s="1">
        <v>24201</v>
      </c>
      <c r="G911" s="1" t="s">
        <v>664</v>
      </c>
      <c r="H911" s="1" t="s">
        <v>661</v>
      </c>
      <c r="J911" s="1" t="s">
        <v>665</v>
      </c>
      <c r="K911" s="1" t="s">
        <v>666</v>
      </c>
      <c r="L911" s="1" t="s">
        <v>258</v>
      </c>
      <c r="M911" s="1" t="s">
        <v>667</v>
      </c>
      <c r="N911" s="1" t="str">
        <f t="shared" si="14"/>
        <v>JOSIEL NEVES</v>
      </c>
    </row>
    <row r="912" spans="1:14" x14ac:dyDescent="0.3">
      <c r="A912" s="1">
        <v>702531</v>
      </c>
      <c r="B912" s="1" t="s">
        <v>919</v>
      </c>
      <c r="C912" s="5" t="s">
        <v>15</v>
      </c>
      <c r="D912" s="2">
        <v>44418</v>
      </c>
      <c r="E912" s="1" t="s">
        <v>109</v>
      </c>
      <c r="F912" s="1">
        <v>32102</v>
      </c>
      <c r="G912" s="1" t="s">
        <v>674</v>
      </c>
      <c r="H912" s="1" t="s">
        <v>661</v>
      </c>
      <c r="J912" s="1" t="s">
        <v>675</v>
      </c>
      <c r="K912" s="1" t="s">
        <v>25</v>
      </c>
      <c r="L912" s="1" t="s">
        <v>1369</v>
      </c>
      <c r="M912" s="1" t="s">
        <v>1638</v>
      </c>
      <c r="N912" s="1" t="str">
        <f t="shared" si="14"/>
        <v>EDIVILSON MENEZES</v>
      </c>
    </row>
    <row r="913" spans="1:14" x14ac:dyDescent="0.3">
      <c r="A913" s="1">
        <v>702935</v>
      </c>
      <c r="B913" s="1" t="s">
        <v>920</v>
      </c>
      <c r="C913" s="5" t="s">
        <v>15</v>
      </c>
      <c r="D913" s="2">
        <v>44663</v>
      </c>
      <c r="E913" s="1" t="s">
        <v>31</v>
      </c>
      <c r="F913" s="1">
        <v>24102</v>
      </c>
      <c r="G913" s="1" t="s">
        <v>669</v>
      </c>
      <c r="H913" s="1" t="s">
        <v>661</v>
      </c>
      <c r="J913" s="1" t="s">
        <v>680</v>
      </c>
      <c r="K913" s="1" t="s">
        <v>666</v>
      </c>
      <c r="L913" s="1" t="s">
        <v>1388</v>
      </c>
      <c r="M913" s="1" t="s">
        <v>1637</v>
      </c>
      <c r="N913" s="1" t="str">
        <f t="shared" si="14"/>
        <v>JUNIO TEIXEIRA /EDIVILSON</v>
      </c>
    </row>
    <row r="914" spans="1:14" x14ac:dyDescent="0.3">
      <c r="A914" s="1">
        <v>100789</v>
      </c>
      <c r="B914" s="1" t="s">
        <v>921</v>
      </c>
      <c r="C914" s="5" t="s">
        <v>15</v>
      </c>
      <c r="D914" s="2">
        <v>42240</v>
      </c>
      <c r="E914" s="1" t="s">
        <v>199</v>
      </c>
      <c r="F914" s="1">
        <v>24201</v>
      </c>
      <c r="G914" s="1" t="s">
        <v>664</v>
      </c>
      <c r="H914" s="1" t="s">
        <v>661</v>
      </c>
      <c r="J914" s="1" t="s">
        <v>665</v>
      </c>
      <c r="K914" s="1" t="s">
        <v>666</v>
      </c>
      <c r="L914" s="1" t="s">
        <v>258</v>
      </c>
      <c r="M914" s="1" t="s">
        <v>667</v>
      </c>
      <c r="N914" s="1" t="str">
        <f t="shared" si="14"/>
        <v>JOSIEL NEVES</v>
      </c>
    </row>
    <row r="915" spans="1:14" x14ac:dyDescent="0.3">
      <c r="A915" s="1">
        <v>700444</v>
      </c>
      <c r="B915" s="1" t="s">
        <v>922</v>
      </c>
      <c r="C915" s="5" t="s">
        <v>15</v>
      </c>
      <c r="D915" s="2">
        <v>43326</v>
      </c>
      <c r="E915" s="1" t="s">
        <v>31</v>
      </c>
      <c r="F915" s="1">
        <v>24102</v>
      </c>
      <c r="G915" s="1" t="s">
        <v>669</v>
      </c>
      <c r="H915" s="1" t="s">
        <v>661</v>
      </c>
      <c r="J915" s="1" t="s">
        <v>680</v>
      </c>
      <c r="K915" s="1" t="s">
        <v>666</v>
      </c>
      <c r="L915" s="1" t="s">
        <v>1388</v>
      </c>
      <c r="M915" s="1" t="s">
        <v>1637</v>
      </c>
      <c r="N915" s="1" t="str">
        <f t="shared" si="14"/>
        <v>JUNIO TEIXEIRA /EDIVILSON</v>
      </c>
    </row>
    <row r="916" spans="1:14" x14ac:dyDescent="0.3">
      <c r="A916" s="1">
        <v>704938</v>
      </c>
      <c r="B916" s="1" t="s">
        <v>923</v>
      </c>
      <c r="C916" s="5" t="s">
        <v>15</v>
      </c>
      <c r="D916" s="2">
        <v>45607</v>
      </c>
      <c r="E916" s="1" t="s">
        <v>31</v>
      </c>
      <c r="F916" s="1">
        <v>39601</v>
      </c>
      <c r="G916" s="1" t="s">
        <v>660</v>
      </c>
      <c r="H916" s="1" t="s">
        <v>661</v>
      </c>
      <c r="J916" s="1" t="s">
        <v>662</v>
      </c>
      <c r="K916" s="1" t="s">
        <v>666</v>
      </c>
      <c r="L916" s="1" t="s">
        <v>258</v>
      </c>
      <c r="N916" s="1" t="str">
        <f t="shared" si="14"/>
        <v>MATHEUS ALMEIDA</v>
      </c>
    </row>
    <row r="917" spans="1:14" x14ac:dyDescent="0.3">
      <c r="A917" s="1">
        <v>700901</v>
      </c>
      <c r="B917" s="1" t="s">
        <v>924</v>
      </c>
      <c r="C917" s="5" t="s">
        <v>92</v>
      </c>
      <c r="D917" s="2">
        <v>43529</v>
      </c>
      <c r="E917" s="1" t="s">
        <v>166</v>
      </c>
      <c r="F917" s="1">
        <v>24102</v>
      </c>
      <c r="G917" s="1" t="s">
        <v>669</v>
      </c>
      <c r="H917" s="1" t="s">
        <v>661</v>
      </c>
      <c r="I917" s="2">
        <v>46093</v>
      </c>
      <c r="J917" s="1" t="s">
        <v>682</v>
      </c>
      <c r="K917" s="1" t="s">
        <v>666</v>
      </c>
      <c r="L917" s="1" t="s">
        <v>1390</v>
      </c>
      <c r="M917" s="1" t="s">
        <v>1391</v>
      </c>
      <c r="N917" s="1" t="str">
        <f t="shared" si="14"/>
        <v>ALCENO JUNIOR/JOÃO MARCOS</v>
      </c>
    </row>
    <row r="918" spans="1:14" x14ac:dyDescent="0.3">
      <c r="A918" s="1">
        <v>704333</v>
      </c>
      <c r="B918" s="1" t="s">
        <v>925</v>
      </c>
      <c r="C918" s="5" t="s">
        <v>15</v>
      </c>
      <c r="D918" s="2">
        <v>45363</v>
      </c>
      <c r="E918" s="1" t="s">
        <v>31</v>
      </c>
      <c r="F918" s="1">
        <v>24102</v>
      </c>
      <c r="G918" s="1" t="s">
        <v>669</v>
      </c>
      <c r="H918" s="1" t="s">
        <v>661</v>
      </c>
      <c r="J918" s="1" t="s">
        <v>672</v>
      </c>
      <c r="K918" s="1" t="s">
        <v>666</v>
      </c>
      <c r="L918" s="1" t="s">
        <v>1388</v>
      </c>
      <c r="M918" s="1" t="s">
        <v>1637</v>
      </c>
      <c r="N918" s="1" t="str">
        <f t="shared" si="14"/>
        <v>JUNIO TEIXEIRA /EDIVILSON</v>
      </c>
    </row>
    <row r="919" spans="1:14" x14ac:dyDescent="0.3">
      <c r="A919" s="1">
        <v>700355</v>
      </c>
      <c r="B919" s="1" t="s">
        <v>926</v>
      </c>
      <c r="C919" s="5" t="s">
        <v>15</v>
      </c>
      <c r="D919" s="2">
        <v>43297</v>
      </c>
      <c r="E919" s="1" t="s">
        <v>16</v>
      </c>
      <c r="F919" s="1">
        <v>24102</v>
      </c>
      <c r="G919" s="1" t="s">
        <v>669</v>
      </c>
      <c r="H919" s="1" t="s">
        <v>661</v>
      </c>
      <c r="J919" s="1" t="s">
        <v>682</v>
      </c>
      <c r="K919" s="1" t="s">
        <v>666</v>
      </c>
      <c r="L919" s="1" t="s">
        <v>1390</v>
      </c>
      <c r="M919" s="1" t="s">
        <v>1391</v>
      </c>
      <c r="N919" s="1" t="str">
        <f t="shared" si="14"/>
        <v>ALCENO JUNIOR/JOÃO MARCOS</v>
      </c>
    </row>
    <row r="920" spans="1:14" x14ac:dyDescent="0.3">
      <c r="A920" s="1">
        <v>705776</v>
      </c>
      <c r="B920" s="1" t="s">
        <v>1500</v>
      </c>
      <c r="C920" s="5" t="s">
        <v>92</v>
      </c>
      <c r="D920" s="2">
        <v>45993</v>
      </c>
      <c r="E920" s="1" t="s">
        <v>129</v>
      </c>
      <c r="F920" s="1">
        <v>31103</v>
      </c>
      <c r="G920" s="1" t="s">
        <v>718</v>
      </c>
      <c r="H920" s="1" t="s">
        <v>661</v>
      </c>
      <c r="I920" s="2">
        <v>46082</v>
      </c>
      <c r="J920" s="1" t="s">
        <v>719</v>
      </c>
      <c r="K920" s="1" t="s">
        <v>1381</v>
      </c>
      <c r="N920" s="1" t="str">
        <f t="shared" si="14"/>
        <v>MARCOS OLIVEIRA</v>
      </c>
    </row>
    <row r="921" spans="1:14" x14ac:dyDescent="0.3">
      <c r="A921" s="1">
        <v>701406</v>
      </c>
      <c r="B921" s="1" t="s">
        <v>927</v>
      </c>
      <c r="C921" s="5" t="s">
        <v>15</v>
      </c>
      <c r="D921" s="2">
        <v>43773</v>
      </c>
      <c r="E921" s="1" t="s">
        <v>260</v>
      </c>
      <c r="F921" s="1">
        <v>24102</v>
      </c>
      <c r="G921" s="1" t="s">
        <v>669</v>
      </c>
      <c r="H921" s="1" t="s">
        <v>661</v>
      </c>
      <c r="J921" s="1" t="s">
        <v>672</v>
      </c>
      <c r="K921" s="1" t="s">
        <v>666</v>
      </c>
      <c r="L921" s="1" t="s">
        <v>1388</v>
      </c>
      <c r="M921" s="1" t="s">
        <v>1637</v>
      </c>
      <c r="N921" s="1" t="str">
        <f t="shared" si="14"/>
        <v>JUNIO TEIXEIRA /EDIVILSON</v>
      </c>
    </row>
    <row r="922" spans="1:14" x14ac:dyDescent="0.3">
      <c r="A922" s="1">
        <v>705872</v>
      </c>
      <c r="B922" s="1" t="s">
        <v>1583</v>
      </c>
      <c r="C922" s="5" t="s">
        <v>15</v>
      </c>
      <c r="D922" s="2">
        <v>46063</v>
      </c>
      <c r="E922" s="1" t="s">
        <v>31</v>
      </c>
      <c r="F922" s="1">
        <v>24102</v>
      </c>
      <c r="G922" s="1" t="s">
        <v>669</v>
      </c>
      <c r="H922" s="1" t="s">
        <v>661</v>
      </c>
      <c r="J922" s="1" t="s">
        <v>672</v>
      </c>
      <c r="K922" s="1" t="s">
        <v>666</v>
      </c>
      <c r="L922" s="1" t="s">
        <v>1388</v>
      </c>
      <c r="M922" s="1" t="s">
        <v>1637</v>
      </c>
      <c r="N922" s="1" t="str">
        <f t="shared" si="14"/>
        <v>JUNIO TEIXEIRA /EDIVILSON</v>
      </c>
    </row>
    <row r="923" spans="1:14" x14ac:dyDescent="0.3">
      <c r="A923" s="1">
        <v>703721</v>
      </c>
      <c r="B923" s="1" t="s">
        <v>928</v>
      </c>
      <c r="C923" s="5" t="s">
        <v>15</v>
      </c>
      <c r="D923" s="2">
        <v>45026</v>
      </c>
      <c r="E923" s="1" t="s">
        <v>146</v>
      </c>
      <c r="F923" s="1">
        <v>39601</v>
      </c>
      <c r="G923" s="1" t="s">
        <v>660</v>
      </c>
      <c r="H923" s="1" t="s">
        <v>661</v>
      </c>
      <c r="J923" s="1" t="s">
        <v>684</v>
      </c>
      <c r="K923" s="1" t="s">
        <v>666</v>
      </c>
      <c r="L923" s="1" t="s">
        <v>258</v>
      </c>
      <c r="M923" s="1" t="s">
        <v>1392</v>
      </c>
      <c r="N923" s="1" t="str">
        <f t="shared" si="14"/>
        <v>ADALTON/JANILSON RORIZ/MARIVALDO</v>
      </c>
    </row>
    <row r="924" spans="1:14" x14ac:dyDescent="0.3">
      <c r="A924" s="1">
        <v>703940</v>
      </c>
      <c r="B924" s="1" t="s">
        <v>929</v>
      </c>
      <c r="C924" s="5" t="s">
        <v>15</v>
      </c>
      <c r="D924" s="2">
        <v>45089</v>
      </c>
      <c r="E924" s="1" t="s">
        <v>27</v>
      </c>
      <c r="F924" s="1">
        <v>39601</v>
      </c>
      <c r="G924" s="1" t="s">
        <v>660</v>
      </c>
      <c r="H924" s="1" t="s">
        <v>661</v>
      </c>
      <c r="J924" s="1" t="s">
        <v>684</v>
      </c>
      <c r="K924" s="1" t="s">
        <v>666</v>
      </c>
      <c r="L924" s="1" t="s">
        <v>258</v>
      </c>
      <c r="M924" s="1" t="s">
        <v>1392</v>
      </c>
      <c r="N924" s="1" t="str">
        <f t="shared" si="14"/>
        <v>ADALTON/JANILSON RORIZ/MARIVALDO</v>
      </c>
    </row>
    <row r="925" spans="1:14" x14ac:dyDescent="0.3">
      <c r="A925" s="1">
        <v>705847</v>
      </c>
      <c r="B925" s="1" t="s">
        <v>1584</v>
      </c>
      <c r="C925" s="5" t="s">
        <v>15</v>
      </c>
      <c r="D925" s="2">
        <v>46063</v>
      </c>
      <c r="E925" s="1" t="s">
        <v>31</v>
      </c>
      <c r="F925" s="1">
        <v>24102</v>
      </c>
      <c r="G925" s="1" t="s">
        <v>669</v>
      </c>
      <c r="H925" s="1" t="s">
        <v>661</v>
      </c>
      <c r="J925" s="1" t="s">
        <v>672</v>
      </c>
      <c r="K925" s="1" t="s">
        <v>666</v>
      </c>
      <c r="L925" s="1" t="s">
        <v>1388</v>
      </c>
      <c r="M925" s="1" t="s">
        <v>1637</v>
      </c>
      <c r="N925" s="1" t="str">
        <f t="shared" si="14"/>
        <v>JUNIO TEIXEIRA /EDIVILSON</v>
      </c>
    </row>
    <row r="926" spans="1:14" x14ac:dyDescent="0.3">
      <c r="A926" s="1">
        <v>704722</v>
      </c>
      <c r="B926" s="1" t="s">
        <v>930</v>
      </c>
      <c r="C926" s="5" t="s">
        <v>15</v>
      </c>
      <c r="D926" s="2">
        <v>45518</v>
      </c>
      <c r="E926" s="1" t="s">
        <v>27</v>
      </c>
      <c r="F926" s="1">
        <v>39601</v>
      </c>
      <c r="G926" s="1" t="s">
        <v>660</v>
      </c>
      <c r="H926" s="1" t="s">
        <v>661</v>
      </c>
      <c r="J926" s="1" t="s">
        <v>684</v>
      </c>
      <c r="K926" s="1" t="s">
        <v>666</v>
      </c>
      <c r="L926" s="1" t="s">
        <v>258</v>
      </c>
      <c r="M926" s="1" t="s">
        <v>1392</v>
      </c>
      <c r="N926" s="1" t="str">
        <f t="shared" si="14"/>
        <v>ADALTON/JANILSON RORIZ/MARIVALDO</v>
      </c>
    </row>
    <row r="927" spans="1:14" x14ac:dyDescent="0.3">
      <c r="A927" s="1">
        <v>704321</v>
      </c>
      <c r="B927" s="1" t="s">
        <v>931</v>
      </c>
      <c r="C927" s="5" t="s">
        <v>15</v>
      </c>
      <c r="D927" s="2">
        <v>45356</v>
      </c>
      <c r="E927" s="1" t="s">
        <v>31</v>
      </c>
      <c r="F927" s="1">
        <v>24102</v>
      </c>
      <c r="G927" s="1" t="s">
        <v>669</v>
      </c>
      <c r="H927" s="1" t="s">
        <v>661</v>
      </c>
      <c r="J927" s="1" t="s">
        <v>670</v>
      </c>
      <c r="K927" s="1" t="s">
        <v>666</v>
      </c>
      <c r="L927" s="1" t="s">
        <v>1388</v>
      </c>
      <c r="M927" s="1" t="s">
        <v>1637</v>
      </c>
      <c r="N927" s="1" t="str">
        <f t="shared" si="14"/>
        <v>JUNIO TEIXEIRA /EDIVILSON</v>
      </c>
    </row>
    <row r="928" spans="1:14" x14ac:dyDescent="0.3">
      <c r="A928" s="1">
        <v>705849</v>
      </c>
      <c r="B928" s="1" t="s">
        <v>1585</v>
      </c>
      <c r="C928" s="5" t="s">
        <v>15</v>
      </c>
      <c r="D928" s="2">
        <v>46063</v>
      </c>
      <c r="E928" s="1" t="s">
        <v>31</v>
      </c>
      <c r="F928" s="1">
        <v>24102</v>
      </c>
      <c r="G928" s="1" t="s">
        <v>669</v>
      </c>
      <c r="H928" s="1" t="s">
        <v>661</v>
      </c>
      <c r="J928" s="1" t="s">
        <v>672</v>
      </c>
      <c r="K928" s="1" t="s">
        <v>666</v>
      </c>
      <c r="L928" s="1" t="s">
        <v>1388</v>
      </c>
      <c r="M928" s="1" t="s">
        <v>1637</v>
      </c>
      <c r="N928" s="1" t="str">
        <f t="shared" si="14"/>
        <v>JUNIO TEIXEIRA /EDIVILSON</v>
      </c>
    </row>
    <row r="929" spans="1:14" x14ac:dyDescent="0.3">
      <c r="A929" s="1">
        <v>704417</v>
      </c>
      <c r="B929" s="1" t="s">
        <v>932</v>
      </c>
      <c r="C929" s="5" t="s">
        <v>15</v>
      </c>
      <c r="D929" s="2">
        <v>45391</v>
      </c>
      <c r="E929" s="1" t="s">
        <v>146</v>
      </c>
      <c r="F929" s="1">
        <v>39601</v>
      </c>
      <c r="G929" s="1" t="s">
        <v>660</v>
      </c>
      <c r="H929" s="1" t="s">
        <v>661</v>
      </c>
      <c r="J929" s="1" t="s">
        <v>684</v>
      </c>
      <c r="K929" s="1" t="s">
        <v>666</v>
      </c>
      <c r="L929" s="1" t="s">
        <v>258</v>
      </c>
      <c r="M929" s="1" t="s">
        <v>1392</v>
      </c>
      <c r="N929" s="1" t="str">
        <f t="shared" si="14"/>
        <v>ADALTON/JANILSON RORIZ/MARIVALDO</v>
      </c>
    </row>
    <row r="930" spans="1:14" x14ac:dyDescent="0.3">
      <c r="A930" s="1">
        <v>701554</v>
      </c>
      <c r="B930" s="1" t="s">
        <v>933</v>
      </c>
      <c r="C930" s="5" t="s">
        <v>15</v>
      </c>
      <c r="D930" s="2">
        <v>43959</v>
      </c>
      <c r="E930" s="1" t="s">
        <v>31</v>
      </c>
      <c r="F930" s="1">
        <v>24102</v>
      </c>
      <c r="G930" s="1" t="s">
        <v>669</v>
      </c>
      <c r="H930" s="1" t="s">
        <v>661</v>
      </c>
      <c r="J930" s="1" t="s">
        <v>680</v>
      </c>
      <c r="K930" s="1" t="s">
        <v>666</v>
      </c>
      <c r="L930" s="1" t="s">
        <v>1388</v>
      </c>
      <c r="M930" s="1" t="s">
        <v>1637</v>
      </c>
      <c r="N930" s="1" t="str">
        <f t="shared" si="14"/>
        <v>JUNIO TEIXEIRA /EDIVILSON</v>
      </c>
    </row>
    <row r="931" spans="1:14" x14ac:dyDescent="0.3">
      <c r="A931" s="1">
        <v>702673</v>
      </c>
      <c r="B931" s="1" t="s">
        <v>935</v>
      </c>
      <c r="C931" s="5" t="s">
        <v>15</v>
      </c>
      <c r="D931" s="2">
        <v>44517</v>
      </c>
      <c r="E931" s="1" t="s">
        <v>146</v>
      </c>
      <c r="F931" s="1">
        <v>39601</v>
      </c>
      <c r="G931" s="1" t="s">
        <v>660</v>
      </c>
      <c r="H931" s="1" t="s">
        <v>661</v>
      </c>
      <c r="J931" s="1" t="s">
        <v>684</v>
      </c>
      <c r="K931" s="1" t="s">
        <v>666</v>
      </c>
      <c r="L931" s="1" t="s">
        <v>258</v>
      </c>
      <c r="M931" s="1" t="s">
        <v>1392</v>
      </c>
      <c r="N931" s="1" t="str">
        <f t="shared" si="14"/>
        <v>ADALTON/JANILSON RORIZ/MARIVALDO</v>
      </c>
    </row>
    <row r="932" spans="1:14" x14ac:dyDescent="0.3">
      <c r="A932" s="1">
        <v>703717</v>
      </c>
      <c r="B932" s="1" t="s">
        <v>936</v>
      </c>
      <c r="C932" s="5" t="s">
        <v>15</v>
      </c>
      <c r="D932" s="2">
        <v>45019</v>
      </c>
      <c r="E932" s="1" t="s">
        <v>230</v>
      </c>
      <c r="F932" s="1">
        <v>38102</v>
      </c>
      <c r="G932" s="1" t="s">
        <v>725</v>
      </c>
      <c r="H932" s="1" t="s">
        <v>661</v>
      </c>
      <c r="J932" s="1" t="s">
        <v>726</v>
      </c>
      <c r="K932" s="1" t="s">
        <v>1372</v>
      </c>
      <c r="L932" s="1" t="s">
        <v>1373</v>
      </c>
      <c r="M932" s="1" t="s">
        <v>1373</v>
      </c>
      <c r="N932" s="1" t="str">
        <f t="shared" si="14"/>
        <v>DENIS ACASSIO</v>
      </c>
    </row>
    <row r="933" spans="1:14" x14ac:dyDescent="0.3">
      <c r="A933" s="1">
        <v>705123</v>
      </c>
      <c r="B933" s="1" t="s">
        <v>1149</v>
      </c>
      <c r="C933" s="5" t="s">
        <v>15</v>
      </c>
      <c r="D933" s="2">
        <v>45698</v>
      </c>
      <c r="E933" s="1" t="s">
        <v>336</v>
      </c>
      <c r="F933" s="1">
        <v>24102</v>
      </c>
      <c r="G933" s="1" t="s">
        <v>669</v>
      </c>
      <c r="H933" s="1" t="s">
        <v>661</v>
      </c>
      <c r="J933" s="1" t="s">
        <v>680</v>
      </c>
      <c r="K933" s="1" t="s">
        <v>666</v>
      </c>
      <c r="L933" s="1" t="s">
        <v>1388</v>
      </c>
      <c r="M933" s="1" t="s">
        <v>1637</v>
      </c>
      <c r="N933" s="1" t="str">
        <f t="shared" si="14"/>
        <v>JUNIO TEIXEIRA /EDIVILSON</v>
      </c>
    </row>
    <row r="934" spans="1:14" x14ac:dyDescent="0.3">
      <c r="A934" s="1">
        <v>705031</v>
      </c>
      <c r="B934" s="1" t="s">
        <v>937</v>
      </c>
      <c r="C934" s="5" t="s">
        <v>15</v>
      </c>
      <c r="D934" s="2">
        <v>45636</v>
      </c>
      <c r="E934" s="1" t="s">
        <v>31</v>
      </c>
      <c r="F934" s="1">
        <v>24201</v>
      </c>
      <c r="G934" s="1" t="s">
        <v>664</v>
      </c>
      <c r="H934" s="1" t="s">
        <v>661</v>
      </c>
      <c r="J934" s="1" t="s">
        <v>665</v>
      </c>
      <c r="K934" s="1" t="s">
        <v>666</v>
      </c>
      <c r="L934" s="1" t="s">
        <v>258</v>
      </c>
      <c r="M934" s="1" t="s">
        <v>667</v>
      </c>
      <c r="N934" s="1" t="str">
        <f t="shared" si="14"/>
        <v>JOSIEL NEVES</v>
      </c>
    </row>
    <row r="935" spans="1:14" x14ac:dyDescent="0.3">
      <c r="A935" s="1">
        <v>705388</v>
      </c>
      <c r="B935" s="1" t="s">
        <v>1261</v>
      </c>
      <c r="C935" s="5" t="s">
        <v>15</v>
      </c>
      <c r="D935" s="2">
        <v>45784</v>
      </c>
      <c r="E935" s="1" t="s">
        <v>31</v>
      </c>
      <c r="F935" s="1">
        <v>39601</v>
      </c>
      <c r="G935" s="1" t="s">
        <v>660</v>
      </c>
      <c r="H935" s="1" t="s">
        <v>661</v>
      </c>
      <c r="J935" s="1" t="s">
        <v>684</v>
      </c>
      <c r="K935" s="1" t="s">
        <v>666</v>
      </c>
      <c r="L935" s="1" t="s">
        <v>258</v>
      </c>
      <c r="M935" s="1" t="s">
        <v>1392</v>
      </c>
      <c r="N935" s="1" t="str">
        <f t="shared" si="14"/>
        <v>ADALTON/JANILSON RORIZ/MARIVALDO</v>
      </c>
    </row>
    <row r="936" spans="1:14" x14ac:dyDescent="0.3">
      <c r="A936" s="1">
        <v>705553</v>
      </c>
      <c r="B936" s="1" t="s">
        <v>1339</v>
      </c>
      <c r="C936" s="5" t="s">
        <v>15</v>
      </c>
      <c r="D936" s="2">
        <v>45874</v>
      </c>
      <c r="E936" s="1" t="s">
        <v>31</v>
      </c>
      <c r="F936" s="1">
        <v>39601</v>
      </c>
      <c r="G936" s="1" t="s">
        <v>660</v>
      </c>
      <c r="H936" s="1" t="s">
        <v>661</v>
      </c>
      <c r="J936" s="1" t="s">
        <v>684</v>
      </c>
      <c r="K936" s="1" t="s">
        <v>666</v>
      </c>
      <c r="L936" s="1" t="s">
        <v>258</v>
      </c>
      <c r="M936" s="1" t="s">
        <v>1392</v>
      </c>
      <c r="N936" s="1" t="str">
        <f t="shared" si="14"/>
        <v>ADALTON/JANILSON RORIZ/MARIVALDO</v>
      </c>
    </row>
    <row r="937" spans="1:14" x14ac:dyDescent="0.3">
      <c r="A937" s="1">
        <v>705869</v>
      </c>
      <c r="B937" s="1" t="s">
        <v>1586</v>
      </c>
      <c r="C937" s="5" t="s">
        <v>15</v>
      </c>
      <c r="D937" s="2">
        <v>46063</v>
      </c>
      <c r="E937" s="1" t="s">
        <v>31</v>
      </c>
      <c r="F937" s="1">
        <v>24102</v>
      </c>
      <c r="G937" s="1" t="s">
        <v>669</v>
      </c>
      <c r="H937" s="1" t="s">
        <v>661</v>
      </c>
      <c r="J937" s="1" t="s">
        <v>672</v>
      </c>
      <c r="K937" s="1" t="s">
        <v>666</v>
      </c>
      <c r="L937" s="1" t="s">
        <v>1388</v>
      </c>
      <c r="M937" s="1" t="s">
        <v>1637</v>
      </c>
      <c r="N937" s="1" t="str">
        <f t="shared" si="14"/>
        <v>JUNIO TEIXEIRA /EDIVILSON</v>
      </c>
    </row>
    <row r="938" spans="1:14" x14ac:dyDescent="0.3">
      <c r="A938" s="1">
        <v>704248</v>
      </c>
      <c r="B938" s="1" t="s">
        <v>938</v>
      </c>
      <c r="C938" s="5" t="s">
        <v>15</v>
      </c>
      <c r="D938" s="2">
        <v>45342</v>
      </c>
      <c r="E938" s="1" t="s">
        <v>31</v>
      </c>
      <c r="F938" s="1">
        <v>24102</v>
      </c>
      <c r="G938" s="1" t="s">
        <v>669</v>
      </c>
      <c r="H938" s="1" t="s">
        <v>661</v>
      </c>
      <c r="J938" s="1" t="s">
        <v>680</v>
      </c>
      <c r="K938" s="1" t="s">
        <v>666</v>
      </c>
      <c r="L938" s="1" t="s">
        <v>1388</v>
      </c>
      <c r="M938" s="1" t="s">
        <v>1637</v>
      </c>
      <c r="N938" s="1" t="str">
        <f t="shared" si="14"/>
        <v>JUNIO TEIXEIRA /EDIVILSON</v>
      </c>
    </row>
    <row r="939" spans="1:14" x14ac:dyDescent="0.3">
      <c r="A939" s="1">
        <v>701353</v>
      </c>
      <c r="B939" s="1" t="s">
        <v>413</v>
      </c>
      <c r="C939" s="5" t="s">
        <v>15</v>
      </c>
      <c r="D939" s="2">
        <v>43759</v>
      </c>
      <c r="E939" s="1" t="s">
        <v>166</v>
      </c>
      <c r="F939" s="1">
        <v>24102</v>
      </c>
      <c r="G939" s="1" t="s">
        <v>669</v>
      </c>
      <c r="H939" s="1" t="s">
        <v>661</v>
      </c>
      <c r="J939" s="1" t="s">
        <v>697</v>
      </c>
      <c r="K939" s="1" t="s">
        <v>666</v>
      </c>
      <c r="L939" s="1" t="s">
        <v>1390</v>
      </c>
      <c r="M939" s="1" t="s">
        <v>1391</v>
      </c>
      <c r="N939" s="1" t="str">
        <f t="shared" si="14"/>
        <v>ALCENO JUNIOR/JOÃO MARCOS</v>
      </c>
    </row>
    <row r="940" spans="1:14" x14ac:dyDescent="0.3">
      <c r="A940" s="1">
        <v>703934</v>
      </c>
      <c r="B940" s="1" t="s">
        <v>939</v>
      </c>
      <c r="C940" s="5" t="s">
        <v>15</v>
      </c>
      <c r="D940" s="2">
        <v>45089</v>
      </c>
      <c r="E940" s="1" t="s">
        <v>60</v>
      </c>
      <c r="F940" s="1">
        <v>39601</v>
      </c>
      <c r="G940" s="1" t="s">
        <v>660</v>
      </c>
      <c r="H940" s="1" t="s">
        <v>661</v>
      </c>
      <c r="J940" s="1" t="s">
        <v>684</v>
      </c>
      <c r="K940" s="1" t="s">
        <v>666</v>
      </c>
      <c r="L940" s="1" t="s">
        <v>258</v>
      </c>
      <c r="M940" s="1" t="s">
        <v>1392</v>
      </c>
      <c r="N940" s="1" t="str">
        <f t="shared" si="14"/>
        <v>ADALTON/JANILSON RORIZ/MARIVALDO</v>
      </c>
    </row>
    <row r="941" spans="1:14" x14ac:dyDescent="0.3">
      <c r="A941" s="1">
        <v>701381</v>
      </c>
      <c r="B941" s="1" t="s">
        <v>940</v>
      </c>
      <c r="C941" s="5" t="s">
        <v>15</v>
      </c>
      <c r="D941" s="2">
        <v>43759</v>
      </c>
      <c r="E941" s="1" t="s">
        <v>160</v>
      </c>
      <c r="F941" s="1">
        <v>32102</v>
      </c>
      <c r="G941" s="1" t="s">
        <v>674</v>
      </c>
      <c r="H941" s="1" t="s">
        <v>661</v>
      </c>
      <c r="J941" s="1" t="s">
        <v>675</v>
      </c>
      <c r="K941" s="1" t="s">
        <v>25</v>
      </c>
      <c r="L941" s="1" t="s">
        <v>1369</v>
      </c>
      <c r="M941" s="1" t="s">
        <v>1638</v>
      </c>
      <c r="N941" s="1" t="str">
        <f t="shared" si="14"/>
        <v>EDIVILSON MENEZES</v>
      </c>
    </row>
    <row r="942" spans="1:14" x14ac:dyDescent="0.3">
      <c r="A942" s="1">
        <v>101931</v>
      </c>
      <c r="B942" s="1" t="s">
        <v>416</v>
      </c>
      <c r="C942" s="5" t="s">
        <v>15</v>
      </c>
      <c r="D942" s="2">
        <v>41143</v>
      </c>
      <c r="E942" s="1" t="s">
        <v>794</v>
      </c>
      <c r="F942" s="1">
        <v>39602</v>
      </c>
      <c r="G942" s="1" t="s">
        <v>699</v>
      </c>
      <c r="H942" s="1" t="s">
        <v>661</v>
      </c>
      <c r="J942" s="1" t="s">
        <v>700</v>
      </c>
      <c r="K942" s="1" t="s">
        <v>666</v>
      </c>
      <c r="L942" s="1" t="s">
        <v>258</v>
      </c>
      <c r="M942" s="1" t="s">
        <v>701</v>
      </c>
      <c r="N942" s="1" t="str">
        <f t="shared" si="14"/>
        <v>IURY GUEDES</v>
      </c>
    </row>
    <row r="943" spans="1:14" x14ac:dyDescent="0.3">
      <c r="A943" s="1">
        <v>704437</v>
      </c>
      <c r="B943" s="1" t="s">
        <v>941</v>
      </c>
      <c r="C943" s="5" t="s">
        <v>15</v>
      </c>
      <c r="D943" s="2">
        <v>45419</v>
      </c>
      <c r="E943" s="1" t="s">
        <v>31</v>
      </c>
      <c r="F943" s="1">
        <v>38102</v>
      </c>
      <c r="G943" s="1" t="s">
        <v>725</v>
      </c>
      <c r="H943" s="1" t="s">
        <v>661</v>
      </c>
      <c r="J943" s="1" t="s">
        <v>726</v>
      </c>
      <c r="K943" s="1" t="s">
        <v>1372</v>
      </c>
      <c r="L943" s="1" t="s">
        <v>1373</v>
      </c>
      <c r="M943" s="1" t="s">
        <v>1373</v>
      </c>
      <c r="N943" s="1" t="str">
        <f t="shared" si="14"/>
        <v>DENIS ACASSIO</v>
      </c>
    </row>
    <row r="944" spans="1:14" x14ac:dyDescent="0.3">
      <c r="A944" s="1">
        <v>701567</v>
      </c>
      <c r="B944" s="1" t="s">
        <v>942</v>
      </c>
      <c r="C944" s="5" t="s">
        <v>15</v>
      </c>
      <c r="D944" s="2">
        <v>43969</v>
      </c>
      <c r="E944" s="1" t="s">
        <v>146</v>
      </c>
      <c r="F944" s="1">
        <v>39601</v>
      </c>
      <c r="G944" s="1" t="s">
        <v>660</v>
      </c>
      <c r="H944" s="1" t="s">
        <v>661</v>
      </c>
      <c r="J944" s="1" t="s">
        <v>684</v>
      </c>
      <c r="K944" s="1" t="s">
        <v>666</v>
      </c>
      <c r="L944" s="1" t="s">
        <v>258</v>
      </c>
      <c r="M944" s="1" t="s">
        <v>1392</v>
      </c>
      <c r="N944" s="1" t="str">
        <f t="shared" si="14"/>
        <v>ADALTON/JANILSON RORIZ/MARIVALDO</v>
      </c>
    </row>
    <row r="945" spans="1:14" x14ac:dyDescent="0.3">
      <c r="A945" s="1">
        <v>100808</v>
      </c>
      <c r="B945" s="1" t="s">
        <v>944</v>
      </c>
      <c r="C945" s="5" t="s">
        <v>15</v>
      </c>
      <c r="D945" s="2">
        <v>42303</v>
      </c>
      <c r="E945" s="1" t="s">
        <v>734</v>
      </c>
      <c r="F945" s="1">
        <v>24201</v>
      </c>
      <c r="G945" s="1" t="s">
        <v>664</v>
      </c>
      <c r="H945" s="1" t="s">
        <v>661</v>
      </c>
      <c r="J945" s="1" t="s">
        <v>665</v>
      </c>
      <c r="K945" s="1" t="s">
        <v>666</v>
      </c>
      <c r="L945" s="1" t="s">
        <v>258</v>
      </c>
      <c r="M945" s="1" t="s">
        <v>667</v>
      </c>
      <c r="N945" s="1" t="str">
        <f t="shared" si="14"/>
        <v>JOSIEL NEVES</v>
      </c>
    </row>
    <row r="946" spans="1:14" x14ac:dyDescent="0.3">
      <c r="A946" s="1">
        <v>703530</v>
      </c>
      <c r="B946" s="1" t="s">
        <v>945</v>
      </c>
      <c r="C946" s="5" t="s">
        <v>15</v>
      </c>
      <c r="D946" s="2">
        <v>44907</v>
      </c>
      <c r="E946" s="1" t="s">
        <v>146</v>
      </c>
      <c r="F946" s="1">
        <v>24102</v>
      </c>
      <c r="G946" s="1" t="s">
        <v>669</v>
      </c>
      <c r="H946" s="1" t="s">
        <v>661</v>
      </c>
      <c r="J946" s="1" t="s">
        <v>804</v>
      </c>
      <c r="K946" s="1" t="s">
        <v>666</v>
      </c>
      <c r="M946" s="1" t="s">
        <v>805</v>
      </c>
      <c r="N946" s="1" t="str">
        <f t="shared" si="14"/>
        <v>JAILSON RORIZ</v>
      </c>
    </row>
    <row r="947" spans="1:14" x14ac:dyDescent="0.3">
      <c r="A947" s="1">
        <v>703552</v>
      </c>
      <c r="B947" s="1" t="s">
        <v>946</v>
      </c>
      <c r="C947" s="5" t="s">
        <v>15</v>
      </c>
      <c r="D947" s="2">
        <v>44935</v>
      </c>
      <c r="E947" s="1" t="s">
        <v>255</v>
      </c>
      <c r="F947" s="1">
        <v>24102</v>
      </c>
      <c r="G947" s="1" t="s">
        <v>669</v>
      </c>
      <c r="H947" s="1" t="s">
        <v>661</v>
      </c>
      <c r="J947" s="1" t="s">
        <v>680</v>
      </c>
      <c r="K947" s="1" t="s">
        <v>666</v>
      </c>
      <c r="L947" s="1" t="s">
        <v>1388</v>
      </c>
      <c r="M947" s="1" t="s">
        <v>1637</v>
      </c>
      <c r="N947" s="1" t="str">
        <f t="shared" si="14"/>
        <v>JUNIO TEIXEIRA /EDIVILSON</v>
      </c>
    </row>
    <row r="948" spans="1:14" x14ac:dyDescent="0.3">
      <c r="A948" s="1">
        <v>705867</v>
      </c>
      <c r="B948" s="1" t="s">
        <v>1587</v>
      </c>
      <c r="C948" s="5" t="s">
        <v>15</v>
      </c>
      <c r="D948" s="2">
        <v>46063</v>
      </c>
      <c r="E948" s="1" t="s">
        <v>31</v>
      </c>
      <c r="F948" s="1">
        <v>24102</v>
      </c>
      <c r="G948" s="1" t="s">
        <v>669</v>
      </c>
      <c r="H948" s="1" t="s">
        <v>661</v>
      </c>
      <c r="J948" s="1" t="s">
        <v>672</v>
      </c>
      <c r="K948" s="1" t="s">
        <v>666</v>
      </c>
      <c r="L948" s="1" t="s">
        <v>1388</v>
      </c>
      <c r="M948" s="1" t="s">
        <v>1637</v>
      </c>
      <c r="N948" s="1" t="str">
        <f t="shared" si="14"/>
        <v>JUNIO TEIXEIRA /EDIVILSON</v>
      </c>
    </row>
    <row r="949" spans="1:14" x14ac:dyDescent="0.3">
      <c r="A949" s="1">
        <v>703553</v>
      </c>
      <c r="B949" s="1" t="s">
        <v>948</v>
      </c>
      <c r="C949" s="5" t="s">
        <v>15</v>
      </c>
      <c r="D949" s="2">
        <v>44935</v>
      </c>
      <c r="E949" s="1" t="s">
        <v>138</v>
      </c>
      <c r="F949" s="1">
        <v>24102</v>
      </c>
      <c r="G949" s="1" t="s">
        <v>669</v>
      </c>
      <c r="H949" s="1" t="s">
        <v>661</v>
      </c>
      <c r="J949" s="1" t="s">
        <v>682</v>
      </c>
      <c r="K949" s="1" t="s">
        <v>666</v>
      </c>
      <c r="L949" s="1" t="s">
        <v>1390</v>
      </c>
      <c r="M949" s="1" t="s">
        <v>1391</v>
      </c>
      <c r="N949" s="1" t="str">
        <f t="shared" si="14"/>
        <v>ALCENO JUNIOR/JOÃO MARCOS</v>
      </c>
    </row>
    <row r="950" spans="1:14" x14ac:dyDescent="0.3">
      <c r="A950" s="1">
        <v>705174</v>
      </c>
      <c r="B950" s="1" t="s">
        <v>1174</v>
      </c>
      <c r="C950" s="5" t="s">
        <v>15</v>
      </c>
      <c r="D950" s="2">
        <v>45726</v>
      </c>
      <c r="E950" s="1" t="s">
        <v>138</v>
      </c>
      <c r="F950" s="1">
        <v>24102</v>
      </c>
      <c r="G950" s="1" t="s">
        <v>669</v>
      </c>
      <c r="H950" s="1" t="s">
        <v>661</v>
      </c>
      <c r="J950" s="1" t="s">
        <v>697</v>
      </c>
      <c r="K950" s="1" t="s">
        <v>666</v>
      </c>
      <c r="L950" s="1" t="s">
        <v>1390</v>
      </c>
      <c r="M950" s="1" t="s">
        <v>1391</v>
      </c>
      <c r="N950" s="1" t="str">
        <f t="shared" si="14"/>
        <v>ALCENO JUNIOR/JOÃO MARCOS</v>
      </c>
    </row>
    <row r="951" spans="1:14" x14ac:dyDescent="0.3">
      <c r="A951" s="1">
        <v>703422</v>
      </c>
      <c r="B951" s="1" t="s">
        <v>949</v>
      </c>
      <c r="C951" s="5" t="s">
        <v>15</v>
      </c>
      <c r="D951" s="2">
        <v>44873</v>
      </c>
      <c r="E951" s="1" t="s">
        <v>16</v>
      </c>
      <c r="F951" s="1">
        <v>24102</v>
      </c>
      <c r="G951" s="1" t="s">
        <v>669</v>
      </c>
      <c r="H951" s="1" t="s">
        <v>661</v>
      </c>
      <c r="J951" s="1" t="s">
        <v>682</v>
      </c>
      <c r="K951" s="1" t="s">
        <v>666</v>
      </c>
      <c r="L951" s="1" t="s">
        <v>1390</v>
      </c>
      <c r="M951" s="1" t="s">
        <v>1391</v>
      </c>
      <c r="N951" s="1" t="str">
        <f t="shared" si="14"/>
        <v>ALCENO JUNIOR/JOÃO MARCOS</v>
      </c>
    </row>
    <row r="952" spans="1:14" x14ac:dyDescent="0.3">
      <c r="A952" s="1">
        <v>704315</v>
      </c>
      <c r="B952" s="1" t="s">
        <v>951</v>
      </c>
      <c r="C952" s="5" t="s">
        <v>15</v>
      </c>
      <c r="D952" s="2">
        <v>45356</v>
      </c>
      <c r="E952" s="1" t="s">
        <v>31</v>
      </c>
      <c r="F952" s="1">
        <v>24102</v>
      </c>
      <c r="G952" s="1" t="s">
        <v>669</v>
      </c>
      <c r="H952" s="1" t="s">
        <v>661</v>
      </c>
      <c r="J952" s="1" t="s">
        <v>682</v>
      </c>
      <c r="K952" s="1" t="s">
        <v>666</v>
      </c>
      <c r="L952" s="1" t="s">
        <v>1390</v>
      </c>
      <c r="M952" s="1" t="s">
        <v>1391</v>
      </c>
      <c r="N952" s="1" t="str">
        <f t="shared" si="14"/>
        <v>ALCENO JUNIOR/JOÃO MARCOS</v>
      </c>
    </row>
    <row r="953" spans="1:14" x14ac:dyDescent="0.3">
      <c r="A953" s="1">
        <v>702385</v>
      </c>
      <c r="B953" s="1" t="s">
        <v>952</v>
      </c>
      <c r="C953" s="5" t="s">
        <v>15</v>
      </c>
      <c r="D953" s="2">
        <v>44369</v>
      </c>
      <c r="E953" s="1" t="s">
        <v>109</v>
      </c>
      <c r="F953" s="1">
        <v>32102</v>
      </c>
      <c r="G953" s="1" t="s">
        <v>674</v>
      </c>
      <c r="H953" s="1" t="s">
        <v>661</v>
      </c>
      <c r="J953" s="1" t="s">
        <v>675</v>
      </c>
      <c r="K953" s="1" t="s">
        <v>25</v>
      </c>
      <c r="L953" s="1" t="s">
        <v>1369</v>
      </c>
      <c r="M953" s="1" t="s">
        <v>1638</v>
      </c>
      <c r="N953" s="1" t="str">
        <f t="shared" si="14"/>
        <v>EDIVILSON MENEZES</v>
      </c>
    </row>
    <row r="954" spans="1:14" x14ac:dyDescent="0.3">
      <c r="A954" s="1">
        <v>704398</v>
      </c>
      <c r="B954" s="1" t="s">
        <v>953</v>
      </c>
      <c r="C954" s="5" t="s">
        <v>15</v>
      </c>
      <c r="D954" s="2">
        <v>45391</v>
      </c>
      <c r="E954" s="1" t="s">
        <v>371</v>
      </c>
      <c r="F954" s="1">
        <v>39601</v>
      </c>
      <c r="G954" s="1" t="s">
        <v>660</v>
      </c>
      <c r="H954" s="1" t="s">
        <v>661</v>
      </c>
      <c r="J954" s="1" t="s">
        <v>662</v>
      </c>
      <c r="K954" s="1" t="s">
        <v>666</v>
      </c>
      <c r="L954" s="1" t="s">
        <v>258</v>
      </c>
      <c r="N954" s="1" t="str">
        <f t="shared" si="14"/>
        <v>MATHEUS ALMEIDA</v>
      </c>
    </row>
    <row r="955" spans="1:14" x14ac:dyDescent="0.3">
      <c r="A955" s="1">
        <v>704014</v>
      </c>
      <c r="B955" s="1" t="s">
        <v>954</v>
      </c>
      <c r="C955" s="5" t="s">
        <v>15</v>
      </c>
      <c r="D955" s="2">
        <v>45146</v>
      </c>
      <c r="E955" s="1" t="s">
        <v>60</v>
      </c>
      <c r="F955" s="1">
        <v>39601</v>
      </c>
      <c r="G955" s="1" t="s">
        <v>660</v>
      </c>
      <c r="H955" s="1" t="s">
        <v>661</v>
      </c>
      <c r="J955" s="1" t="s">
        <v>684</v>
      </c>
      <c r="K955" s="1" t="s">
        <v>666</v>
      </c>
      <c r="L955" s="1" t="s">
        <v>258</v>
      </c>
      <c r="M955" s="1" t="s">
        <v>1392</v>
      </c>
      <c r="N955" s="1" t="str">
        <f t="shared" si="14"/>
        <v>ADALTON/JANILSON RORIZ/MARIVALDO</v>
      </c>
    </row>
    <row r="956" spans="1:14" x14ac:dyDescent="0.3">
      <c r="A956" s="1">
        <v>702992</v>
      </c>
      <c r="B956" s="1" t="s">
        <v>955</v>
      </c>
      <c r="C956" s="5" t="s">
        <v>15</v>
      </c>
      <c r="D956" s="2">
        <v>44691</v>
      </c>
      <c r="E956" s="1" t="s">
        <v>507</v>
      </c>
      <c r="F956" s="1">
        <v>24201</v>
      </c>
      <c r="G956" s="1" t="s">
        <v>664</v>
      </c>
      <c r="H956" s="1" t="s">
        <v>661</v>
      </c>
      <c r="J956" s="1" t="s">
        <v>665</v>
      </c>
      <c r="K956" s="1" t="s">
        <v>666</v>
      </c>
      <c r="L956" s="1" t="s">
        <v>258</v>
      </c>
      <c r="M956" s="1" t="s">
        <v>667</v>
      </c>
      <c r="N956" s="1" t="str">
        <f t="shared" si="14"/>
        <v>JOSIEL NEVES</v>
      </c>
    </row>
    <row r="957" spans="1:14" x14ac:dyDescent="0.3">
      <c r="A957" s="1">
        <v>704575</v>
      </c>
      <c r="B957" s="1" t="s">
        <v>956</v>
      </c>
      <c r="C957" s="5" t="s">
        <v>15</v>
      </c>
      <c r="D957" s="2">
        <v>45448</v>
      </c>
      <c r="E957" s="1" t="s">
        <v>427</v>
      </c>
      <c r="F957" s="1">
        <v>39602</v>
      </c>
      <c r="G957" s="1" t="s">
        <v>699</v>
      </c>
      <c r="H957" s="1" t="s">
        <v>661</v>
      </c>
      <c r="J957" s="1" t="s">
        <v>700</v>
      </c>
      <c r="K957" s="1" t="s">
        <v>666</v>
      </c>
      <c r="L957" s="1" t="s">
        <v>258</v>
      </c>
      <c r="M957" s="1" t="s">
        <v>701</v>
      </c>
      <c r="N957" s="1" t="str">
        <f t="shared" si="14"/>
        <v>IURY GUEDES</v>
      </c>
    </row>
    <row r="958" spans="1:14" x14ac:dyDescent="0.3">
      <c r="A958" s="1">
        <v>702818</v>
      </c>
      <c r="B958" s="1" t="s">
        <v>957</v>
      </c>
      <c r="C958" s="5" t="s">
        <v>15</v>
      </c>
      <c r="D958" s="2">
        <v>44614</v>
      </c>
      <c r="E958" s="1" t="s">
        <v>31</v>
      </c>
      <c r="F958" s="1">
        <v>24102</v>
      </c>
      <c r="G958" s="1" t="s">
        <v>669</v>
      </c>
      <c r="H958" s="1" t="s">
        <v>661</v>
      </c>
      <c r="J958" s="1" t="s">
        <v>672</v>
      </c>
      <c r="K958" s="1" t="s">
        <v>666</v>
      </c>
      <c r="L958" s="1" t="s">
        <v>1388</v>
      </c>
      <c r="M958" s="1" t="s">
        <v>1637</v>
      </c>
      <c r="N958" s="1" t="str">
        <f t="shared" si="14"/>
        <v>JUNIO TEIXEIRA /EDIVILSON</v>
      </c>
    </row>
    <row r="959" spans="1:14" x14ac:dyDescent="0.3">
      <c r="A959" s="1">
        <v>101714</v>
      </c>
      <c r="B959" s="1" t="s">
        <v>958</v>
      </c>
      <c r="C959" s="5" t="s">
        <v>15</v>
      </c>
      <c r="D959" s="2">
        <v>43060</v>
      </c>
      <c r="E959" s="1" t="s">
        <v>219</v>
      </c>
      <c r="F959" s="1">
        <v>32102</v>
      </c>
      <c r="G959" s="1" t="s">
        <v>674</v>
      </c>
      <c r="H959" s="1" t="s">
        <v>661</v>
      </c>
      <c r="J959" s="1" t="s">
        <v>675</v>
      </c>
      <c r="K959" s="1" t="s">
        <v>25</v>
      </c>
      <c r="L959" s="1" t="s">
        <v>1369</v>
      </c>
      <c r="M959" s="1" t="s">
        <v>1638</v>
      </c>
      <c r="N959" s="1" t="str">
        <f t="shared" si="14"/>
        <v>EDIVILSON MENEZES</v>
      </c>
    </row>
    <row r="960" spans="1:14" x14ac:dyDescent="0.3">
      <c r="A960" s="1">
        <v>701030</v>
      </c>
      <c r="B960" s="1" t="s">
        <v>959</v>
      </c>
      <c r="C960" s="5" t="s">
        <v>92</v>
      </c>
      <c r="D960" s="2">
        <v>43605</v>
      </c>
      <c r="E960" s="1" t="s">
        <v>60</v>
      </c>
      <c r="F960" s="1">
        <v>24102</v>
      </c>
      <c r="G960" s="1" t="s">
        <v>669</v>
      </c>
      <c r="H960" s="1" t="s">
        <v>661</v>
      </c>
      <c r="I960" s="2">
        <v>46093</v>
      </c>
      <c r="J960" s="1" t="s">
        <v>697</v>
      </c>
      <c r="K960" s="1" t="s">
        <v>666</v>
      </c>
      <c r="L960" s="1" t="s">
        <v>1390</v>
      </c>
      <c r="M960" s="1" t="s">
        <v>1391</v>
      </c>
      <c r="N960" s="1" t="str">
        <f t="shared" si="14"/>
        <v>ALCENO JUNIOR/JOÃO MARCOS</v>
      </c>
    </row>
    <row r="961" spans="1:14" x14ac:dyDescent="0.3">
      <c r="A961" s="1">
        <v>703631</v>
      </c>
      <c r="B961" s="1" t="s">
        <v>960</v>
      </c>
      <c r="C961" s="5" t="s">
        <v>15</v>
      </c>
      <c r="D961" s="2">
        <v>44991</v>
      </c>
      <c r="E961" s="1" t="s">
        <v>60</v>
      </c>
      <c r="F961" s="1">
        <v>24102</v>
      </c>
      <c r="G961" s="1" t="s">
        <v>669</v>
      </c>
      <c r="H961" s="1" t="s">
        <v>661</v>
      </c>
      <c r="J961" s="1" t="s">
        <v>697</v>
      </c>
      <c r="K961" s="1" t="s">
        <v>666</v>
      </c>
      <c r="L961" s="1" t="s">
        <v>1390</v>
      </c>
      <c r="M961" s="1" t="s">
        <v>1391</v>
      </c>
      <c r="N961" s="1" t="str">
        <f t="shared" si="14"/>
        <v>ALCENO JUNIOR/JOÃO MARCOS</v>
      </c>
    </row>
    <row r="962" spans="1:14" x14ac:dyDescent="0.3">
      <c r="A962" s="1">
        <v>705267</v>
      </c>
      <c r="B962" s="1" t="s">
        <v>1201</v>
      </c>
      <c r="C962" s="5" t="s">
        <v>15</v>
      </c>
      <c r="D962" s="2">
        <v>45762</v>
      </c>
      <c r="E962" s="1" t="s">
        <v>31</v>
      </c>
      <c r="F962" s="1">
        <v>24102</v>
      </c>
      <c r="G962" s="1" t="s">
        <v>669</v>
      </c>
      <c r="H962" s="1" t="s">
        <v>661</v>
      </c>
      <c r="J962" s="1" t="s">
        <v>670</v>
      </c>
      <c r="K962" s="1" t="s">
        <v>666</v>
      </c>
      <c r="L962" s="1" t="s">
        <v>1388</v>
      </c>
      <c r="M962" s="1" t="s">
        <v>1637</v>
      </c>
      <c r="N962" s="1" t="str">
        <f t="shared" si="14"/>
        <v>JUNIO TEIXEIRA /EDIVILSON</v>
      </c>
    </row>
    <row r="963" spans="1:14" x14ac:dyDescent="0.3">
      <c r="A963" s="1">
        <v>704508</v>
      </c>
      <c r="B963" s="1" t="s">
        <v>961</v>
      </c>
      <c r="C963" s="5" t="s">
        <v>15</v>
      </c>
      <c r="D963" s="2">
        <v>45419</v>
      </c>
      <c r="E963" s="1" t="s">
        <v>129</v>
      </c>
      <c r="F963" s="1">
        <v>31103</v>
      </c>
      <c r="G963" s="1" t="s">
        <v>718</v>
      </c>
      <c r="H963" s="1" t="s">
        <v>661</v>
      </c>
      <c r="J963" s="1" t="s">
        <v>719</v>
      </c>
      <c r="K963" s="1" t="s">
        <v>1381</v>
      </c>
      <c r="N963" s="1" t="str">
        <f t="shared" ref="N963:N1026" si="15">IF(M963&lt;&gt;"", M963, IF(L963&lt;&gt;"", L963, K963))</f>
        <v>MARCOS OLIVEIRA</v>
      </c>
    </row>
    <row r="964" spans="1:14" x14ac:dyDescent="0.3">
      <c r="A964" s="1">
        <v>703790</v>
      </c>
      <c r="B964" s="1" t="s">
        <v>962</v>
      </c>
      <c r="C964" s="5" t="s">
        <v>15</v>
      </c>
      <c r="D964" s="2">
        <v>45019</v>
      </c>
      <c r="E964" s="1" t="s">
        <v>371</v>
      </c>
      <c r="F964" s="1">
        <v>39601</v>
      </c>
      <c r="G964" s="1" t="s">
        <v>660</v>
      </c>
      <c r="H964" s="1" t="s">
        <v>661</v>
      </c>
      <c r="J964" s="1" t="s">
        <v>662</v>
      </c>
      <c r="K964" s="1" t="s">
        <v>666</v>
      </c>
      <c r="L964" s="1" t="s">
        <v>258</v>
      </c>
      <c r="N964" s="1" t="str">
        <f t="shared" si="15"/>
        <v>MATHEUS ALMEIDA</v>
      </c>
    </row>
    <row r="965" spans="1:14" x14ac:dyDescent="0.3">
      <c r="A965" s="1">
        <v>703554</v>
      </c>
      <c r="B965" s="1" t="s">
        <v>963</v>
      </c>
      <c r="C965" s="5" t="s">
        <v>15</v>
      </c>
      <c r="D965" s="2">
        <v>44935</v>
      </c>
      <c r="E965" s="1" t="s">
        <v>146</v>
      </c>
      <c r="F965" s="1">
        <v>24201</v>
      </c>
      <c r="G965" s="1" t="s">
        <v>664</v>
      </c>
      <c r="H965" s="1" t="s">
        <v>661</v>
      </c>
      <c r="J965" s="1" t="s">
        <v>665</v>
      </c>
      <c r="K965" s="1" t="s">
        <v>666</v>
      </c>
      <c r="L965" s="1" t="s">
        <v>258</v>
      </c>
      <c r="M965" s="1" t="s">
        <v>667</v>
      </c>
      <c r="N965" s="1" t="str">
        <f t="shared" si="15"/>
        <v>JOSIEL NEVES</v>
      </c>
    </row>
    <row r="966" spans="1:14" x14ac:dyDescent="0.3">
      <c r="A966" s="1">
        <v>705297</v>
      </c>
      <c r="B966" s="1" t="s">
        <v>1202</v>
      </c>
      <c r="C966" s="5" t="s">
        <v>15</v>
      </c>
      <c r="D966" s="2">
        <v>45762</v>
      </c>
      <c r="E966" s="1" t="s">
        <v>31</v>
      </c>
      <c r="F966" s="1">
        <v>39601</v>
      </c>
      <c r="G966" s="1" t="s">
        <v>660</v>
      </c>
      <c r="H966" s="1" t="s">
        <v>661</v>
      </c>
      <c r="J966" s="1" t="s">
        <v>684</v>
      </c>
      <c r="K966" s="1" t="s">
        <v>666</v>
      </c>
      <c r="L966" s="1" t="s">
        <v>258</v>
      </c>
      <c r="M966" s="1" t="s">
        <v>1392</v>
      </c>
      <c r="N966" s="1" t="str">
        <f t="shared" si="15"/>
        <v>ADALTON/JANILSON RORIZ/MARIVALDO</v>
      </c>
    </row>
    <row r="967" spans="1:14" x14ac:dyDescent="0.3">
      <c r="A967" s="1">
        <v>705295</v>
      </c>
      <c r="B967" s="1" t="s">
        <v>1203</v>
      </c>
      <c r="C967" s="5" t="s">
        <v>15</v>
      </c>
      <c r="D967" s="2">
        <v>45762</v>
      </c>
      <c r="E967" s="1" t="s">
        <v>31</v>
      </c>
      <c r="F967" s="1">
        <v>39601</v>
      </c>
      <c r="G967" s="1" t="s">
        <v>660</v>
      </c>
      <c r="H967" s="1" t="s">
        <v>661</v>
      </c>
      <c r="J967" s="1" t="s">
        <v>684</v>
      </c>
      <c r="K967" s="1" t="s">
        <v>666</v>
      </c>
      <c r="L967" s="1" t="s">
        <v>258</v>
      </c>
      <c r="M967" s="1" t="s">
        <v>1392</v>
      </c>
      <c r="N967" s="1" t="str">
        <f t="shared" si="15"/>
        <v>ADALTON/JANILSON RORIZ/MARIVALDO</v>
      </c>
    </row>
    <row r="968" spans="1:14" x14ac:dyDescent="0.3">
      <c r="A968" s="1">
        <v>703655</v>
      </c>
      <c r="B968" s="1" t="s">
        <v>964</v>
      </c>
      <c r="C968" s="5" t="s">
        <v>15</v>
      </c>
      <c r="D968" s="2">
        <v>44998</v>
      </c>
      <c r="E968" s="1" t="s">
        <v>31</v>
      </c>
      <c r="F968" s="1">
        <v>24102</v>
      </c>
      <c r="G968" s="1" t="s">
        <v>669</v>
      </c>
      <c r="H968" s="1" t="s">
        <v>661</v>
      </c>
      <c r="J968" s="1" t="s">
        <v>680</v>
      </c>
      <c r="K968" s="1" t="s">
        <v>666</v>
      </c>
      <c r="L968" s="1" t="s">
        <v>1388</v>
      </c>
      <c r="M968" s="1" t="s">
        <v>1637</v>
      </c>
      <c r="N968" s="1" t="str">
        <f t="shared" si="15"/>
        <v>JUNIO TEIXEIRA /EDIVILSON</v>
      </c>
    </row>
    <row r="969" spans="1:14" x14ac:dyDescent="0.3">
      <c r="A969" s="1">
        <v>701675</v>
      </c>
      <c r="B969" s="1" t="s">
        <v>965</v>
      </c>
      <c r="C969" s="5" t="s">
        <v>15</v>
      </c>
      <c r="D969" s="2">
        <v>44019</v>
      </c>
      <c r="E969" s="1" t="s">
        <v>166</v>
      </c>
      <c r="F969" s="1">
        <v>24102</v>
      </c>
      <c r="G969" s="1" t="s">
        <v>669</v>
      </c>
      <c r="H969" s="1" t="s">
        <v>661</v>
      </c>
      <c r="J969" s="1" t="s">
        <v>697</v>
      </c>
      <c r="K969" s="1" t="s">
        <v>666</v>
      </c>
      <c r="L969" s="1" t="s">
        <v>1390</v>
      </c>
      <c r="M969" s="1" t="s">
        <v>1391</v>
      </c>
      <c r="N969" s="1" t="str">
        <f t="shared" si="15"/>
        <v>ALCENO JUNIOR/JOÃO MARCOS</v>
      </c>
    </row>
    <row r="970" spans="1:14" x14ac:dyDescent="0.3">
      <c r="A970" s="1">
        <v>705886</v>
      </c>
      <c r="B970" s="1" t="s">
        <v>1588</v>
      </c>
      <c r="C970" s="5" t="s">
        <v>15</v>
      </c>
      <c r="D970" s="2">
        <v>46063</v>
      </c>
      <c r="E970" s="1" t="s">
        <v>1589</v>
      </c>
      <c r="F970" s="1">
        <v>31103</v>
      </c>
      <c r="G970" s="1" t="s">
        <v>718</v>
      </c>
      <c r="H970" s="1" t="s">
        <v>661</v>
      </c>
      <c r="J970" s="1" t="s">
        <v>719</v>
      </c>
      <c r="K970" s="1" t="s">
        <v>1381</v>
      </c>
      <c r="N970" s="1" t="str">
        <f t="shared" si="15"/>
        <v>MARCOS OLIVEIRA</v>
      </c>
    </row>
    <row r="971" spans="1:14" x14ac:dyDescent="0.3">
      <c r="A971" s="1">
        <v>704241</v>
      </c>
      <c r="B971" s="1" t="s">
        <v>966</v>
      </c>
      <c r="C971" s="5" t="s">
        <v>15</v>
      </c>
      <c r="D971" s="2">
        <v>45335</v>
      </c>
      <c r="E971" s="1" t="s">
        <v>141</v>
      </c>
      <c r="F971" s="1">
        <v>24102</v>
      </c>
      <c r="G971" s="1" t="s">
        <v>669</v>
      </c>
      <c r="H971" s="1" t="s">
        <v>661</v>
      </c>
      <c r="J971" s="1" t="s">
        <v>672</v>
      </c>
      <c r="K971" s="1" t="s">
        <v>666</v>
      </c>
      <c r="L971" s="1" t="s">
        <v>1388</v>
      </c>
      <c r="M971" s="1" t="s">
        <v>1637</v>
      </c>
      <c r="N971" s="1" t="str">
        <f t="shared" si="15"/>
        <v>JUNIO TEIXEIRA /EDIVILSON</v>
      </c>
    </row>
    <row r="972" spans="1:14" x14ac:dyDescent="0.3">
      <c r="A972" s="1">
        <v>705924</v>
      </c>
      <c r="B972" s="1" t="s">
        <v>1630</v>
      </c>
      <c r="C972" s="5" t="s">
        <v>15</v>
      </c>
      <c r="D972" s="2">
        <v>46091</v>
      </c>
      <c r="E972" s="1" t="s">
        <v>31</v>
      </c>
      <c r="F972" s="1">
        <v>24102</v>
      </c>
      <c r="G972" s="1" t="s">
        <v>669</v>
      </c>
      <c r="H972" s="1" t="s">
        <v>661</v>
      </c>
      <c r="J972" s="1" t="s">
        <v>670</v>
      </c>
      <c r="K972" s="1" t="s">
        <v>666</v>
      </c>
      <c r="L972" s="1" t="s">
        <v>1388</v>
      </c>
      <c r="M972" s="1" t="s">
        <v>1637</v>
      </c>
      <c r="N972" s="1" t="str">
        <f t="shared" si="15"/>
        <v>JUNIO TEIXEIRA /EDIVILSON</v>
      </c>
    </row>
    <row r="973" spans="1:14" x14ac:dyDescent="0.3">
      <c r="A973" s="1">
        <v>101441</v>
      </c>
      <c r="B973" s="1" t="s">
        <v>967</v>
      </c>
      <c r="C973" s="5" t="s">
        <v>15</v>
      </c>
      <c r="D973" s="2">
        <v>42954</v>
      </c>
      <c r="E973" s="1" t="s">
        <v>328</v>
      </c>
      <c r="F973" s="1">
        <v>24101</v>
      </c>
      <c r="G973" s="1" t="s">
        <v>968</v>
      </c>
      <c r="H973" s="1" t="s">
        <v>661</v>
      </c>
      <c r="J973" s="1" t="s">
        <v>969</v>
      </c>
      <c r="K973" s="1" t="s">
        <v>124</v>
      </c>
      <c r="N973" s="1" t="str">
        <f t="shared" si="15"/>
        <v>MATHEUS FERNANDES</v>
      </c>
    </row>
    <row r="974" spans="1:14" x14ac:dyDescent="0.3">
      <c r="A974" s="1">
        <v>704975</v>
      </c>
      <c r="B974" s="1" t="s">
        <v>970</v>
      </c>
      <c r="C974" s="5" t="s">
        <v>15</v>
      </c>
      <c r="D974" s="2">
        <v>45629</v>
      </c>
      <c r="E974" s="1" t="s">
        <v>16</v>
      </c>
      <c r="F974" s="1">
        <v>24102</v>
      </c>
      <c r="G974" s="1" t="s">
        <v>669</v>
      </c>
      <c r="H974" s="1" t="s">
        <v>661</v>
      </c>
      <c r="J974" s="1" t="s">
        <v>682</v>
      </c>
      <c r="K974" s="1" t="s">
        <v>666</v>
      </c>
      <c r="L974" s="1" t="s">
        <v>1390</v>
      </c>
      <c r="M974" s="1" t="s">
        <v>1391</v>
      </c>
      <c r="N974" s="1" t="str">
        <f t="shared" si="15"/>
        <v>ALCENO JUNIOR/JOÃO MARCOS</v>
      </c>
    </row>
    <row r="975" spans="1:14" x14ac:dyDescent="0.3">
      <c r="A975" s="1">
        <v>705265</v>
      </c>
      <c r="B975" s="1" t="s">
        <v>1204</v>
      </c>
      <c r="C975" s="5" t="s">
        <v>15</v>
      </c>
      <c r="D975" s="2">
        <v>45762</v>
      </c>
      <c r="E975" s="1" t="s">
        <v>31</v>
      </c>
      <c r="F975" s="1">
        <v>24102</v>
      </c>
      <c r="G975" s="1" t="s">
        <v>669</v>
      </c>
      <c r="H975" s="1" t="s">
        <v>661</v>
      </c>
      <c r="J975" s="1" t="s">
        <v>680</v>
      </c>
      <c r="K975" s="1" t="s">
        <v>666</v>
      </c>
      <c r="L975" s="1" t="s">
        <v>1388</v>
      </c>
      <c r="M975" s="1" t="s">
        <v>1637</v>
      </c>
      <c r="N975" s="1" t="str">
        <f t="shared" si="15"/>
        <v>JUNIO TEIXEIRA /EDIVILSON</v>
      </c>
    </row>
    <row r="976" spans="1:14" x14ac:dyDescent="0.3">
      <c r="A976" s="1">
        <v>703925</v>
      </c>
      <c r="B976" s="1" t="s">
        <v>971</v>
      </c>
      <c r="C976" s="5" t="s">
        <v>15</v>
      </c>
      <c r="D976" s="2">
        <v>45083</v>
      </c>
      <c r="E976" s="1" t="s">
        <v>67</v>
      </c>
      <c r="F976" s="1">
        <v>24102</v>
      </c>
      <c r="G976" s="1" t="s">
        <v>669</v>
      </c>
      <c r="H976" s="1" t="s">
        <v>661</v>
      </c>
      <c r="J976" s="1" t="s">
        <v>804</v>
      </c>
      <c r="K976" s="1" t="s">
        <v>666</v>
      </c>
      <c r="M976" s="1" t="s">
        <v>805</v>
      </c>
      <c r="N976" s="1" t="str">
        <f t="shared" si="15"/>
        <v>JAILSON RORIZ</v>
      </c>
    </row>
    <row r="977" spans="1:14" x14ac:dyDescent="0.3">
      <c r="A977" s="1">
        <v>705587</v>
      </c>
      <c r="B977" s="1" t="s">
        <v>972</v>
      </c>
      <c r="C977" s="5" t="s">
        <v>15</v>
      </c>
      <c r="D977" s="2">
        <v>45881</v>
      </c>
      <c r="E977" s="1" t="s">
        <v>31</v>
      </c>
      <c r="F977" s="1">
        <v>39601</v>
      </c>
      <c r="G977" s="1" t="s">
        <v>660</v>
      </c>
      <c r="H977" s="1" t="s">
        <v>661</v>
      </c>
      <c r="J977" s="1" t="s">
        <v>684</v>
      </c>
      <c r="K977" s="1" t="s">
        <v>666</v>
      </c>
      <c r="L977" s="1" t="s">
        <v>258</v>
      </c>
      <c r="M977" s="1" t="s">
        <v>1392</v>
      </c>
      <c r="N977" s="1" t="str">
        <f t="shared" si="15"/>
        <v>ADALTON/JANILSON RORIZ/MARIVALDO</v>
      </c>
    </row>
    <row r="978" spans="1:14" x14ac:dyDescent="0.3">
      <c r="A978" s="1">
        <v>703659</v>
      </c>
      <c r="B978" s="1" t="s">
        <v>973</v>
      </c>
      <c r="C978" s="5" t="s">
        <v>15</v>
      </c>
      <c r="D978" s="2">
        <v>44998</v>
      </c>
      <c r="E978" s="1" t="s">
        <v>138</v>
      </c>
      <c r="F978" s="1">
        <v>24102</v>
      </c>
      <c r="G978" s="1" t="s">
        <v>669</v>
      </c>
      <c r="H978" s="1" t="s">
        <v>661</v>
      </c>
      <c r="J978" s="1" t="s">
        <v>682</v>
      </c>
      <c r="K978" s="1" t="s">
        <v>666</v>
      </c>
      <c r="L978" s="1" t="s">
        <v>1390</v>
      </c>
      <c r="M978" s="1" t="s">
        <v>1391</v>
      </c>
      <c r="N978" s="1" t="str">
        <f t="shared" si="15"/>
        <v>ALCENO JUNIOR/JOÃO MARCOS</v>
      </c>
    </row>
    <row r="979" spans="1:14" x14ac:dyDescent="0.3">
      <c r="A979" s="1">
        <v>705344</v>
      </c>
      <c r="B979" s="1" t="s">
        <v>1263</v>
      </c>
      <c r="C979" s="5" t="s">
        <v>15</v>
      </c>
      <c r="D979" s="2">
        <v>45784</v>
      </c>
      <c r="E979" s="1" t="s">
        <v>336</v>
      </c>
      <c r="F979" s="1">
        <v>24102</v>
      </c>
      <c r="G979" s="1" t="s">
        <v>669</v>
      </c>
      <c r="H979" s="1" t="s">
        <v>661</v>
      </c>
      <c r="J979" s="1" t="s">
        <v>680</v>
      </c>
      <c r="K979" s="1" t="s">
        <v>666</v>
      </c>
      <c r="L979" s="1" t="s">
        <v>1388</v>
      </c>
      <c r="M979" s="1" t="s">
        <v>1637</v>
      </c>
      <c r="N979" s="1" t="str">
        <f t="shared" si="15"/>
        <v>JUNIO TEIXEIRA /EDIVILSON</v>
      </c>
    </row>
    <row r="980" spans="1:14" x14ac:dyDescent="0.3">
      <c r="A980" s="1">
        <v>704783</v>
      </c>
      <c r="B980" s="1" t="s">
        <v>974</v>
      </c>
      <c r="C980" s="5" t="s">
        <v>15</v>
      </c>
      <c r="D980" s="2">
        <v>45551</v>
      </c>
      <c r="E980" s="1" t="s">
        <v>31</v>
      </c>
      <c r="F980" s="1">
        <v>39601</v>
      </c>
      <c r="G980" s="1" t="s">
        <v>660</v>
      </c>
      <c r="H980" s="1" t="s">
        <v>661</v>
      </c>
      <c r="J980" s="1" t="s">
        <v>684</v>
      </c>
      <c r="K980" s="1" t="s">
        <v>666</v>
      </c>
      <c r="L980" s="1" t="s">
        <v>258</v>
      </c>
      <c r="M980" s="1" t="s">
        <v>1392</v>
      </c>
      <c r="N980" s="1" t="str">
        <f t="shared" si="15"/>
        <v>ADALTON/JANILSON RORIZ/MARIVALDO</v>
      </c>
    </row>
    <row r="981" spans="1:14" x14ac:dyDescent="0.3">
      <c r="A981" s="1">
        <v>101191</v>
      </c>
      <c r="B981" s="1" t="s">
        <v>975</v>
      </c>
      <c r="C981" s="5" t="s">
        <v>92</v>
      </c>
      <c r="D981" s="2">
        <v>42751</v>
      </c>
      <c r="E981" s="1" t="s">
        <v>368</v>
      </c>
      <c r="F981" s="1">
        <v>32102</v>
      </c>
      <c r="G981" s="1" t="s">
        <v>674</v>
      </c>
      <c r="H981" s="1" t="s">
        <v>661</v>
      </c>
      <c r="I981" s="2">
        <v>46093</v>
      </c>
      <c r="J981" s="1" t="s">
        <v>675</v>
      </c>
      <c r="K981" s="1" t="s">
        <v>25</v>
      </c>
      <c r="L981" s="1" t="s">
        <v>1369</v>
      </c>
      <c r="M981" s="1" t="s">
        <v>1638</v>
      </c>
      <c r="N981" s="1" t="str">
        <f t="shared" si="15"/>
        <v>EDIVILSON MENEZES</v>
      </c>
    </row>
    <row r="982" spans="1:14" x14ac:dyDescent="0.3">
      <c r="A982" s="1">
        <v>705864</v>
      </c>
      <c r="B982" s="1" t="s">
        <v>1590</v>
      </c>
      <c r="C982" s="5" t="s">
        <v>15</v>
      </c>
      <c r="D982" s="2">
        <v>46063</v>
      </c>
      <c r="E982" s="1" t="s">
        <v>31</v>
      </c>
      <c r="F982" s="1">
        <v>24102</v>
      </c>
      <c r="G982" s="1" t="s">
        <v>669</v>
      </c>
      <c r="H982" s="1" t="s">
        <v>661</v>
      </c>
      <c r="J982" s="1" t="s">
        <v>670</v>
      </c>
      <c r="K982" s="1" t="s">
        <v>666</v>
      </c>
      <c r="L982" s="1" t="s">
        <v>1388</v>
      </c>
      <c r="M982" s="1" t="s">
        <v>1637</v>
      </c>
      <c r="N982" s="1" t="str">
        <f t="shared" si="15"/>
        <v>JUNIO TEIXEIRA /EDIVILSON</v>
      </c>
    </row>
    <row r="983" spans="1:14" x14ac:dyDescent="0.3">
      <c r="A983" s="1">
        <v>703011</v>
      </c>
      <c r="B983" s="1" t="s">
        <v>976</v>
      </c>
      <c r="C983" s="5" t="s">
        <v>15</v>
      </c>
      <c r="D983" s="2">
        <v>44691</v>
      </c>
      <c r="E983" s="1" t="s">
        <v>31</v>
      </c>
      <c r="F983" s="1">
        <v>38102</v>
      </c>
      <c r="G983" s="1" t="s">
        <v>725</v>
      </c>
      <c r="H983" s="1" t="s">
        <v>661</v>
      </c>
      <c r="J983" s="1" t="s">
        <v>726</v>
      </c>
      <c r="K983" s="1" t="s">
        <v>1372</v>
      </c>
      <c r="L983" s="1" t="s">
        <v>1373</v>
      </c>
      <c r="M983" s="1" t="s">
        <v>1373</v>
      </c>
      <c r="N983" s="1" t="str">
        <f t="shared" si="15"/>
        <v>DENIS ACASSIO</v>
      </c>
    </row>
    <row r="984" spans="1:14" x14ac:dyDescent="0.3">
      <c r="A984" s="1">
        <v>704511</v>
      </c>
      <c r="B984" s="1" t="s">
        <v>978</v>
      </c>
      <c r="C984" s="5" t="s">
        <v>15</v>
      </c>
      <c r="D984" s="2">
        <v>45420</v>
      </c>
      <c r="E984" s="1" t="s">
        <v>138</v>
      </c>
      <c r="F984" s="1">
        <v>24102</v>
      </c>
      <c r="G984" s="1" t="s">
        <v>669</v>
      </c>
      <c r="H984" s="1" t="s">
        <v>661</v>
      </c>
      <c r="J984" s="1" t="s">
        <v>682</v>
      </c>
      <c r="K984" s="1" t="s">
        <v>666</v>
      </c>
      <c r="L984" s="1" t="s">
        <v>1390</v>
      </c>
      <c r="M984" s="1" t="s">
        <v>1391</v>
      </c>
      <c r="N984" s="1" t="str">
        <f t="shared" si="15"/>
        <v>ALCENO JUNIOR/JOÃO MARCOS</v>
      </c>
    </row>
    <row r="985" spans="1:14" x14ac:dyDescent="0.3">
      <c r="A985" s="1">
        <v>705531</v>
      </c>
      <c r="B985" s="1" t="s">
        <v>1308</v>
      </c>
      <c r="C985" s="5" t="s">
        <v>15</v>
      </c>
      <c r="D985" s="2">
        <v>45847</v>
      </c>
      <c r="E985" s="1" t="s">
        <v>60</v>
      </c>
      <c r="F985" s="1">
        <v>24102</v>
      </c>
      <c r="G985" s="1" t="s">
        <v>669</v>
      </c>
      <c r="H985" s="1" t="s">
        <v>661</v>
      </c>
      <c r="J985" s="1" t="s">
        <v>804</v>
      </c>
      <c r="K985" s="1" t="s">
        <v>666</v>
      </c>
      <c r="M985" s="1" t="s">
        <v>805</v>
      </c>
      <c r="N985" s="1" t="str">
        <f t="shared" si="15"/>
        <v>JAILSON RORIZ</v>
      </c>
    </row>
    <row r="986" spans="1:14" x14ac:dyDescent="0.3">
      <c r="A986" s="1">
        <v>700481</v>
      </c>
      <c r="B986" s="1" t="s">
        <v>979</v>
      </c>
      <c r="C986" s="5" t="s">
        <v>15</v>
      </c>
      <c r="D986" s="2">
        <v>43346</v>
      </c>
      <c r="E986" s="1" t="s">
        <v>138</v>
      </c>
      <c r="F986" s="1">
        <v>24102</v>
      </c>
      <c r="G986" s="1" t="s">
        <v>669</v>
      </c>
      <c r="H986" s="1" t="s">
        <v>661</v>
      </c>
      <c r="J986" s="1" t="s">
        <v>672</v>
      </c>
      <c r="K986" s="1" t="s">
        <v>666</v>
      </c>
      <c r="L986" s="1" t="s">
        <v>1388</v>
      </c>
      <c r="M986" s="1" t="s">
        <v>1637</v>
      </c>
      <c r="N986" s="1" t="str">
        <f t="shared" si="15"/>
        <v>JUNIO TEIXEIRA /EDIVILSON</v>
      </c>
    </row>
    <row r="987" spans="1:14" x14ac:dyDescent="0.3">
      <c r="A987" s="1">
        <v>704960</v>
      </c>
      <c r="B987" s="1" t="s">
        <v>980</v>
      </c>
      <c r="C987" s="5" t="s">
        <v>15</v>
      </c>
      <c r="D987" s="2">
        <v>45607</v>
      </c>
      <c r="E987" s="1" t="s">
        <v>22</v>
      </c>
      <c r="F987" s="1">
        <v>39602</v>
      </c>
      <c r="G987" s="1" t="s">
        <v>699</v>
      </c>
      <c r="H987" s="1" t="s">
        <v>661</v>
      </c>
      <c r="J987" s="1" t="s">
        <v>700</v>
      </c>
      <c r="K987" s="1" t="s">
        <v>666</v>
      </c>
      <c r="L987" s="1" t="s">
        <v>258</v>
      </c>
      <c r="M987" s="1" t="s">
        <v>701</v>
      </c>
      <c r="N987" s="1" t="str">
        <f t="shared" si="15"/>
        <v>IURY GUEDES</v>
      </c>
    </row>
    <row r="988" spans="1:14" x14ac:dyDescent="0.3">
      <c r="A988" s="1">
        <v>704063</v>
      </c>
      <c r="B988" s="1" t="s">
        <v>981</v>
      </c>
      <c r="C988" s="5" t="s">
        <v>15</v>
      </c>
      <c r="D988" s="2">
        <v>45154</v>
      </c>
      <c r="E988" s="1" t="s">
        <v>31</v>
      </c>
      <c r="F988" s="1">
        <v>24102</v>
      </c>
      <c r="G988" s="1" t="s">
        <v>669</v>
      </c>
      <c r="H988" s="1" t="s">
        <v>661</v>
      </c>
      <c r="J988" s="1" t="s">
        <v>680</v>
      </c>
      <c r="K988" s="1" t="s">
        <v>666</v>
      </c>
      <c r="L988" s="1" t="s">
        <v>1388</v>
      </c>
      <c r="M988" s="1" t="s">
        <v>1637</v>
      </c>
      <c r="N988" s="1" t="str">
        <f t="shared" si="15"/>
        <v>JUNIO TEIXEIRA /EDIVILSON</v>
      </c>
    </row>
    <row r="989" spans="1:14" x14ac:dyDescent="0.3">
      <c r="A989" s="1">
        <v>702546</v>
      </c>
      <c r="B989" s="1" t="s">
        <v>454</v>
      </c>
      <c r="C989" s="5" t="s">
        <v>15</v>
      </c>
      <c r="D989" s="2">
        <v>44452</v>
      </c>
      <c r="E989" s="1" t="s">
        <v>1205</v>
      </c>
      <c r="F989" s="1">
        <v>31103</v>
      </c>
      <c r="G989" s="1" t="s">
        <v>718</v>
      </c>
      <c r="H989" s="1" t="s">
        <v>661</v>
      </c>
      <c r="J989" s="1" t="s">
        <v>719</v>
      </c>
      <c r="K989" s="1" t="s">
        <v>1381</v>
      </c>
      <c r="N989" s="1" t="str">
        <f t="shared" si="15"/>
        <v>MARCOS OLIVEIRA</v>
      </c>
    </row>
    <row r="990" spans="1:14" x14ac:dyDescent="0.3">
      <c r="A990" s="1">
        <v>705466</v>
      </c>
      <c r="B990" s="1" t="s">
        <v>1285</v>
      </c>
      <c r="C990" s="5" t="s">
        <v>15</v>
      </c>
      <c r="D990" s="2">
        <v>45812</v>
      </c>
      <c r="E990" s="1" t="s">
        <v>22</v>
      </c>
      <c r="F990" s="1">
        <v>39602</v>
      </c>
      <c r="G990" s="1" t="s">
        <v>699</v>
      </c>
      <c r="H990" s="1" t="s">
        <v>661</v>
      </c>
      <c r="J990" s="1" t="s">
        <v>700</v>
      </c>
      <c r="K990" s="1" t="s">
        <v>666</v>
      </c>
      <c r="L990" s="1" t="s">
        <v>258</v>
      </c>
      <c r="M990" s="1" t="s">
        <v>701</v>
      </c>
      <c r="N990" s="1" t="str">
        <f t="shared" si="15"/>
        <v>IURY GUEDES</v>
      </c>
    </row>
    <row r="991" spans="1:14" x14ac:dyDescent="0.3">
      <c r="A991" s="1">
        <v>704465</v>
      </c>
      <c r="B991" s="1" t="s">
        <v>983</v>
      </c>
      <c r="C991" s="5" t="s">
        <v>15</v>
      </c>
      <c r="D991" s="2">
        <v>45426</v>
      </c>
      <c r="E991" s="1" t="s">
        <v>31</v>
      </c>
      <c r="F991" s="1">
        <v>24201</v>
      </c>
      <c r="G991" s="1" t="s">
        <v>664</v>
      </c>
      <c r="H991" s="1" t="s">
        <v>661</v>
      </c>
      <c r="J991" s="1" t="s">
        <v>665</v>
      </c>
      <c r="K991" s="1" t="s">
        <v>666</v>
      </c>
      <c r="L991" s="1" t="s">
        <v>258</v>
      </c>
      <c r="M991" s="1" t="s">
        <v>667</v>
      </c>
      <c r="N991" s="1" t="str">
        <f t="shared" si="15"/>
        <v>JOSIEL NEVES</v>
      </c>
    </row>
    <row r="992" spans="1:14" x14ac:dyDescent="0.3">
      <c r="A992" s="1">
        <v>704422</v>
      </c>
      <c r="B992" s="1" t="s">
        <v>984</v>
      </c>
      <c r="C992" s="5" t="s">
        <v>15</v>
      </c>
      <c r="D992" s="2">
        <v>45391</v>
      </c>
      <c r="E992" s="1" t="s">
        <v>418</v>
      </c>
      <c r="F992" s="1">
        <v>39601</v>
      </c>
      <c r="G992" s="1" t="s">
        <v>660</v>
      </c>
      <c r="H992" s="1" t="s">
        <v>661</v>
      </c>
      <c r="J992" s="1" t="s">
        <v>662</v>
      </c>
      <c r="K992" s="1" t="s">
        <v>666</v>
      </c>
      <c r="L992" s="1" t="s">
        <v>258</v>
      </c>
      <c r="N992" s="1" t="str">
        <f t="shared" si="15"/>
        <v>MATHEUS ALMEIDA</v>
      </c>
    </row>
    <row r="993" spans="1:14" x14ac:dyDescent="0.3">
      <c r="A993" s="1">
        <v>101339</v>
      </c>
      <c r="B993" s="1" t="s">
        <v>985</v>
      </c>
      <c r="C993" s="5" t="s">
        <v>15</v>
      </c>
      <c r="D993" s="2">
        <v>42891</v>
      </c>
      <c r="E993" s="1" t="s">
        <v>166</v>
      </c>
      <c r="F993" s="1">
        <v>24102</v>
      </c>
      <c r="G993" s="1" t="s">
        <v>669</v>
      </c>
      <c r="H993" s="1" t="s">
        <v>661</v>
      </c>
      <c r="J993" s="1" t="s">
        <v>682</v>
      </c>
      <c r="K993" s="1" t="s">
        <v>666</v>
      </c>
      <c r="L993" s="1" t="s">
        <v>1390</v>
      </c>
      <c r="M993" s="1" t="s">
        <v>1391</v>
      </c>
      <c r="N993" s="1" t="str">
        <f t="shared" si="15"/>
        <v>ALCENO JUNIOR/JOÃO MARCOS</v>
      </c>
    </row>
    <row r="994" spans="1:14" x14ac:dyDescent="0.3">
      <c r="A994" s="1">
        <v>704869</v>
      </c>
      <c r="B994" s="1" t="s">
        <v>986</v>
      </c>
      <c r="C994" s="5" t="s">
        <v>15</v>
      </c>
      <c r="D994" s="2">
        <v>45580</v>
      </c>
      <c r="E994" s="1" t="s">
        <v>31</v>
      </c>
      <c r="F994" s="1">
        <v>24201</v>
      </c>
      <c r="G994" s="1" t="s">
        <v>664</v>
      </c>
      <c r="H994" s="1" t="s">
        <v>661</v>
      </c>
      <c r="J994" s="1" t="s">
        <v>665</v>
      </c>
      <c r="K994" s="1" t="s">
        <v>666</v>
      </c>
      <c r="L994" s="1" t="s">
        <v>258</v>
      </c>
      <c r="M994" s="1" t="s">
        <v>667</v>
      </c>
      <c r="N994" s="1" t="str">
        <f t="shared" si="15"/>
        <v>JOSIEL NEVES</v>
      </c>
    </row>
    <row r="995" spans="1:14" x14ac:dyDescent="0.3">
      <c r="A995" s="1">
        <v>704493</v>
      </c>
      <c r="B995" s="1" t="s">
        <v>987</v>
      </c>
      <c r="C995" s="5" t="s">
        <v>15</v>
      </c>
      <c r="D995" s="2">
        <v>45419</v>
      </c>
      <c r="E995" s="1" t="s">
        <v>427</v>
      </c>
      <c r="F995" s="1">
        <v>39602</v>
      </c>
      <c r="G995" s="1" t="s">
        <v>699</v>
      </c>
      <c r="H995" s="1" t="s">
        <v>661</v>
      </c>
      <c r="J995" s="1" t="s">
        <v>700</v>
      </c>
      <c r="K995" s="1" t="s">
        <v>666</v>
      </c>
      <c r="L995" s="1" t="s">
        <v>258</v>
      </c>
      <c r="M995" s="1" t="s">
        <v>701</v>
      </c>
      <c r="N995" s="1" t="str">
        <f t="shared" si="15"/>
        <v>IURY GUEDES</v>
      </c>
    </row>
    <row r="996" spans="1:14" x14ac:dyDescent="0.3">
      <c r="A996" s="1">
        <v>705340</v>
      </c>
      <c r="B996" s="1" t="s">
        <v>1264</v>
      </c>
      <c r="C996" s="5" t="s">
        <v>15</v>
      </c>
      <c r="D996" s="2">
        <v>45784</v>
      </c>
      <c r="E996" s="1" t="s">
        <v>31</v>
      </c>
      <c r="F996" s="1">
        <v>24102</v>
      </c>
      <c r="G996" s="1" t="s">
        <v>669</v>
      </c>
      <c r="H996" s="1" t="s">
        <v>661</v>
      </c>
      <c r="J996" s="1" t="s">
        <v>672</v>
      </c>
      <c r="K996" s="1" t="s">
        <v>666</v>
      </c>
      <c r="L996" s="1" t="s">
        <v>1388</v>
      </c>
      <c r="M996" s="1" t="s">
        <v>1637</v>
      </c>
      <c r="N996" s="1" t="str">
        <f t="shared" si="15"/>
        <v>JUNIO TEIXEIRA /EDIVILSON</v>
      </c>
    </row>
    <row r="997" spans="1:14" x14ac:dyDescent="0.3">
      <c r="A997" s="1">
        <v>704494</v>
      </c>
      <c r="B997" s="1" t="s">
        <v>988</v>
      </c>
      <c r="C997" s="5" t="s">
        <v>15</v>
      </c>
      <c r="D997" s="2">
        <v>45419</v>
      </c>
      <c r="E997" s="1" t="s">
        <v>336</v>
      </c>
      <c r="F997" s="1">
        <v>24102</v>
      </c>
      <c r="G997" s="1" t="s">
        <v>669</v>
      </c>
      <c r="H997" s="1" t="s">
        <v>661</v>
      </c>
      <c r="J997" s="1" t="s">
        <v>680</v>
      </c>
      <c r="K997" s="1" t="s">
        <v>666</v>
      </c>
      <c r="L997" s="1" t="s">
        <v>1388</v>
      </c>
      <c r="M997" s="1" t="s">
        <v>1637</v>
      </c>
      <c r="N997" s="1" t="str">
        <f t="shared" si="15"/>
        <v>JUNIO TEIXEIRA /EDIVILSON</v>
      </c>
    </row>
    <row r="998" spans="1:14" x14ac:dyDescent="0.3">
      <c r="A998" s="1">
        <v>795291</v>
      </c>
      <c r="B998" s="1" t="s">
        <v>1206</v>
      </c>
      <c r="C998" s="5" t="s">
        <v>15</v>
      </c>
      <c r="D998" s="2">
        <v>45762</v>
      </c>
      <c r="E998" s="1" t="s">
        <v>31</v>
      </c>
      <c r="F998" s="1">
        <v>39601</v>
      </c>
      <c r="G998" s="1" t="s">
        <v>660</v>
      </c>
      <c r="H998" s="1" t="s">
        <v>661</v>
      </c>
      <c r="J998" s="1" t="s">
        <v>684</v>
      </c>
      <c r="K998" s="1" t="s">
        <v>666</v>
      </c>
      <c r="L998" s="1" t="s">
        <v>258</v>
      </c>
      <c r="M998" s="1" t="s">
        <v>1392</v>
      </c>
      <c r="N998" s="1" t="str">
        <f t="shared" si="15"/>
        <v>ADALTON/JANILSON RORIZ/MARIVALDO</v>
      </c>
    </row>
    <row r="999" spans="1:14" x14ac:dyDescent="0.3">
      <c r="A999" s="1">
        <v>703710</v>
      </c>
      <c r="B999" s="1" t="s">
        <v>989</v>
      </c>
      <c r="C999" s="5" t="s">
        <v>15</v>
      </c>
      <c r="D999" s="2">
        <v>45019</v>
      </c>
      <c r="E999" s="1" t="s">
        <v>990</v>
      </c>
      <c r="F999" s="1">
        <v>24201</v>
      </c>
      <c r="G999" s="1" t="s">
        <v>664</v>
      </c>
      <c r="H999" s="1" t="s">
        <v>661</v>
      </c>
      <c r="J999" s="1" t="s">
        <v>665</v>
      </c>
      <c r="K999" s="1" t="s">
        <v>666</v>
      </c>
      <c r="L999" s="1" t="s">
        <v>258</v>
      </c>
      <c r="M999" s="1" t="s">
        <v>667</v>
      </c>
      <c r="N999" s="1" t="str">
        <f t="shared" si="15"/>
        <v>JOSIEL NEVES</v>
      </c>
    </row>
    <row r="1000" spans="1:14" x14ac:dyDescent="0.3">
      <c r="A1000" s="1">
        <v>703304</v>
      </c>
      <c r="B1000" s="1" t="s">
        <v>992</v>
      </c>
      <c r="C1000" s="5" t="s">
        <v>15</v>
      </c>
      <c r="D1000" s="2">
        <v>44816</v>
      </c>
      <c r="E1000" s="1" t="s">
        <v>31</v>
      </c>
      <c r="F1000" s="1">
        <v>38102</v>
      </c>
      <c r="G1000" s="1" t="s">
        <v>725</v>
      </c>
      <c r="H1000" s="1" t="s">
        <v>661</v>
      </c>
      <c r="J1000" s="1" t="s">
        <v>726</v>
      </c>
      <c r="K1000" s="1" t="s">
        <v>1372</v>
      </c>
      <c r="L1000" s="1" t="s">
        <v>1373</v>
      </c>
      <c r="M1000" s="1" t="s">
        <v>1373</v>
      </c>
      <c r="N1000" s="1" t="str">
        <f t="shared" si="15"/>
        <v>DENIS ACASSIO</v>
      </c>
    </row>
    <row r="1001" spans="1:14" x14ac:dyDescent="0.3">
      <c r="A1001" s="1">
        <v>100835</v>
      </c>
      <c r="B1001" s="1" t="s">
        <v>993</v>
      </c>
      <c r="C1001" s="5" t="s">
        <v>15</v>
      </c>
      <c r="D1001" s="2">
        <v>41617</v>
      </c>
      <c r="E1001" s="1" t="s">
        <v>156</v>
      </c>
      <c r="F1001" s="1">
        <v>38102</v>
      </c>
      <c r="G1001" s="1" t="s">
        <v>725</v>
      </c>
      <c r="H1001" s="1" t="s">
        <v>661</v>
      </c>
      <c r="J1001" s="1" t="s">
        <v>726</v>
      </c>
      <c r="K1001" s="1" t="s">
        <v>1372</v>
      </c>
      <c r="L1001" s="1" t="s">
        <v>1373</v>
      </c>
      <c r="M1001" s="1" t="s">
        <v>1373</v>
      </c>
      <c r="N1001" s="1" t="str">
        <f t="shared" si="15"/>
        <v>DENIS ACASSIO</v>
      </c>
    </row>
    <row r="1002" spans="1:14" x14ac:dyDescent="0.3">
      <c r="A1002" s="1">
        <v>701730</v>
      </c>
      <c r="B1002" s="1" t="s">
        <v>994</v>
      </c>
      <c r="C1002" s="5" t="s">
        <v>15</v>
      </c>
      <c r="D1002" s="2">
        <v>44032</v>
      </c>
      <c r="E1002" s="1" t="s">
        <v>230</v>
      </c>
      <c r="F1002" s="1">
        <v>39601</v>
      </c>
      <c r="G1002" s="1" t="s">
        <v>660</v>
      </c>
      <c r="H1002" s="1" t="s">
        <v>661</v>
      </c>
      <c r="J1002" s="1" t="s">
        <v>684</v>
      </c>
      <c r="K1002" s="1" t="s">
        <v>666</v>
      </c>
      <c r="L1002" s="1" t="s">
        <v>258</v>
      </c>
      <c r="M1002" s="1" t="s">
        <v>1392</v>
      </c>
      <c r="N1002" s="1" t="str">
        <f t="shared" si="15"/>
        <v>ADALTON/JANILSON RORIZ/MARIVALDO</v>
      </c>
    </row>
    <row r="1003" spans="1:14" x14ac:dyDescent="0.3">
      <c r="A1003" s="1">
        <v>100980</v>
      </c>
      <c r="B1003" s="1" t="s">
        <v>995</v>
      </c>
      <c r="C1003" s="5" t="s">
        <v>15</v>
      </c>
      <c r="D1003" s="2">
        <v>42548</v>
      </c>
      <c r="E1003" s="1" t="s">
        <v>251</v>
      </c>
      <c r="F1003" s="1">
        <v>39601</v>
      </c>
      <c r="G1003" s="1" t="s">
        <v>660</v>
      </c>
      <c r="H1003" s="1" t="s">
        <v>661</v>
      </c>
      <c r="J1003" s="1" t="s">
        <v>684</v>
      </c>
      <c r="K1003" s="1" t="s">
        <v>666</v>
      </c>
      <c r="L1003" s="1" t="s">
        <v>258</v>
      </c>
      <c r="M1003" s="1" t="s">
        <v>1392</v>
      </c>
      <c r="N1003" s="1" t="str">
        <f t="shared" si="15"/>
        <v>ADALTON/JANILSON RORIZ/MARIVALDO</v>
      </c>
    </row>
    <row r="1004" spans="1:14" x14ac:dyDescent="0.3">
      <c r="A1004" s="1">
        <v>701990</v>
      </c>
      <c r="B1004" s="1" t="s">
        <v>470</v>
      </c>
      <c r="C1004" s="5" t="s">
        <v>15</v>
      </c>
      <c r="D1004" s="2">
        <v>44214</v>
      </c>
      <c r="E1004" s="1" t="s">
        <v>129</v>
      </c>
      <c r="F1004" s="1">
        <v>31103</v>
      </c>
      <c r="G1004" s="1" t="s">
        <v>718</v>
      </c>
      <c r="H1004" s="1" t="s">
        <v>661</v>
      </c>
      <c r="J1004" s="1" t="s">
        <v>719</v>
      </c>
      <c r="K1004" s="1" t="s">
        <v>1381</v>
      </c>
      <c r="N1004" s="1" t="str">
        <f t="shared" si="15"/>
        <v>MARCOS OLIVEIRA</v>
      </c>
    </row>
    <row r="1005" spans="1:14" x14ac:dyDescent="0.3">
      <c r="A1005" s="1">
        <v>700907</v>
      </c>
      <c r="B1005" s="1" t="s">
        <v>996</v>
      </c>
      <c r="C1005" s="5" t="s">
        <v>15</v>
      </c>
      <c r="D1005" s="2">
        <v>43535</v>
      </c>
      <c r="E1005" s="1" t="s">
        <v>60</v>
      </c>
      <c r="F1005" s="1">
        <v>24102</v>
      </c>
      <c r="G1005" s="1" t="s">
        <v>669</v>
      </c>
      <c r="H1005" s="1" t="s">
        <v>661</v>
      </c>
      <c r="J1005" s="1" t="s">
        <v>682</v>
      </c>
      <c r="K1005" s="1" t="s">
        <v>666</v>
      </c>
      <c r="L1005" s="1" t="s">
        <v>1390</v>
      </c>
      <c r="M1005" s="1" t="s">
        <v>1391</v>
      </c>
      <c r="N1005" s="1" t="str">
        <f t="shared" si="15"/>
        <v>ALCENO JUNIOR/JOÃO MARCOS</v>
      </c>
    </row>
    <row r="1006" spans="1:14" x14ac:dyDescent="0.3">
      <c r="A1006" s="1">
        <v>704703</v>
      </c>
      <c r="B1006" s="1" t="s">
        <v>997</v>
      </c>
      <c r="C1006" s="5" t="s">
        <v>15</v>
      </c>
      <c r="D1006" s="2">
        <v>45510</v>
      </c>
      <c r="E1006" s="1" t="s">
        <v>686</v>
      </c>
      <c r="F1006" s="1">
        <v>39601</v>
      </c>
      <c r="G1006" s="1" t="s">
        <v>660</v>
      </c>
      <c r="H1006" s="1" t="s">
        <v>661</v>
      </c>
      <c r="J1006" s="1" t="s">
        <v>684</v>
      </c>
      <c r="K1006" s="1" t="s">
        <v>666</v>
      </c>
      <c r="L1006" s="1" t="s">
        <v>258</v>
      </c>
      <c r="M1006" s="1" t="s">
        <v>1392</v>
      </c>
      <c r="N1006" s="1" t="str">
        <f t="shared" si="15"/>
        <v>ADALTON/JANILSON RORIZ/MARIVALDO</v>
      </c>
    </row>
    <row r="1007" spans="1:14" x14ac:dyDescent="0.3">
      <c r="A1007" s="1">
        <v>704440</v>
      </c>
      <c r="B1007" s="1" t="s">
        <v>471</v>
      </c>
      <c r="C1007" s="5" t="s">
        <v>15</v>
      </c>
      <c r="D1007" s="2">
        <v>45419</v>
      </c>
      <c r="E1007" s="1" t="s">
        <v>22</v>
      </c>
      <c r="F1007" s="1">
        <v>32102</v>
      </c>
      <c r="G1007" s="1" t="s">
        <v>674</v>
      </c>
      <c r="H1007" s="1" t="s">
        <v>661</v>
      </c>
      <c r="J1007" s="1" t="s">
        <v>675</v>
      </c>
      <c r="K1007" s="1" t="s">
        <v>25</v>
      </c>
      <c r="L1007" s="1" t="s">
        <v>1369</v>
      </c>
      <c r="M1007" s="1" t="s">
        <v>1638</v>
      </c>
      <c r="N1007" s="1" t="str">
        <f t="shared" si="15"/>
        <v>EDIVILSON MENEZES</v>
      </c>
    </row>
    <row r="1008" spans="1:14" x14ac:dyDescent="0.3">
      <c r="A1008" s="1">
        <v>705421</v>
      </c>
      <c r="B1008" s="1" t="s">
        <v>998</v>
      </c>
      <c r="C1008" s="5" t="s">
        <v>15</v>
      </c>
      <c r="D1008" s="2">
        <v>45791</v>
      </c>
      <c r="E1008" s="1" t="s">
        <v>31</v>
      </c>
      <c r="F1008" s="1">
        <v>39601</v>
      </c>
      <c r="G1008" s="1" t="s">
        <v>660</v>
      </c>
      <c r="H1008" s="1" t="s">
        <v>661</v>
      </c>
      <c r="J1008" s="1" t="s">
        <v>662</v>
      </c>
      <c r="K1008" s="1" t="s">
        <v>666</v>
      </c>
      <c r="L1008" s="1" t="s">
        <v>258</v>
      </c>
      <c r="N1008" s="1" t="str">
        <f t="shared" si="15"/>
        <v>MATHEUS ALMEIDA</v>
      </c>
    </row>
    <row r="1009" spans="1:14" x14ac:dyDescent="0.3">
      <c r="A1009" s="1">
        <v>705323</v>
      </c>
      <c r="B1009" s="1" t="s">
        <v>1266</v>
      </c>
      <c r="C1009" s="5" t="s">
        <v>15</v>
      </c>
      <c r="D1009" s="2">
        <v>45784</v>
      </c>
      <c r="E1009" s="1" t="s">
        <v>31</v>
      </c>
      <c r="F1009" s="1">
        <v>24102</v>
      </c>
      <c r="G1009" s="1" t="s">
        <v>669</v>
      </c>
      <c r="H1009" s="1" t="s">
        <v>661</v>
      </c>
      <c r="J1009" s="1" t="s">
        <v>670</v>
      </c>
      <c r="K1009" s="1" t="s">
        <v>666</v>
      </c>
      <c r="L1009" s="1" t="s">
        <v>1388</v>
      </c>
      <c r="M1009" s="1" t="s">
        <v>1637</v>
      </c>
      <c r="N1009" s="1" t="str">
        <f t="shared" si="15"/>
        <v>JUNIO TEIXEIRA /EDIVILSON</v>
      </c>
    </row>
    <row r="1010" spans="1:14" x14ac:dyDescent="0.3">
      <c r="A1010" s="1">
        <v>701620</v>
      </c>
      <c r="B1010" s="1" t="s">
        <v>999</v>
      </c>
      <c r="C1010" s="5" t="s">
        <v>15</v>
      </c>
      <c r="D1010" s="2">
        <v>44004</v>
      </c>
      <c r="E1010" s="1" t="s">
        <v>101</v>
      </c>
      <c r="F1010" s="1">
        <v>39602</v>
      </c>
      <c r="G1010" s="1" t="s">
        <v>699</v>
      </c>
      <c r="H1010" s="1" t="s">
        <v>661</v>
      </c>
      <c r="J1010" s="1" t="s">
        <v>1000</v>
      </c>
      <c r="K1010" s="1" t="s">
        <v>666</v>
      </c>
      <c r="N1010" s="1" t="str">
        <f t="shared" si="15"/>
        <v>CRISOSTOMO CASTRO</v>
      </c>
    </row>
    <row r="1011" spans="1:14" x14ac:dyDescent="0.3">
      <c r="A1011" s="1">
        <v>705284</v>
      </c>
      <c r="B1011" s="1" t="s">
        <v>1207</v>
      </c>
      <c r="C1011" s="5" t="s">
        <v>15</v>
      </c>
      <c r="D1011" s="2">
        <v>45762</v>
      </c>
      <c r="E1011" s="1" t="s">
        <v>31</v>
      </c>
      <c r="F1011" s="1">
        <v>39601</v>
      </c>
      <c r="G1011" s="1" t="s">
        <v>660</v>
      </c>
      <c r="H1011" s="1" t="s">
        <v>661</v>
      </c>
      <c r="J1011" s="1" t="s">
        <v>684</v>
      </c>
      <c r="K1011" s="1" t="s">
        <v>666</v>
      </c>
      <c r="L1011" s="1" t="s">
        <v>258</v>
      </c>
      <c r="M1011" s="1" t="s">
        <v>1392</v>
      </c>
      <c r="N1011" s="1" t="str">
        <f t="shared" si="15"/>
        <v>ADALTON/JANILSON RORIZ/MARIVALDO</v>
      </c>
    </row>
    <row r="1012" spans="1:14" x14ac:dyDescent="0.3">
      <c r="A1012" s="1">
        <v>702586</v>
      </c>
      <c r="B1012" s="1" t="s">
        <v>1001</v>
      </c>
      <c r="C1012" s="5" t="s">
        <v>15</v>
      </c>
      <c r="D1012" s="2">
        <v>44474</v>
      </c>
      <c r="E1012" s="1" t="s">
        <v>507</v>
      </c>
      <c r="F1012" s="1">
        <v>24201</v>
      </c>
      <c r="G1012" s="1" t="s">
        <v>664</v>
      </c>
      <c r="H1012" s="1" t="s">
        <v>661</v>
      </c>
      <c r="J1012" s="1" t="s">
        <v>665</v>
      </c>
      <c r="K1012" s="1" t="s">
        <v>666</v>
      </c>
      <c r="L1012" s="1" t="s">
        <v>258</v>
      </c>
      <c r="M1012" s="1" t="s">
        <v>667</v>
      </c>
      <c r="N1012" s="1" t="str">
        <f t="shared" si="15"/>
        <v>JOSIEL NEVES</v>
      </c>
    </row>
    <row r="1013" spans="1:14" x14ac:dyDescent="0.3">
      <c r="A1013" s="1">
        <v>101534</v>
      </c>
      <c r="B1013" s="1" t="s">
        <v>1002</v>
      </c>
      <c r="C1013" s="5" t="s">
        <v>15</v>
      </c>
      <c r="D1013" s="2">
        <v>42982</v>
      </c>
      <c r="E1013" s="1" t="s">
        <v>686</v>
      </c>
      <c r="F1013" s="1">
        <v>39601</v>
      </c>
      <c r="G1013" s="1" t="s">
        <v>660</v>
      </c>
      <c r="H1013" s="1" t="s">
        <v>661</v>
      </c>
      <c r="J1013" s="1" t="s">
        <v>700</v>
      </c>
      <c r="K1013" s="1" t="s">
        <v>666</v>
      </c>
      <c r="L1013" s="1" t="s">
        <v>258</v>
      </c>
      <c r="M1013" s="1" t="s">
        <v>701</v>
      </c>
      <c r="N1013" s="1" t="str">
        <f t="shared" si="15"/>
        <v>IURY GUEDES</v>
      </c>
    </row>
    <row r="1014" spans="1:14" x14ac:dyDescent="0.3">
      <c r="A1014" s="1">
        <v>701378</v>
      </c>
      <c r="B1014" s="1" t="s">
        <v>1003</v>
      </c>
      <c r="C1014" s="5" t="s">
        <v>15</v>
      </c>
      <c r="D1014" s="2">
        <v>43759</v>
      </c>
      <c r="E1014" s="1" t="s">
        <v>16</v>
      </c>
      <c r="F1014" s="1">
        <v>24102</v>
      </c>
      <c r="G1014" s="1" t="s">
        <v>669</v>
      </c>
      <c r="H1014" s="1" t="s">
        <v>661</v>
      </c>
      <c r="J1014" s="1" t="s">
        <v>682</v>
      </c>
      <c r="K1014" s="1" t="s">
        <v>666</v>
      </c>
      <c r="L1014" s="1" t="s">
        <v>1390</v>
      </c>
      <c r="M1014" s="1" t="s">
        <v>1391</v>
      </c>
      <c r="N1014" s="1" t="str">
        <f t="shared" si="15"/>
        <v>ALCENO JUNIOR/JOÃO MARCOS</v>
      </c>
    </row>
    <row r="1015" spans="1:14" x14ac:dyDescent="0.3">
      <c r="A1015" s="1">
        <v>705271</v>
      </c>
      <c r="B1015" s="1" t="s">
        <v>1208</v>
      </c>
      <c r="C1015" s="5" t="s">
        <v>15</v>
      </c>
      <c r="D1015" s="2">
        <v>45762</v>
      </c>
      <c r="E1015" s="1" t="s">
        <v>31</v>
      </c>
      <c r="F1015" s="1">
        <v>24102</v>
      </c>
      <c r="G1015" s="1" t="s">
        <v>669</v>
      </c>
      <c r="H1015" s="1" t="s">
        <v>661</v>
      </c>
      <c r="J1015" s="1" t="s">
        <v>672</v>
      </c>
      <c r="K1015" s="1" t="s">
        <v>666</v>
      </c>
      <c r="L1015" s="1" t="s">
        <v>1388</v>
      </c>
      <c r="M1015" s="1" t="s">
        <v>1637</v>
      </c>
      <c r="N1015" s="1" t="str">
        <f t="shared" si="15"/>
        <v>JUNIO TEIXEIRA /EDIVILSON</v>
      </c>
    </row>
    <row r="1016" spans="1:14" x14ac:dyDescent="0.3">
      <c r="A1016" s="1">
        <v>702430</v>
      </c>
      <c r="B1016" s="1" t="s">
        <v>1004</v>
      </c>
      <c r="C1016" s="5" t="s">
        <v>15</v>
      </c>
      <c r="D1016" s="2">
        <v>44390</v>
      </c>
      <c r="E1016" s="1" t="s">
        <v>31</v>
      </c>
      <c r="F1016" s="1">
        <v>24201</v>
      </c>
      <c r="G1016" s="1" t="s">
        <v>664</v>
      </c>
      <c r="H1016" s="1" t="s">
        <v>661</v>
      </c>
      <c r="J1016" s="1" t="s">
        <v>665</v>
      </c>
      <c r="K1016" s="1" t="s">
        <v>666</v>
      </c>
      <c r="L1016" s="1" t="s">
        <v>258</v>
      </c>
      <c r="M1016" s="1" t="s">
        <v>667</v>
      </c>
      <c r="N1016" s="1" t="str">
        <f t="shared" si="15"/>
        <v>JOSIEL NEVES</v>
      </c>
    </row>
    <row r="1017" spans="1:14" x14ac:dyDescent="0.3">
      <c r="A1017" s="1">
        <v>703702</v>
      </c>
      <c r="B1017" s="1" t="s">
        <v>1005</v>
      </c>
      <c r="C1017" s="5" t="s">
        <v>15</v>
      </c>
      <c r="D1017" s="2">
        <v>45019</v>
      </c>
      <c r="E1017" s="1" t="s">
        <v>328</v>
      </c>
      <c r="F1017" s="1">
        <v>32102</v>
      </c>
      <c r="G1017" s="1" t="s">
        <v>674</v>
      </c>
      <c r="H1017" s="1" t="s">
        <v>661</v>
      </c>
      <c r="J1017" s="1" t="s">
        <v>675</v>
      </c>
      <c r="K1017" s="1" t="s">
        <v>25</v>
      </c>
      <c r="L1017" s="1" t="s">
        <v>1369</v>
      </c>
      <c r="M1017" s="1" t="s">
        <v>1638</v>
      </c>
      <c r="N1017" s="1" t="str">
        <f t="shared" si="15"/>
        <v>EDIVILSON MENEZES</v>
      </c>
    </row>
    <row r="1018" spans="1:14" x14ac:dyDescent="0.3">
      <c r="A1018" s="1">
        <v>701416</v>
      </c>
      <c r="B1018" s="1" t="s">
        <v>1006</v>
      </c>
      <c r="C1018" s="5" t="s">
        <v>15</v>
      </c>
      <c r="D1018" s="2">
        <v>43773</v>
      </c>
      <c r="E1018" s="1" t="s">
        <v>507</v>
      </c>
      <c r="F1018" s="1">
        <v>24102</v>
      </c>
      <c r="G1018" s="1" t="s">
        <v>669</v>
      </c>
      <c r="H1018" s="1" t="s">
        <v>661</v>
      </c>
      <c r="J1018" s="1" t="s">
        <v>85</v>
      </c>
      <c r="K1018" s="1" t="s">
        <v>1371</v>
      </c>
      <c r="L1018" s="1" t="s">
        <v>1380</v>
      </c>
      <c r="M1018" s="1" t="s">
        <v>1380</v>
      </c>
      <c r="N1018" s="1" t="str">
        <f t="shared" si="15"/>
        <v xml:space="preserve">LEONARDO SANTOS </v>
      </c>
    </row>
    <row r="1019" spans="1:14" x14ac:dyDescent="0.3">
      <c r="A1019" s="1">
        <v>703837</v>
      </c>
      <c r="B1019" s="1" t="s">
        <v>1008</v>
      </c>
      <c r="C1019" s="5" t="s">
        <v>15</v>
      </c>
      <c r="D1019" s="2">
        <v>45054</v>
      </c>
      <c r="E1019" s="1" t="s">
        <v>1009</v>
      </c>
      <c r="F1019" s="1">
        <v>38102</v>
      </c>
      <c r="G1019" s="1" t="s">
        <v>725</v>
      </c>
      <c r="H1019" s="1" t="s">
        <v>661</v>
      </c>
      <c r="J1019" s="1" t="s">
        <v>726</v>
      </c>
      <c r="K1019" s="1" t="s">
        <v>1372</v>
      </c>
      <c r="L1019" s="1" t="s">
        <v>1373</v>
      </c>
      <c r="M1019" s="1" t="s">
        <v>1373</v>
      </c>
      <c r="N1019" s="1" t="str">
        <f t="shared" si="15"/>
        <v>DENIS ACASSIO</v>
      </c>
    </row>
    <row r="1020" spans="1:14" x14ac:dyDescent="0.3">
      <c r="A1020" s="1">
        <v>702521</v>
      </c>
      <c r="B1020" s="1" t="s">
        <v>1010</v>
      </c>
      <c r="C1020" s="5" t="s">
        <v>15</v>
      </c>
      <c r="D1020" s="2">
        <v>44411</v>
      </c>
      <c r="E1020" s="1" t="s">
        <v>1011</v>
      </c>
      <c r="F1020" s="1">
        <v>39602</v>
      </c>
      <c r="G1020" s="1" t="s">
        <v>699</v>
      </c>
      <c r="H1020" s="1" t="s">
        <v>661</v>
      </c>
      <c r="J1020" s="1" t="s">
        <v>700</v>
      </c>
      <c r="K1020" s="1" t="s">
        <v>666</v>
      </c>
      <c r="L1020" s="1" t="s">
        <v>258</v>
      </c>
      <c r="M1020" s="1" t="s">
        <v>701</v>
      </c>
      <c r="N1020" s="1" t="str">
        <f t="shared" si="15"/>
        <v>IURY GUEDES</v>
      </c>
    </row>
    <row r="1021" spans="1:14" x14ac:dyDescent="0.3">
      <c r="A1021" s="1">
        <v>705555</v>
      </c>
      <c r="B1021" s="1" t="s">
        <v>1343</v>
      </c>
      <c r="C1021" s="5" t="s">
        <v>15</v>
      </c>
      <c r="D1021" s="2">
        <v>45874</v>
      </c>
      <c r="E1021" s="1" t="s">
        <v>31</v>
      </c>
      <c r="F1021" s="1">
        <v>24102</v>
      </c>
      <c r="G1021" s="1" t="s">
        <v>669</v>
      </c>
      <c r="H1021" s="1" t="s">
        <v>661</v>
      </c>
      <c r="J1021" s="1" t="s">
        <v>680</v>
      </c>
      <c r="K1021" s="1" t="s">
        <v>666</v>
      </c>
      <c r="L1021" s="1" t="s">
        <v>1388</v>
      </c>
      <c r="M1021" s="1" t="s">
        <v>1637</v>
      </c>
      <c r="N1021" s="1" t="str">
        <f t="shared" si="15"/>
        <v>JUNIO TEIXEIRA /EDIVILSON</v>
      </c>
    </row>
    <row r="1022" spans="1:14" x14ac:dyDescent="0.3">
      <c r="A1022" s="1">
        <v>701777</v>
      </c>
      <c r="B1022" s="1" t="s">
        <v>1013</v>
      </c>
      <c r="C1022" s="5" t="s">
        <v>92</v>
      </c>
      <c r="D1022" s="2">
        <v>44060</v>
      </c>
      <c r="E1022" s="1" t="s">
        <v>16</v>
      </c>
      <c r="F1022" s="1">
        <v>24102</v>
      </c>
      <c r="G1022" s="1" t="s">
        <v>669</v>
      </c>
      <c r="H1022" s="1" t="s">
        <v>661</v>
      </c>
      <c r="I1022" s="2">
        <v>46093</v>
      </c>
      <c r="J1022" s="1" t="s">
        <v>682</v>
      </c>
      <c r="K1022" s="1" t="s">
        <v>666</v>
      </c>
      <c r="L1022" s="1" t="s">
        <v>1390</v>
      </c>
      <c r="M1022" s="1" t="s">
        <v>1391</v>
      </c>
      <c r="N1022" s="1" t="str">
        <f t="shared" si="15"/>
        <v>ALCENO JUNIOR/JOÃO MARCOS</v>
      </c>
    </row>
    <row r="1023" spans="1:14" x14ac:dyDescent="0.3">
      <c r="A1023" s="1">
        <v>704978</v>
      </c>
      <c r="B1023" s="1" t="s">
        <v>1014</v>
      </c>
      <c r="C1023" s="5" t="s">
        <v>15</v>
      </c>
      <c r="D1023" s="2">
        <v>45629</v>
      </c>
      <c r="E1023" s="1" t="s">
        <v>418</v>
      </c>
      <c r="F1023" s="1">
        <v>39601</v>
      </c>
      <c r="G1023" s="1" t="s">
        <v>660</v>
      </c>
      <c r="H1023" s="1" t="s">
        <v>661</v>
      </c>
      <c r="J1023" s="1" t="s">
        <v>684</v>
      </c>
      <c r="K1023" s="1" t="s">
        <v>666</v>
      </c>
      <c r="L1023" s="1" t="s">
        <v>258</v>
      </c>
      <c r="M1023" s="1" t="s">
        <v>1392</v>
      </c>
      <c r="N1023" s="1" t="str">
        <f t="shared" si="15"/>
        <v>ADALTON/JANILSON RORIZ/MARIVALDO</v>
      </c>
    </row>
    <row r="1024" spans="1:14" x14ac:dyDescent="0.3">
      <c r="A1024" s="1">
        <v>700841</v>
      </c>
      <c r="B1024" s="1" t="s">
        <v>1015</v>
      </c>
      <c r="C1024" s="5" t="s">
        <v>15</v>
      </c>
      <c r="D1024" s="2">
        <v>43500</v>
      </c>
      <c r="E1024" s="1" t="s">
        <v>138</v>
      </c>
      <c r="F1024" s="1">
        <v>24102</v>
      </c>
      <c r="G1024" s="1" t="s">
        <v>669</v>
      </c>
      <c r="H1024" s="1" t="s">
        <v>661</v>
      </c>
      <c r="J1024" s="1" t="s">
        <v>670</v>
      </c>
      <c r="K1024" s="1" t="s">
        <v>666</v>
      </c>
      <c r="L1024" s="1" t="s">
        <v>1388</v>
      </c>
      <c r="M1024" s="1" t="s">
        <v>1637</v>
      </c>
      <c r="N1024" s="1" t="str">
        <f t="shared" si="15"/>
        <v>JUNIO TEIXEIRA /EDIVILSON</v>
      </c>
    </row>
    <row r="1025" spans="1:14" x14ac:dyDescent="0.3">
      <c r="A1025" s="1">
        <v>705861</v>
      </c>
      <c r="B1025" s="1" t="s">
        <v>1591</v>
      </c>
      <c r="C1025" s="5" t="s">
        <v>15</v>
      </c>
      <c r="D1025" s="2">
        <v>46063</v>
      </c>
      <c r="E1025" s="1" t="s">
        <v>31</v>
      </c>
      <c r="F1025" s="1">
        <v>24102</v>
      </c>
      <c r="G1025" s="1" t="s">
        <v>669</v>
      </c>
      <c r="H1025" s="1" t="s">
        <v>661</v>
      </c>
      <c r="J1025" s="1" t="s">
        <v>670</v>
      </c>
      <c r="K1025" s="1" t="s">
        <v>666</v>
      </c>
      <c r="L1025" s="1" t="s">
        <v>1388</v>
      </c>
      <c r="M1025" s="1" t="s">
        <v>1637</v>
      </c>
      <c r="N1025" s="1" t="str">
        <f t="shared" si="15"/>
        <v>JUNIO TEIXEIRA /EDIVILSON</v>
      </c>
    </row>
    <row r="1026" spans="1:14" x14ac:dyDescent="0.3">
      <c r="A1026" s="1">
        <v>704113</v>
      </c>
      <c r="B1026" s="1" t="s">
        <v>1016</v>
      </c>
      <c r="C1026" s="5" t="s">
        <v>15</v>
      </c>
      <c r="D1026" s="2">
        <v>45215</v>
      </c>
      <c r="E1026" s="1" t="s">
        <v>381</v>
      </c>
      <c r="F1026" s="1">
        <v>39602</v>
      </c>
      <c r="G1026" s="1" t="s">
        <v>699</v>
      </c>
      <c r="H1026" s="1" t="s">
        <v>661</v>
      </c>
      <c r="J1026" s="1" t="s">
        <v>700</v>
      </c>
      <c r="K1026" s="1" t="s">
        <v>666</v>
      </c>
      <c r="L1026" s="1" t="s">
        <v>258</v>
      </c>
      <c r="M1026" s="1" t="s">
        <v>701</v>
      </c>
      <c r="N1026" s="1" t="str">
        <f t="shared" si="15"/>
        <v>IURY GUEDES</v>
      </c>
    </row>
    <row r="1027" spans="1:14" x14ac:dyDescent="0.3">
      <c r="A1027" s="1">
        <v>704225</v>
      </c>
      <c r="B1027" s="1" t="s">
        <v>1017</v>
      </c>
      <c r="C1027" s="5" t="s">
        <v>15</v>
      </c>
      <c r="D1027" s="2">
        <v>45328</v>
      </c>
      <c r="E1027" s="1" t="s">
        <v>16</v>
      </c>
      <c r="F1027" s="1">
        <v>24102</v>
      </c>
      <c r="G1027" s="1" t="s">
        <v>669</v>
      </c>
      <c r="H1027" s="1" t="s">
        <v>661</v>
      </c>
      <c r="J1027" s="1" t="s">
        <v>682</v>
      </c>
      <c r="K1027" s="1" t="s">
        <v>666</v>
      </c>
      <c r="L1027" s="1" t="s">
        <v>1390</v>
      </c>
      <c r="M1027" s="1" t="s">
        <v>1391</v>
      </c>
      <c r="N1027" s="1" t="str">
        <f t="shared" ref="N1027:N1090" si="16">IF(M1027&lt;&gt;"", M1027, IF(L1027&lt;&gt;"", L1027, K1027))</f>
        <v>ALCENO JUNIOR/JOÃO MARCOS</v>
      </c>
    </row>
    <row r="1028" spans="1:14" x14ac:dyDescent="0.3">
      <c r="A1028" s="1">
        <v>705850</v>
      </c>
      <c r="B1028" s="1" t="s">
        <v>1592</v>
      </c>
      <c r="C1028" s="5" t="s">
        <v>15</v>
      </c>
      <c r="D1028" s="2">
        <v>46063</v>
      </c>
      <c r="E1028" s="1" t="s">
        <v>31</v>
      </c>
      <c r="F1028" s="1">
        <v>24102</v>
      </c>
      <c r="G1028" s="1" t="s">
        <v>669</v>
      </c>
      <c r="H1028" s="1" t="s">
        <v>661</v>
      </c>
      <c r="J1028" s="1" t="s">
        <v>672</v>
      </c>
      <c r="K1028" s="1" t="s">
        <v>666</v>
      </c>
      <c r="L1028" s="1" t="s">
        <v>1388</v>
      </c>
      <c r="M1028" s="1" t="s">
        <v>1637</v>
      </c>
      <c r="N1028" s="1" t="str">
        <f t="shared" si="16"/>
        <v>JUNIO TEIXEIRA /EDIVILSON</v>
      </c>
    </row>
    <row r="1029" spans="1:14" x14ac:dyDescent="0.3">
      <c r="A1029" s="1">
        <v>700941</v>
      </c>
      <c r="B1029" s="1" t="s">
        <v>1018</v>
      </c>
      <c r="C1029" s="5" t="s">
        <v>15</v>
      </c>
      <c r="D1029" s="2">
        <v>42445</v>
      </c>
      <c r="E1029" s="1" t="s">
        <v>1365</v>
      </c>
      <c r="F1029" s="1">
        <v>24101</v>
      </c>
      <c r="G1029" s="1" t="s">
        <v>968</v>
      </c>
      <c r="H1029" s="1" t="s">
        <v>661</v>
      </c>
      <c r="J1029" s="1" t="s">
        <v>273</v>
      </c>
      <c r="K1029" s="1" t="s">
        <v>124</v>
      </c>
      <c r="N1029" s="1" t="str">
        <f t="shared" si="16"/>
        <v>MATHEUS FERNANDES</v>
      </c>
    </row>
    <row r="1030" spans="1:14" x14ac:dyDescent="0.3">
      <c r="A1030" s="1">
        <v>703153</v>
      </c>
      <c r="B1030" s="1" t="s">
        <v>1019</v>
      </c>
      <c r="C1030" s="5" t="s">
        <v>15</v>
      </c>
      <c r="D1030" s="2">
        <v>44733</v>
      </c>
      <c r="E1030" s="1" t="s">
        <v>686</v>
      </c>
      <c r="F1030" s="1">
        <v>39601</v>
      </c>
      <c r="G1030" s="1" t="s">
        <v>660</v>
      </c>
      <c r="H1030" s="1" t="s">
        <v>661</v>
      </c>
      <c r="J1030" s="1" t="s">
        <v>700</v>
      </c>
      <c r="K1030" s="1" t="s">
        <v>666</v>
      </c>
      <c r="L1030" s="1" t="s">
        <v>258</v>
      </c>
      <c r="M1030" s="1" t="s">
        <v>701</v>
      </c>
      <c r="N1030" s="1" t="str">
        <f t="shared" si="16"/>
        <v>IURY GUEDES</v>
      </c>
    </row>
    <row r="1031" spans="1:14" x14ac:dyDescent="0.3">
      <c r="A1031" s="1">
        <v>704907</v>
      </c>
      <c r="B1031" s="1" t="s">
        <v>1020</v>
      </c>
      <c r="C1031" s="5" t="s">
        <v>15</v>
      </c>
      <c r="D1031" s="2">
        <v>45601</v>
      </c>
      <c r="E1031" s="1" t="s">
        <v>31</v>
      </c>
      <c r="F1031" s="1">
        <v>39601</v>
      </c>
      <c r="G1031" s="1" t="s">
        <v>660</v>
      </c>
      <c r="H1031" s="1" t="s">
        <v>661</v>
      </c>
      <c r="J1031" s="1" t="s">
        <v>684</v>
      </c>
      <c r="K1031" s="1" t="s">
        <v>666</v>
      </c>
      <c r="L1031" s="1" t="s">
        <v>258</v>
      </c>
      <c r="M1031" s="1" t="s">
        <v>1392</v>
      </c>
      <c r="N1031" s="1" t="str">
        <f t="shared" si="16"/>
        <v>ADALTON/JANILSON RORIZ/MARIVALDO</v>
      </c>
    </row>
    <row r="1032" spans="1:14" x14ac:dyDescent="0.3">
      <c r="A1032" s="1">
        <v>705852</v>
      </c>
      <c r="B1032" s="1" t="s">
        <v>1593</v>
      </c>
      <c r="C1032" s="5" t="s">
        <v>15</v>
      </c>
      <c r="D1032" s="2">
        <v>46063</v>
      </c>
      <c r="E1032" s="1" t="s">
        <v>31</v>
      </c>
      <c r="F1032" s="1">
        <v>24102</v>
      </c>
      <c r="G1032" s="1" t="s">
        <v>669</v>
      </c>
      <c r="H1032" s="1" t="s">
        <v>661</v>
      </c>
      <c r="J1032" s="1" t="s">
        <v>672</v>
      </c>
      <c r="K1032" s="1" t="s">
        <v>666</v>
      </c>
      <c r="L1032" s="1" t="s">
        <v>1388</v>
      </c>
      <c r="M1032" s="1" t="s">
        <v>1637</v>
      </c>
      <c r="N1032" s="1" t="str">
        <f t="shared" si="16"/>
        <v>JUNIO TEIXEIRA /EDIVILSON</v>
      </c>
    </row>
    <row r="1033" spans="1:14" x14ac:dyDescent="0.3">
      <c r="A1033" s="1">
        <v>703633</v>
      </c>
      <c r="B1033" s="1" t="s">
        <v>1021</v>
      </c>
      <c r="C1033" s="5" t="s">
        <v>15</v>
      </c>
      <c r="D1033" s="2">
        <v>44993</v>
      </c>
      <c r="E1033" s="1" t="s">
        <v>238</v>
      </c>
      <c r="F1033" s="1">
        <v>37102</v>
      </c>
      <c r="G1033" s="1" t="s">
        <v>694</v>
      </c>
      <c r="H1033" s="1" t="s">
        <v>661</v>
      </c>
      <c r="J1033" s="1" t="s">
        <v>239</v>
      </c>
      <c r="K1033" s="1" t="s">
        <v>216</v>
      </c>
      <c r="N1033" s="1" t="str">
        <f t="shared" si="16"/>
        <v>CARSON NEVES</v>
      </c>
    </row>
    <row r="1034" spans="1:14" x14ac:dyDescent="0.3">
      <c r="A1034" s="1">
        <v>705866</v>
      </c>
      <c r="B1034" s="1" t="s">
        <v>1594</v>
      </c>
      <c r="C1034" s="5" t="s">
        <v>15</v>
      </c>
      <c r="D1034" s="2">
        <v>46063</v>
      </c>
      <c r="E1034" s="1" t="s">
        <v>16</v>
      </c>
      <c r="F1034" s="1">
        <v>24102</v>
      </c>
      <c r="G1034" s="1" t="s">
        <v>669</v>
      </c>
      <c r="H1034" s="1" t="s">
        <v>661</v>
      </c>
      <c r="J1034" s="1" t="s">
        <v>670</v>
      </c>
      <c r="K1034" s="1" t="s">
        <v>666</v>
      </c>
      <c r="L1034" s="1" t="s">
        <v>1388</v>
      </c>
      <c r="M1034" s="1" t="s">
        <v>1637</v>
      </c>
      <c r="N1034" s="1" t="str">
        <f t="shared" si="16"/>
        <v>JUNIO TEIXEIRA /EDIVILSON</v>
      </c>
    </row>
    <row r="1035" spans="1:14" x14ac:dyDescent="0.3">
      <c r="A1035" s="1">
        <v>704062</v>
      </c>
      <c r="B1035" s="1" t="s">
        <v>1022</v>
      </c>
      <c r="C1035" s="5" t="s">
        <v>15</v>
      </c>
      <c r="D1035" s="2">
        <v>45154</v>
      </c>
      <c r="E1035" s="1" t="s">
        <v>31</v>
      </c>
      <c r="F1035" s="1">
        <v>24102</v>
      </c>
      <c r="G1035" s="1" t="s">
        <v>669</v>
      </c>
      <c r="H1035" s="1" t="s">
        <v>661</v>
      </c>
      <c r="J1035" s="1" t="s">
        <v>680</v>
      </c>
      <c r="K1035" s="1" t="s">
        <v>666</v>
      </c>
      <c r="L1035" s="1" t="s">
        <v>1388</v>
      </c>
      <c r="M1035" s="1" t="s">
        <v>1637</v>
      </c>
      <c r="N1035" s="1" t="str">
        <f t="shared" si="16"/>
        <v>JUNIO TEIXEIRA /EDIVILSON</v>
      </c>
    </row>
    <row r="1036" spans="1:14" x14ac:dyDescent="0.3">
      <c r="A1036" s="1">
        <v>703315</v>
      </c>
      <c r="B1036" s="1" t="s">
        <v>1023</v>
      </c>
      <c r="C1036" s="5" t="s">
        <v>15</v>
      </c>
      <c r="D1036" s="2">
        <v>44824</v>
      </c>
      <c r="E1036" s="1" t="s">
        <v>507</v>
      </c>
      <c r="F1036" s="1">
        <v>24201</v>
      </c>
      <c r="G1036" s="1" t="s">
        <v>664</v>
      </c>
      <c r="H1036" s="1" t="s">
        <v>661</v>
      </c>
      <c r="J1036" s="1" t="s">
        <v>665</v>
      </c>
      <c r="K1036" s="1" t="s">
        <v>666</v>
      </c>
      <c r="L1036" s="1" t="s">
        <v>258</v>
      </c>
      <c r="M1036" s="1" t="s">
        <v>667</v>
      </c>
      <c r="N1036" s="1" t="str">
        <f t="shared" si="16"/>
        <v>JOSIEL NEVES</v>
      </c>
    </row>
    <row r="1037" spans="1:14" x14ac:dyDescent="0.3">
      <c r="A1037" s="1">
        <v>704385</v>
      </c>
      <c r="B1037" s="1" t="s">
        <v>496</v>
      </c>
      <c r="C1037" s="5" t="s">
        <v>15</v>
      </c>
      <c r="D1037" s="2">
        <v>45391</v>
      </c>
      <c r="E1037" s="1" t="s">
        <v>905</v>
      </c>
      <c r="F1037" s="1">
        <v>32102</v>
      </c>
      <c r="G1037" s="1" t="s">
        <v>674</v>
      </c>
      <c r="H1037" s="1" t="s">
        <v>661</v>
      </c>
      <c r="J1037" s="1" t="s">
        <v>675</v>
      </c>
      <c r="K1037" s="1" t="s">
        <v>25</v>
      </c>
      <c r="L1037" s="1" t="s">
        <v>1369</v>
      </c>
      <c r="M1037" s="1" t="s">
        <v>1638</v>
      </c>
      <c r="N1037" s="1" t="str">
        <f t="shared" si="16"/>
        <v>EDIVILSON MENEZES</v>
      </c>
    </row>
    <row r="1038" spans="1:14" x14ac:dyDescent="0.3">
      <c r="A1038" s="1">
        <v>700126</v>
      </c>
      <c r="B1038" s="1" t="s">
        <v>1026</v>
      </c>
      <c r="C1038" s="5" t="s">
        <v>15</v>
      </c>
      <c r="D1038" s="2">
        <v>43192</v>
      </c>
      <c r="E1038" s="1" t="s">
        <v>31</v>
      </c>
      <c r="F1038" s="1">
        <v>24102</v>
      </c>
      <c r="G1038" s="1" t="s">
        <v>669</v>
      </c>
      <c r="H1038" s="1" t="s">
        <v>661</v>
      </c>
      <c r="J1038" s="1" t="s">
        <v>672</v>
      </c>
      <c r="K1038" s="1" t="s">
        <v>666</v>
      </c>
      <c r="L1038" s="1" t="s">
        <v>1388</v>
      </c>
      <c r="M1038" s="1" t="s">
        <v>1637</v>
      </c>
      <c r="N1038" s="1" t="str">
        <f t="shared" si="16"/>
        <v>JUNIO TEIXEIRA /EDIVILSON</v>
      </c>
    </row>
    <row r="1039" spans="1:14" x14ac:dyDescent="0.3">
      <c r="A1039" s="1">
        <v>701837</v>
      </c>
      <c r="B1039" s="1" t="s">
        <v>1027</v>
      </c>
      <c r="C1039" s="5" t="s">
        <v>15</v>
      </c>
      <c r="D1039" s="2">
        <v>44125</v>
      </c>
      <c r="E1039" s="1" t="s">
        <v>31</v>
      </c>
      <c r="F1039" s="1">
        <v>24102</v>
      </c>
      <c r="G1039" s="1" t="s">
        <v>669</v>
      </c>
      <c r="H1039" s="1" t="s">
        <v>661</v>
      </c>
      <c r="J1039" s="1" t="s">
        <v>680</v>
      </c>
      <c r="K1039" s="1" t="s">
        <v>666</v>
      </c>
      <c r="L1039" s="1" t="s">
        <v>1388</v>
      </c>
      <c r="M1039" s="1" t="s">
        <v>1637</v>
      </c>
      <c r="N1039" s="1" t="str">
        <f t="shared" si="16"/>
        <v>JUNIO TEIXEIRA /EDIVILSON</v>
      </c>
    </row>
    <row r="1040" spans="1:14" x14ac:dyDescent="0.3">
      <c r="A1040" s="1">
        <v>701315</v>
      </c>
      <c r="B1040" s="1" t="s">
        <v>1028</v>
      </c>
      <c r="C1040" s="5" t="s">
        <v>15</v>
      </c>
      <c r="D1040" s="2">
        <v>43732</v>
      </c>
      <c r="E1040" s="1" t="s">
        <v>146</v>
      </c>
      <c r="F1040" s="1">
        <v>24102</v>
      </c>
      <c r="G1040" s="1" t="s">
        <v>669</v>
      </c>
      <c r="H1040" s="1" t="s">
        <v>661</v>
      </c>
      <c r="J1040" s="1" t="s">
        <v>682</v>
      </c>
      <c r="K1040" s="1" t="s">
        <v>666</v>
      </c>
      <c r="L1040" s="1" t="s">
        <v>1390</v>
      </c>
      <c r="M1040" s="1" t="s">
        <v>1391</v>
      </c>
      <c r="N1040" s="1" t="str">
        <f t="shared" si="16"/>
        <v>ALCENO JUNIOR/JOÃO MARCOS</v>
      </c>
    </row>
    <row r="1041" spans="1:14" x14ac:dyDescent="0.3">
      <c r="A1041" s="1">
        <v>703221</v>
      </c>
      <c r="B1041" s="1" t="s">
        <v>1029</v>
      </c>
      <c r="C1041" s="5" t="s">
        <v>15</v>
      </c>
      <c r="D1041" s="2">
        <v>44756</v>
      </c>
      <c r="E1041" s="1" t="s">
        <v>686</v>
      </c>
      <c r="F1041" s="1">
        <v>39601</v>
      </c>
      <c r="G1041" s="1" t="s">
        <v>660</v>
      </c>
      <c r="H1041" s="1" t="s">
        <v>661</v>
      </c>
      <c r="J1041" s="1" t="s">
        <v>662</v>
      </c>
      <c r="K1041" s="1" t="s">
        <v>666</v>
      </c>
      <c r="L1041" s="1" t="s">
        <v>258</v>
      </c>
      <c r="N1041" s="1" t="str">
        <f t="shared" si="16"/>
        <v>MATHEUS ALMEIDA</v>
      </c>
    </row>
    <row r="1042" spans="1:14" x14ac:dyDescent="0.3">
      <c r="A1042" s="1">
        <v>705070</v>
      </c>
      <c r="B1042" s="1" t="s">
        <v>1030</v>
      </c>
      <c r="C1042" s="5" t="s">
        <v>15</v>
      </c>
      <c r="D1042" s="2">
        <v>45670</v>
      </c>
      <c r="E1042" s="1" t="s">
        <v>31</v>
      </c>
      <c r="F1042" s="1">
        <v>24102</v>
      </c>
      <c r="G1042" s="1" t="s">
        <v>669</v>
      </c>
      <c r="H1042" s="1" t="s">
        <v>661</v>
      </c>
      <c r="J1042" s="1" t="s">
        <v>672</v>
      </c>
      <c r="K1042" s="1" t="s">
        <v>666</v>
      </c>
      <c r="L1042" s="1" t="s">
        <v>1388</v>
      </c>
      <c r="M1042" s="1" t="s">
        <v>1637</v>
      </c>
      <c r="N1042" s="1" t="str">
        <f t="shared" si="16"/>
        <v>JUNIO TEIXEIRA /EDIVILSON</v>
      </c>
    </row>
    <row r="1043" spans="1:14" x14ac:dyDescent="0.3">
      <c r="A1043" s="1">
        <v>704927</v>
      </c>
      <c r="B1043" s="1" t="s">
        <v>1366</v>
      </c>
      <c r="C1043" s="5" t="s">
        <v>15</v>
      </c>
      <c r="D1043" s="2">
        <v>45601</v>
      </c>
      <c r="E1043" s="1" t="s">
        <v>138</v>
      </c>
      <c r="F1043" s="1">
        <v>24102</v>
      </c>
      <c r="G1043" s="1" t="s">
        <v>669</v>
      </c>
      <c r="H1043" s="1" t="s">
        <v>661</v>
      </c>
      <c r="J1043" s="1" t="s">
        <v>682</v>
      </c>
      <c r="K1043" s="1" t="s">
        <v>666</v>
      </c>
      <c r="L1043" s="1" t="s">
        <v>1390</v>
      </c>
      <c r="M1043" s="1" t="s">
        <v>1391</v>
      </c>
      <c r="N1043" s="1" t="str">
        <f t="shared" si="16"/>
        <v>ALCENO JUNIOR/JOÃO MARCOS</v>
      </c>
    </row>
    <row r="1044" spans="1:14" x14ac:dyDescent="0.3">
      <c r="A1044" s="1">
        <v>703939</v>
      </c>
      <c r="B1044" s="1" t="s">
        <v>1031</v>
      </c>
      <c r="C1044" s="5" t="s">
        <v>15</v>
      </c>
      <c r="D1044" s="2">
        <v>45089</v>
      </c>
      <c r="E1044" s="1" t="s">
        <v>31</v>
      </c>
      <c r="F1044" s="1">
        <v>24102</v>
      </c>
      <c r="G1044" s="1" t="s">
        <v>669</v>
      </c>
      <c r="H1044" s="1" t="s">
        <v>661</v>
      </c>
      <c r="J1044" s="1" t="s">
        <v>680</v>
      </c>
      <c r="K1044" s="1" t="s">
        <v>666</v>
      </c>
      <c r="L1044" s="1" t="s">
        <v>1388</v>
      </c>
      <c r="M1044" s="1" t="s">
        <v>1637</v>
      </c>
      <c r="N1044" s="1" t="str">
        <f t="shared" si="16"/>
        <v>JUNIO TEIXEIRA /EDIVILSON</v>
      </c>
    </row>
    <row r="1045" spans="1:14" x14ac:dyDescent="0.3">
      <c r="A1045" s="1">
        <v>700661</v>
      </c>
      <c r="B1045" s="1" t="s">
        <v>1032</v>
      </c>
      <c r="C1045" s="5" t="s">
        <v>15</v>
      </c>
      <c r="D1045" s="2">
        <v>42989</v>
      </c>
      <c r="E1045" s="1" t="s">
        <v>1363</v>
      </c>
      <c r="F1045" s="1">
        <v>39203</v>
      </c>
      <c r="G1045" s="1" t="s">
        <v>709</v>
      </c>
      <c r="H1045" s="1" t="s">
        <v>661</v>
      </c>
      <c r="J1045" s="1" t="s">
        <v>710</v>
      </c>
      <c r="K1045" s="1" t="s">
        <v>50</v>
      </c>
      <c r="L1045" s="1" t="s">
        <v>1382</v>
      </c>
      <c r="M1045" s="1" t="s">
        <v>1382</v>
      </c>
      <c r="N1045" s="1" t="str">
        <f t="shared" si="16"/>
        <v>ADENILTON RODRIGUES</v>
      </c>
    </row>
    <row r="1046" spans="1:14" x14ac:dyDescent="0.3">
      <c r="A1046" s="1">
        <v>705281</v>
      </c>
      <c r="B1046" s="1" t="s">
        <v>1033</v>
      </c>
      <c r="C1046" s="5" t="s">
        <v>15</v>
      </c>
      <c r="D1046" s="2">
        <v>45762</v>
      </c>
      <c r="E1046" s="1" t="s">
        <v>31</v>
      </c>
      <c r="F1046" s="1">
        <v>39601</v>
      </c>
      <c r="G1046" s="1" t="s">
        <v>660</v>
      </c>
      <c r="H1046" s="1" t="s">
        <v>661</v>
      </c>
      <c r="J1046" s="1" t="s">
        <v>684</v>
      </c>
      <c r="K1046" s="1" t="s">
        <v>666</v>
      </c>
      <c r="L1046" s="1" t="s">
        <v>258</v>
      </c>
      <c r="M1046" s="1" t="s">
        <v>1392</v>
      </c>
      <c r="N1046" s="1" t="str">
        <f t="shared" si="16"/>
        <v>ADALTON/JANILSON RORIZ/MARIVALDO</v>
      </c>
    </row>
    <row r="1047" spans="1:14" x14ac:dyDescent="0.3">
      <c r="A1047" s="1">
        <v>700351</v>
      </c>
      <c r="B1047" s="1" t="s">
        <v>1034</v>
      </c>
      <c r="C1047" s="5" t="s">
        <v>92</v>
      </c>
      <c r="D1047" s="2">
        <v>43297</v>
      </c>
      <c r="E1047" s="1" t="s">
        <v>146</v>
      </c>
      <c r="F1047" s="1">
        <v>39601</v>
      </c>
      <c r="G1047" s="1" t="s">
        <v>660</v>
      </c>
      <c r="H1047" s="1" t="s">
        <v>661</v>
      </c>
      <c r="I1047" s="2">
        <v>46093</v>
      </c>
      <c r="J1047" s="1" t="s">
        <v>662</v>
      </c>
      <c r="K1047" s="1" t="s">
        <v>666</v>
      </c>
      <c r="L1047" s="1" t="s">
        <v>258</v>
      </c>
      <c r="N1047" s="1" t="str">
        <f t="shared" si="16"/>
        <v>MATHEUS ALMEIDA</v>
      </c>
    </row>
    <row r="1048" spans="1:14" x14ac:dyDescent="0.3">
      <c r="A1048" s="1">
        <v>704977</v>
      </c>
      <c r="B1048" s="1" t="s">
        <v>1035</v>
      </c>
      <c r="C1048" s="5" t="s">
        <v>15</v>
      </c>
      <c r="D1048" s="2">
        <v>45629</v>
      </c>
      <c r="E1048" s="1" t="s">
        <v>427</v>
      </c>
      <c r="F1048" s="1">
        <v>39602</v>
      </c>
      <c r="G1048" s="1" t="s">
        <v>699</v>
      </c>
      <c r="H1048" s="1" t="s">
        <v>661</v>
      </c>
      <c r="J1048" s="1" t="s">
        <v>700</v>
      </c>
      <c r="K1048" s="1" t="s">
        <v>666</v>
      </c>
      <c r="L1048" s="1" t="s">
        <v>258</v>
      </c>
      <c r="M1048" s="1" t="s">
        <v>701</v>
      </c>
      <c r="N1048" s="1" t="str">
        <f t="shared" si="16"/>
        <v>IURY GUEDES</v>
      </c>
    </row>
    <row r="1049" spans="1:14" x14ac:dyDescent="0.3">
      <c r="A1049" s="1">
        <v>705846</v>
      </c>
      <c r="B1049" s="1" t="s">
        <v>1631</v>
      </c>
      <c r="C1049" s="5" t="s">
        <v>15</v>
      </c>
      <c r="D1049" s="2">
        <v>46091</v>
      </c>
      <c r="E1049" s="1" t="s">
        <v>31</v>
      </c>
      <c r="F1049" s="1">
        <v>24102</v>
      </c>
      <c r="G1049" s="1" t="s">
        <v>669</v>
      </c>
      <c r="H1049" s="1" t="s">
        <v>661</v>
      </c>
      <c r="J1049" s="1" t="s">
        <v>670</v>
      </c>
      <c r="K1049" s="1" t="s">
        <v>666</v>
      </c>
      <c r="L1049" s="1" t="s">
        <v>1388</v>
      </c>
      <c r="M1049" s="1" t="s">
        <v>1637</v>
      </c>
      <c r="N1049" s="1" t="str">
        <f t="shared" si="16"/>
        <v>JUNIO TEIXEIRA /EDIVILSON</v>
      </c>
    </row>
    <row r="1050" spans="1:14" x14ac:dyDescent="0.3">
      <c r="A1050" s="1">
        <v>701596</v>
      </c>
      <c r="B1050" s="1" t="s">
        <v>1036</v>
      </c>
      <c r="C1050" s="5" t="s">
        <v>15</v>
      </c>
      <c r="D1050" s="2">
        <v>43985</v>
      </c>
      <c r="E1050" s="1" t="s">
        <v>1037</v>
      </c>
      <c r="F1050" s="1">
        <v>32102</v>
      </c>
      <c r="G1050" s="1" t="s">
        <v>674</v>
      </c>
      <c r="H1050" s="1" t="s">
        <v>661</v>
      </c>
      <c r="J1050" s="1" t="s">
        <v>197</v>
      </c>
      <c r="K1050" s="1" t="s">
        <v>1508</v>
      </c>
      <c r="N1050" s="1" t="str">
        <f t="shared" si="16"/>
        <v xml:space="preserve">CARLOS OLIVEIRA </v>
      </c>
    </row>
    <row r="1051" spans="1:14" x14ac:dyDescent="0.3">
      <c r="A1051" s="1">
        <v>705693</v>
      </c>
      <c r="B1051" s="1" t="s">
        <v>1467</v>
      </c>
      <c r="C1051" s="5" t="s">
        <v>233</v>
      </c>
      <c r="D1051" s="2">
        <v>45971</v>
      </c>
      <c r="E1051" s="1" t="s">
        <v>152</v>
      </c>
      <c r="F1051" s="1">
        <v>39203</v>
      </c>
      <c r="G1051" s="1" t="s">
        <v>709</v>
      </c>
      <c r="H1051" s="1" t="s">
        <v>661</v>
      </c>
      <c r="J1051" s="1" t="s">
        <v>710</v>
      </c>
      <c r="K1051" s="1" t="s">
        <v>50</v>
      </c>
      <c r="L1051" s="1" t="s">
        <v>1382</v>
      </c>
      <c r="M1051" s="1" t="s">
        <v>1382</v>
      </c>
      <c r="N1051" s="1" t="str">
        <f t="shared" si="16"/>
        <v>ADENILTON RODRIGUES</v>
      </c>
    </row>
    <row r="1052" spans="1:14" x14ac:dyDescent="0.3">
      <c r="A1052" s="1">
        <v>700186</v>
      </c>
      <c r="B1052" s="1" t="s">
        <v>1038</v>
      </c>
      <c r="C1052" s="5" t="s">
        <v>15</v>
      </c>
      <c r="D1052" s="2">
        <v>43234</v>
      </c>
      <c r="E1052" s="1" t="s">
        <v>166</v>
      </c>
      <c r="F1052" s="1">
        <v>24102</v>
      </c>
      <c r="G1052" s="1" t="s">
        <v>669</v>
      </c>
      <c r="H1052" s="1" t="s">
        <v>661</v>
      </c>
      <c r="J1052" s="1" t="s">
        <v>670</v>
      </c>
      <c r="K1052" s="1" t="s">
        <v>666</v>
      </c>
      <c r="L1052" s="1" t="s">
        <v>1388</v>
      </c>
      <c r="M1052" s="1" t="s">
        <v>1637</v>
      </c>
      <c r="N1052" s="1" t="str">
        <f t="shared" si="16"/>
        <v>JUNIO TEIXEIRA /EDIVILSON</v>
      </c>
    </row>
    <row r="1053" spans="1:14" x14ac:dyDescent="0.3">
      <c r="A1053" s="1">
        <v>705672</v>
      </c>
      <c r="B1053" s="1" t="s">
        <v>504</v>
      </c>
      <c r="C1053" s="5" t="s">
        <v>15</v>
      </c>
      <c r="D1053" s="2">
        <v>45944</v>
      </c>
      <c r="E1053" s="1" t="s">
        <v>31</v>
      </c>
      <c r="F1053" s="1">
        <v>39601</v>
      </c>
      <c r="G1053" s="1" t="s">
        <v>660</v>
      </c>
      <c r="H1053" s="1" t="s">
        <v>661</v>
      </c>
      <c r="J1053" s="1" t="s">
        <v>662</v>
      </c>
      <c r="K1053" s="1" t="s">
        <v>666</v>
      </c>
      <c r="L1053" s="1" t="s">
        <v>258</v>
      </c>
      <c r="N1053" s="1" t="str">
        <f t="shared" si="16"/>
        <v>MATHEUS ALMEIDA</v>
      </c>
    </row>
    <row r="1054" spans="1:14" x14ac:dyDescent="0.3">
      <c r="A1054" s="1">
        <v>703683</v>
      </c>
      <c r="B1054" s="1" t="s">
        <v>1039</v>
      </c>
      <c r="C1054" s="5" t="s">
        <v>15</v>
      </c>
      <c r="D1054" s="2">
        <v>45019</v>
      </c>
      <c r="E1054" s="1" t="s">
        <v>146</v>
      </c>
      <c r="F1054" s="1">
        <v>39601</v>
      </c>
      <c r="G1054" s="1" t="s">
        <v>660</v>
      </c>
      <c r="H1054" s="1" t="s">
        <v>661</v>
      </c>
      <c r="J1054" s="1" t="s">
        <v>684</v>
      </c>
      <c r="K1054" s="1" t="s">
        <v>666</v>
      </c>
      <c r="L1054" s="1" t="s">
        <v>258</v>
      </c>
      <c r="M1054" s="1" t="s">
        <v>1392</v>
      </c>
      <c r="N1054" s="1" t="str">
        <f t="shared" si="16"/>
        <v>ADALTON/JANILSON RORIZ/MARIVALDO</v>
      </c>
    </row>
    <row r="1055" spans="1:14" x14ac:dyDescent="0.3">
      <c r="A1055" s="1">
        <v>701197</v>
      </c>
      <c r="B1055" s="1" t="s">
        <v>1040</v>
      </c>
      <c r="C1055" s="5" t="s">
        <v>15</v>
      </c>
      <c r="D1055" s="2">
        <v>43682</v>
      </c>
      <c r="E1055" s="1" t="s">
        <v>507</v>
      </c>
      <c r="F1055" s="1">
        <v>24102</v>
      </c>
      <c r="G1055" s="1" t="s">
        <v>669</v>
      </c>
      <c r="H1055" s="1" t="s">
        <v>661</v>
      </c>
      <c r="J1055" s="1" t="s">
        <v>682</v>
      </c>
      <c r="K1055" s="1" t="s">
        <v>666</v>
      </c>
      <c r="L1055" s="1" t="s">
        <v>1390</v>
      </c>
      <c r="M1055" s="1" t="s">
        <v>1391</v>
      </c>
      <c r="N1055" s="1" t="str">
        <f t="shared" si="16"/>
        <v>ALCENO JUNIOR/JOÃO MARCOS</v>
      </c>
    </row>
    <row r="1056" spans="1:14" x14ac:dyDescent="0.3">
      <c r="A1056" s="1">
        <v>702616</v>
      </c>
      <c r="B1056" s="1" t="s">
        <v>1041</v>
      </c>
      <c r="C1056" s="5" t="s">
        <v>15</v>
      </c>
      <c r="D1056" s="2">
        <v>44487</v>
      </c>
      <c r="E1056" s="1" t="s">
        <v>60</v>
      </c>
      <c r="F1056" s="1">
        <v>24102</v>
      </c>
      <c r="G1056" s="1" t="s">
        <v>669</v>
      </c>
      <c r="H1056" s="1" t="s">
        <v>661</v>
      </c>
      <c r="J1056" s="1" t="s">
        <v>682</v>
      </c>
      <c r="K1056" s="1" t="s">
        <v>666</v>
      </c>
      <c r="L1056" s="1" t="s">
        <v>1390</v>
      </c>
      <c r="M1056" s="1" t="s">
        <v>1391</v>
      </c>
      <c r="N1056" s="1" t="str">
        <f t="shared" si="16"/>
        <v>ALCENO JUNIOR/JOÃO MARCOS</v>
      </c>
    </row>
    <row r="1057" spans="1:14" x14ac:dyDescent="0.3">
      <c r="A1057" s="1">
        <v>704359</v>
      </c>
      <c r="B1057" s="1" t="s">
        <v>513</v>
      </c>
      <c r="C1057" s="5" t="s">
        <v>15</v>
      </c>
      <c r="D1057" s="2">
        <v>45384</v>
      </c>
      <c r="E1057" s="1" t="s">
        <v>91</v>
      </c>
      <c r="F1057" s="1">
        <v>24102</v>
      </c>
      <c r="G1057" s="1" t="s">
        <v>669</v>
      </c>
      <c r="H1057" s="1" t="s">
        <v>661</v>
      </c>
      <c r="J1057" s="1" t="s">
        <v>682</v>
      </c>
      <c r="K1057" s="1" t="s">
        <v>666</v>
      </c>
      <c r="L1057" s="1" t="s">
        <v>1390</v>
      </c>
      <c r="M1057" s="1" t="s">
        <v>1391</v>
      </c>
      <c r="N1057" s="1" t="str">
        <f t="shared" si="16"/>
        <v>ALCENO JUNIOR/JOÃO MARCOS</v>
      </c>
    </row>
    <row r="1058" spans="1:14" x14ac:dyDescent="0.3">
      <c r="A1058" s="1">
        <v>705075</v>
      </c>
      <c r="B1058" s="1" t="s">
        <v>1044</v>
      </c>
      <c r="C1058" s="5" t="s">
        <v>15</v>
      </c>
      <c r="D1058" s="2">
        <v>45671</v>
      </c>
      <c r="E1058" s="1" t="s">
        <v>31</v>
      </c>
      <c r="F1058" s="1">
        <v>24102</v>
      </c>
      <c r="G1058" s="1" t="s">
        <v>669</v>
      </c>
      <c r="H1058" s="1" t="s">
        <v>661</v>
      </c>
      <c r="J1058" s="1" t="s">
        <v>672</v>
      </c>
      <c r="K1058" s="1" t="s">
        <v>666</v>
      </c>
      <c r="L1058" s="1" t="s">
        <v>1388</v>
      </c>
      <c r="M1058" s="1" t="s">
        <v>1637</v>
      </c>
      <c r="N1058" s="1" t="str">
        <f t="shared" si="16"/>
        <v>JUNIO TEIXEIRA /EDIVILSON</v>
      </c>
    </row>
    <row r="1059" spans="1:14" x14ac:dyDescent="0.3">
      <c r="A1059" s="1">
        <v>703936</v>
      </c>
      <c r="B1059" s="1" t="s">
        <v>1045</v>
      </c>
      <c r="C1059" s="5" t="s">
        <v>15</v>
      </c>
      <c r="D1059" s="2">
        <v>45089</v>
      </c>
      <c r="E1059" s="1" t="s">
        <v>138</v>
      </c>
      <c r="F1059" s="1">
        <v>24102</v>
      </c>
      <c r="G1059" s="1" t="s">
        <v>669</v>
      </c>
      <c r="H1059" s="1" t="s">
        <v>661</v>
      </c>
      <c r="J1059" s="1" t="s">
        <v>682</v>
      </c>
      <c r="K1059" s="1" t="s">
        <v>666</v>
      </c>
      <c r="L1059" s="1" t="s">
        <v>1390</v>
      </c>
      <c r="M1059" s="1" t="s">
        <v>1391</v>
      </c>
      <c r="N1059" s="1" t="str">
        <f t="shared" si="16"/>
        <v>ALCENO JUNIOR/JOÃO MARCOS</v>
      </c>
    </row>
    <row r="1060" spans="1:14" x14ac:dyDescent="0.3">
      <c r="A1060" s="1">
        <v>704395</v>
      </c>
      <c r="B1060" s="1" t="s">
        <v>1046</v>
      </c>
      <c r="C1060" s="5" t="s">
        <v>15</v>
      </c>
      <c r="D1060" s="2">
        <v>45391</v>
      </c>
      <c r="E1060" s="1" t="s">
        <v>27</v>
      </c>
      <c r="F1060" s="1">
        <v>39601</v>
      </c>
      <c r="G1060" s="1" t="s">
        <v>660</v>
      </c>
      <c r="H1060" s="1" t="s">
        <v>661</v>
      </c>
      <c r="J1060" s="1" t="s">
        <v>662</v>
      </c>
      <c r="K1060" s="1" t="s">
        <v>666</v>
      </c>
      <c r="L1060" s="1" t="s">
        <v>258</v>
      </c>
      <c r="N1060" s="1" t="str">
        <f t="shared" si="16"/>
        <v>MATHEUS ALMEIDA</v>
      </c>
    </row>
    <row r="1061" spans="1:14" x14ac:dyDescent="0.3">
      <c r="A1061" s="1">
        <v>703239</v>
      </c>
      <c r="B1061" s="1" t="s">
        <v>1048</v>
      </c>
      <c r="C1061" s="5" t="s">
        <v>15</v>
      </c>
      <c r="D1061" s="2">
        <v>44760</v>
      </c>
      <c r="E1061" s="1" t="s">
        <v>230</v>
      </c>
      <c r="F1061" s="1">
        <v>38102</v>
      </c>
      <c r="G1061" s="1" t="s">
        <v>725</v>
      </c>
      <c r="H1061" s="1" t="s">
        <v>661</v>
      </c>
      <c r="J1061" s="1" t="s">
        <v>726</v>
      </c>
      <c r="K1061" s="1" t="s">
        <v>1372</v>
      </c>
      <c r="L1061" s="1" t="s">
        <v>1373</v>
      </c>
      <c r="M1061" s="1" t="s">
        <v>1373</v>
      </c>
      <c r="N1061" s="1" t="str">
        <f t="shared" si="16"/>
        <v>DENIS ACASSIO</v>
      </c>
    </row>
    <row r="1062" spans="1:14" x14ac:dyDescent="0.3">
      <c r="A1062" s="1">
        <v>700755</v>
      </c>
      <c r="B1062" s="1" t="s">
        <v>1049</v>
      </c>
      <c r="C1062" s="5" t="s">
        <v>15</v>
      </c>
      <c r="D1062" s="2">
        <v>43410</v>
      </c>
      <c r="E1062" s="1" t="s">
        <v>97</v>
      </c>
      <c r="F1062" s="1">
        <v>32102</v>
      </c>
      <c r="G1062" s="1" t="s">
        <v>674</v>
      </c>
      <c r="H1062" s="1" t="s">
        <v>661</v>
      </c>
      <c r="J1062" s="1" t="s">
        <v>675</v>
      </c>
      <c r="K1062" s="1" t="s">
        <v>25</v>
      </c>
      <c r="L1062" s="1" t="s">
        <v>1369</v>
      </c>
      <c r="M1062" s="1" t="s">
        <v>1638</v>
      </c>
      <c r="N1062" s="1" t="str">
        <f t="shared" si="16"/>
        <v>EDIVILSON MENEZES</v>
      </c>
    </row>
    <row r="1063" spans="1:14" x14ac:dyDescent="0.3">
      <c r="A1063" s="1">
        <v>703921</v>
      </c>
      <c r="B1063" s="1" t="s">
        <v>1050</v>
      </c>
      <c r="C1063" s="5" t="s">
        <v>15</v>
      </c>
      <c r="D1063" s="2">
        <v>45083</v>
      </c>
      <c r="E1063" s="1" t="s">
        <v>16</v>
      </c>
      <c r="F1063" s="1">
        <v>24102</v>
      </c>
      <c r="G1063" s="1" t="s">
        <v>669</v>
      </c>
      <c r="H1063" s="1" t="s">
        <v>661</v>
      </c>
      <c r="J1063" s="1" t="s">
        <v>682</v>
      </c>
      <c r="K1063" s="1" t="s">
        <v>666</v>
      </c>
      <c r="L1063" s="1" t="s">
        <v>1390</v>
      </c>
      <c r="M1063" s="1" t="s">
        <v>1391</v>
      </c>
      <c r="N1063" s="1" t="str">
        <f t="shared" si="16"/>
        <v>ALCENO JUNIOR/JOÃO MARCOS</v>
      </c>
    </row>
    <row r="1064" spans="1:14" x14ac:dyDescent="0.3">
      <c r="A1064" s="1">
        <v>705164</v>
      </c>
      <c r="B1064" s="1" t="s">
        <v>1175</v>
      </c>
      <c r="C1064" s="5" t="s">
        <v>15</v>
      </c>
      <c r="D1064" s="2">
        <v>45726</v>
      </c>
      <c r="E1064" s="1" t="s">
        <v>31</v>
      </c>
      <c r="F1064" s="1">
        <v>24102</v>
      </c>
      <c r="G1064" s="1" t="s">
        <v>669</v>
      </c>
      <c r="H1064" s="1" t="s">
        <v>661</v>
      </c>
      <c r="J1064" s="1" t="s">
        <v>670</v>
      </c>
      <c r="K1064" s="1" t="s">
        <v>666</v>
      </c>
      <c r="L1064" s="1" t="s">
        <v>1388</v>
      </c>
      <c r="M1064" s="1" t="s">
        <v>1637</v>
      </c>
      <c r="N1064" s="1" t="str">
        <f t="shared" si="16"/>
        <v>JUNIO TEIXEIRA /EDIVILSON</v>
      </c>
    </row>
    <row r="1065" spans="1:14" x14ac:dyDescent="0.3">
      <c r="A1065" s="1">
        <v>101719</v>
      </c>
      <c r="B1065" s="1" t="s">
        <v>1051</v>
      </c>
      <c r="C1065" s="5" t="s">
        <v>15</v>
      </c>
      <c r="D1065" s="2">
        <v>43060</v>
      </c>
      <c r="E1065" s="1" t="s">
        <v>109</v>
      </c>
      <c r="F1065" s="1">
        <v>32102</v>
      </c>
      <c r="G1065" s="1" t="s">
        <v>674</v>
      </c>
      <c r="H1065" s="1" t="s">
        <v>661</v>
      </c>
      <c r="J1065" s="1" t="s">
        <v>675</v>
      </c>
      <c r="K1065" s="1" t="s">
        <v>25</v>
      </c>
      <c r="L1065" s="1" t="s">
        <v>1369</v>
      </c>
      <c r="M1065" s="1" t="s">
        <v>1638</v>
      </c>
      <c r="N1065" s="1" t="str">
        <f t="shared" si="16"/>
        <v>EDIVILSON MENEZES</v>
      </c>
    </row>
    <row r="1066" spans="1:14" x14ac:dyDescent="0.3">
      <c r="A1066" s="1">
        <v>101265</v>
      </c>
      <c r="B1066" s="1" t="s">
        <v>1052</v>
      </c>
      <c r="C1066" s="5" t="s">
        <v>15</v>
      </c>
      <c r="D1066" s="2">
        <v>42800</v>
      </c>
      <c r="E1066" s="1" t="s">
        <v>27</v>
      </c>
      <c r="F1066" s="1">
        <v>39601</v>
      </c>
      <c r="G1066" s="1" t="s">
        <v>660</v>
      </c>
      <c r="H1066" s="1" t="s">
        <v>661</v>
      </c>
      <c r="J1066" s="1" t="s">
        <v>684</v>
      </c>
      <c r="K1066" s="1" t="s">
        <v>666</v>
      </c>
      <c r="L1066" s="1" t="s">
        <v>258</v>
      </c>
      <c r="M1066" s="1" t="s">
        <v>1392</v>
      </c>
      <c r="N1066" s="1" t="str">
        <f t="shared" si="16"/>
        <v>ADALTON/JANILSON RORIZ/MARIVALDO</v>
      </c>
    </row>
    <row r="1067" spans="1:14" x14ac:dyDescent="0.3">
      <c r="A1067" s="1">
        <v>701413</v>
      </c>
      <c r="B1067" s="1" t="s">
        <v>1053</v>
      </c>
      <c r="C1067" s="5" t="s">
        <v>15</v>
      </c>
      <c r="D1067" s="2">
        <v>43773</v>
      </c>
      <c r="E1067" s="1" t="s">
        <v>507</v>
      </c>
      <c r="F1067" s="1">
        <v>24102</v>
      </c>
      <c r="G1067" s="1" t="s">
        <v>669</v>
      </c>
      <c r="H1067" s="1" t="s">
        <v>661</v>
      </c>
      <c r="J1067" s="1" t="s">
        <v>85</v>
      </c>
      <c r="K1067" s="1" t="s">
        <v>1371</v>
      </c>
      <c r="L1067" s="1" t="s">
        <v>1380</v>
      </c>
      <c r="M1067" s="1" t="s">
        <v>1380</v>
      </c>
      <c r="N1067" s="1" t="str">
        <f t="shared" si="16"/>
        <v xml:space="preserve">LEONARDO SANTOS </v>
      </c>
    </row>
    <row r="1068" spans="1:14" x14ac:dyDescent="0.3">
      <c r="A1068" s="1">
        <v>705717</v>
      </c>
      <c r="B1068" s="1" t="s">
        <v>1468</v>
      </c>
      <c r="C1068" s="5" t="s">
        <v>15</v>
      </c>
      <c r="D1068" s="2">
        <v>45971</v>
      </c>
      <c r="E1068" s="1" t="s">
        <v>31</v>
      </c>
      <c r="F1068" s="1">
        <v>39601</v>
      </c>
      <c r="G1068" s="1" t="s">
        <v>660</v>
      </c>
      <c r="H1068" s="1" t="s">
        <v>661</v>
      </c>
      <c r="J1068" s="1" t="s">
        <v>684</v>
      </c>
      <c r="K1068" s="1" t="s">
        <v>666</v>
      </c>
      <c r="L1068" s="1" t="s">
        <v>258</v>
      </c>
      <c r="M1068" s="1" t="s">
        <v>1392</v>
      </c>
      <c r="N1068" s="1" t="str">
        <f t="shared" si="16"/>
        <v>ADALTON/JANILSON RORIZ/MARIVALDO</v>
      </c>
    </row>
    <row r="1069" spans="1:14" x14ac:dyDescent="0.3">
      <c r="A1069" s="1">
        <v>705721</v>
      </c>
      <c r="B1069" s="1" t="s">
        <v>1469</v>
      </c>
      <c r="C1069" s="5" t="s">
        <v>15</v>
      </c>
      <c r="D1069" s="2">
        <v>45971</v>
      </c>
      <c r="E1069" s="1" t="s">
        <v>31</v>
      </c>
      <c r="F1069" s="1">
        <v>39601</v>
      </c>
      <c r="G1069" s="1" t="s">
        <v>660</v>
      </c>
      <c r="H1069" s="1" t="s">
        <v>661</v>
      </c>
      <c r="J1069" s="1" t="s">
        <v>684</v>
      </c>
      <c r="K1069" s="1" t="s">
        <v>666</v>
      </c>
      <c r="L1069" s="1" t="s">
        <v>258</v>
      </c>
      <c r="M1069" s="1" t="s">
        <v>1392</v>
      </c>
      <c r="N1069" s="1" t="str">
        <f t="shared" si="16"/>
        <v>ADALTON/JANILSON RORIZ/MARIVALDO</v>
      </c>
    </row>
    <row r="1070" spans="1:14" x14ac:dyDescent="0.3">
      <c r="A1070" s="1">
        <v>705476</v>
      </c>
      <c r="B1070" s="1" t="s">
        <v>1286</v>
      </c>
      <c r="C1070" s="5" t="s">
        <v>15</v>
      </c>
      <c r="D1070" s="2">
        <v>45824</v>
      </c>
      <c r="E1070" s="1" t="s">
        <v>31</v>
      </c>
      <c r="F1070" s="1">
        <v>24102</v>
      </c>
      <c r="G1070" s="1" t="s">
        <v>669</v>
      </c>
      <c r="H1070" s="1" t="s">
        <v>661</v>
      </c>
      <c r="J1070" s="1" t="s">
        <v>670</v>
      </c>
      <c r="K1070" s="1" t="s">
        <v>666</v>
      </c>
      <c r="L1070" s="1" t="s">
        <v>1388</v>
      </c>
      <c r="M1070" s="1" t="s">
        <v>1637</v>
      </c>
      <c r="N1070" s="1" t="str">
        <f t="shared" si="16"/>
        <v>JUNIO TEIXEIRA /EDIVILSON</v>
      </c>
    </row>
    <row r="1071" spans="1:14" x14ac:dyDescent="0.3">
      <c r="A1071" s="1">
        <v>704867</v>
      </c>
      <c r="B1071" s="1" t="s">
        <v>1054</v>
      </c>
      <c r="C1071" s="5" t="s">
        <v>15</v>
      </c>
      <c r="D1071" s="2">
        <v>45580</v>
      </c>
      <c r="E1071" s="1" t="s">
        <v>446</v>
      </c>
      <c r="F1071" s="1">
        <v>24201</v>
      </c>
      <c r="G1071" s="1" t="s">
        <v>664</v>
      </c>
      <c r="H1071" s="1" t="s">
        <v>661</v>
      </c>
      <c r="J1071" s="1" t="s">
        <v>665</v>
      </c>
      <c r="K1071" s="1" t="s">
        <v>666</v>
      </c>
      <c r="L1071" s="1" t="s">
        <v>258</v>
      </c>
      <c r="M1071" s="1" t="s">
        <v>667</v>
      </c>
      <c r="N1071" s="1" t="str">
        <f t="shared" si="16"/>
        <v>JOSIEL NEVES</v>
      </c>
    </row>
    <row r="1072" spans="1:14" x14ac:dyDescent="0.3">
      <c r="A1072" s="1">
        <v>703727</v>
      </c>
      <c r="B1072" s="1" t="s">
        <v>1055</v>
      </c>
      <c r="C1072" s="5" t="s">
        <v>15</v>
      </c>
      <c r="D1072" s="2">
        <v>45026</v>
      </c>
      <c r="E1072" s="1" t="s">
        <v>16</v>
      </c>
      <c r="F1072" s="1">
        <v>24102</v>
      </c>
      <c r="G1072" s="1" t="s">
        <v>669</v>
      </c>
      <c r="H1072" s="1" t="s">
        <v>661</v>
      </c>
      <c r="J1072" s="1" t="s">
        <v>682</v>
      </c>
      <c r="K1072" s="1" t="s">
        <v>666</v>
      </c>
      <c r="L1072" s="1" t="s">
        <v>1390</v>
      </c>
      <c r="M1072" s="1" t="s">
        <v>1391</v>
      </c>
      <c r="N1072" s="1" t="str">
        <f t="shared" si="16"/>
        <v>ALCENO JUNIOR/JOÃO MARCOS</v>
      </c>
    </row>
    <row r="1073" spans="1:14" x14ac:dyDescent="0.3">
      <c r="A1073" s="1">
        <v>702943</v>
      </c>
      <c r="B1073" s="1" t="s">
        <v>1056</v>
      </c>
      <c r="C1073" s="5" t="s">
        <v>15</v>
      </c>
      <c r="D1073" s="2">
        <v>44663</v>
      </c>
      <c r="E1073" s="1" t="s">
        <v>31</v>
      </c>
      <c r="F1073" s="1">
        <v>24102</v>
      </c>
      <c r="G1073" s="1" t="s">
        <v>669</v>
      </c>
      <c r="H1073" s="1" t="s">
        <v>661</v>
      </c>
      <c r="J1073" s="1" t="s">
        <v>680</v>
      </c>
      <c r="K1073" s="1" t="s">
        <v>666</v>
      </c>
      <c r="L1073" s="1" t="s">
        <v>1388</v>
      </c>
      <c r="M1073" s="1" t="s">
        <v>1637</v>
      </c>
      <c r="N1073" s="1" t="str">
        <f t="shared" si="16"/>
        <v>JUNIO TEIXEIRA /EDIVILSON</v>
      </c>
    </row>
    <row r="1074" spans="1:14" x14ac:dyDescent="0.3">
      <c r="A1074" s="1">
        <v>705694</v>
      </c>
      <c r="B1074" s="1" t="s">
        <v>1470</v>
      </c>
      <c r="C1074" s="5" t="s">
        <v>15</v>
      </c>
      <c r="D1074" s="2">
        <v>45971</v>
      </c>
      <c r="E1074" s="1" t="s">
        <v>22</v>
      </c>
      <c r="F1074" s="1">
        <v>32102</v>
      </c>
      <c r="G1074" s="1" t="s">
        <v>674</v>
      </c>
      <c r="H1074" s="1" t="s">
        <v>661</v>
      </c>
      <c r="J1074" s="1" t="s">
        <v>675</v>
      </c>
      <c r="K1074" s="1" t="s">
        <v>25</v>
      </c>
      <c r="L1074" s="1" t="s">
        <v>1369</v>
      </c>
      <c r="M1074" s="1" t="s">
        <v>1638</v>
      </c>
      <c r="N1074" s="1" t="str">
        <f t="shared" si="16"/>
        <v>EDIVILSON MENEZES</v>
      </c>
    </row>
    <row r="1075" spans="1:14" x14ac:dyDescent="0.3">
      <c r="A1075" s="1">
        <v>703816</v>
      </c>
      <c r="B1075" s="1" t="s">
        <v>1057</v>
      </c>
      <c r="C1075" s="5" t="s">
        <v>15</v>
      </c>
      <c r="D1075" s="2">
        <v>44810</v>
      </c>
      <c r="E1075" s="1" t="s">
        <v>16</v>
      </c>
      <c r="F1075" s="1">
        <v>24102</v>
      </c>
      <c r="G1075" s="1" t="s">
        <v>669</v>
      </c>
      <c r="H1075" s="1" t="s">
        <v>661</v>
      </c>
      <c r="J1075" s="1" t="s">
        <v>682</v>
      </c>
      <c r="K1075" s="1" t="s">
        <v>666</v>
      </c>
      <c r="L1075" s="1" t="s">
        <v>1390</v>
      </c>
      <c r="M1075" s="1" t="s">
        <v>1391</v>
      </c>
      <c r="N1075" s="1" t="str">
        <f t="shared" si="16"/>
        <v>ALCENO JUNIOR/JOÃO MARCOS</v>
      </c>
    </row>
    <row r="1076" spans="1:14" x14ac:dyDescent="0.3">
      <c r="A1076" s="1">
        <v>704332</v>
      </c>
      <c r="B1076" s="1" t="s">
        <v>1058</v>
      </c>
      <c r="C1076" s="5" t="s">
        <v>15</v>
      </c>
      <c r="D1076" s="2">
        <v>45363</v>
      </c>
      <c r="E1076" s="1" t="s">
        <v>31</v>
      </c>
      <c r="F1076" s="1">
        <v>24201</v>
      </c>
      <c r="G1076" s="1" t="s">
        <v>664</v>
      </c>
      <c r="H1076" s="1" t="s">
        <v>661</v>
      </c>
      <c r="J1076" s="1" t="s">
        <v>665</v>
      </c>
      <c r="K1076" s="1" t="s">
        <v>666</v>
      </c>
      <c r="L1076" s="1" t="s">
        <v>258</v>
      </c>
      <c r="M1076" s="1" t="s">
        <v>667</v>
      </c>
      <c r="N1076" s="1" t="str">
        <f t="shared" si="16"/>
        <v>JOSIEL NEVES</v>
      </c>
    </row>
    <row r="1077" spans="1:14" x14ac:dyDescent="0.3">
      <c r="A1077" s="1">
        <v>704492</v>
      </c>
      <c r="B1077" s="1" t="s">
        <v>1059</v>
      </c>
      <c r="C1077" s="5" t="s">
        <v>15</v>
      </c>
      <c r="D1077" s="2">
        <v>45419</v>
      </c>
      <c r="E1077" s="1" t="s">
        <v>686</v>
      </c>
      <c r="F1077" s="1">
        <v>39601</v>
      </c>
      <c r="G1077" s="1" t="s">
        <v>660</v>
      </c>
      <c r="H1077" s="1" t="s">
        <v>661</v>
      </c>
      <c r="J1077" s="1" t="s">
        <v>684</v>
      </c>
      <c r="K1077" s="1" t="s">
        <v>666</v>
      </c>
      <c r="L1077" s="1" t="s">
        <v>258</v>
      </c>
      <c r="M1077" s="1" t="s">
        <v>1392</v>
      </c>
      <c r="N1077" s="1" t="str">
        <f t="shared" si="16"/>
        <v>ADALTON/JANILSON RORIZ/MARIVALDO</v>
      </c>
    </row>
    <row r="1078" spans="1:14" x14ac:dyDescent="0.3">
      <c r="A1078" s="1">
        <v>703639</v>
      </c>
      <c r="B1078" s="1" t="s">
        <v>1060</v>
      </c>
      <c r="C1078" s="5" t="s">
        <v>15</v>
      </c>
      <c r="D1078" s="2">
        <v>44998</v>
      </c>
      <c r="E1078" s="1" t="s">
        <v>138</v>
      </c>
      <c r="F1078" s="1">
        <v>24102</v>
      </c>
      <c r="G1078" s="1" t="s">
        <v>669</v>
      </c>
      <c r="H1078" s="1" t="s">
        <v>661</v>
      </c>
      <c r="J1078" s="1" t="s">
        <v>682</v>
      </c>
      <c r="K1078" s="1" t="s">
        <v>666</v>
      </c>
      <c r="L1078" s="1" t="s">
        <v>1390</v>
      </c>
      <c r="M1078" s="1" t="s">
        <v>1391</v>
      </c>
      <c r="N1078" s="1" t="str">
        <f t="shared" si="16"/>
        <v>ALCENO JUNIOR/JOÃO MARCOS</v>
      </c>
    </row>
    <row r="1079" spans="1:14" x14ac:dyDescent="0.3">
      <c r="A1079" s="1">
        <v>703705</v>
      </c>
      <c r="B1079" s="1" t="s">
        <v>1061</v>
      </c>
      <c r="C1079" s="5" t="s">
        <v>15</v>
      </c>
      <c r="D1079" s="2">
        <v>45019</v>
      </c>
      <c r="E1079" s="1" t="s">
        <v>31</v>
      </c>
      <c r="F1079" s="1">
        <v>24102</v>
      </c>
      <c r="G1079" s="1" t="s">
        <v>669</v>
      </c>
      <c r="H1079" s="1" t="s">
        <v>661</v>
      </c>
      <c r="J1079" s="1" t="s">
        <v>680</v>
      </c>
      <c r="K1079" s="1" t="s">
        <v>666</v>
      </c>
      <c r="L1079" s="1" t="s">
        <v>1388</v>
      </c>
      <c r="M1079" s="1" t="s">
        <v>1637</v>
      </c>
      <c r="N1079" s="1" t="str">
        <f t="shared" si="16"/>
        <v>JUNIO TEIXEIRA /EDIVILSON</v>
      </c>
    </row>
    <row r="1080" spans="1:14" x14ac:dyDescent="0.3">
      <c r="A1080" s="1">
        <v>701714</v>
      </c>
      <c r="B1080" s="1" t="s">
        <v>1062</v>
      </c>
      <c r="C1080" s="5" t="s">
        <v>15</v>
      </c>
      <c r="D1080" s="2">
        <v>44025</v>
      </c>
      <c r="E1080" s="1" t="s">
        <v>1589</v>
      </c>
      <c r="F1080" s="1">
        <v>31103</v>
      </c>
      <c r="G1080" s="1" t="s">
        <v>718</v>
      </c>
      <c r="H1080" s="1" t="s">
        <v>661</v>
      </c>
      <c r="J1080" s="1" t="s">
        <v>719</v>
      </c>
      <c r="K1080" s="1" t="s">
        <v>1381</v>
      </c>
      <c r="N1080" s="1" t="str">
        <f t="shared" si="16"/>
        <v>MARCOS OLIVEIRA</v>
      </c>
    </row>
    <row r="1081" spans="1:14" x14ac:dyDescent="0.3">
      <c r="A1081" s="1">
        <v>701753</v>
      </c>
      <c r="B1081" s="1" t="s">
        <v>1063</v>
      </c>
      <c r="C1081" s="5" t="s">
        <v>15</v>
      </c>
      <c r="D1081" s="2">
        <v>44053</v>
      </c>
      <c r="E1081" s="1" t="s">
        <v>230</v>
      </c>
      <c r="F1081" s="1">
        <v>39601</v>
      </c>
      <c r="G1081" s="1" t="s">
        <v>660</v>
      </c>
      <c r="H1081" s="1" t="s">
        <v>661</v>
      </c>
      <c r="J1081" s="1" t="s">
        <v>662</v>
      </c>
      <c r="K1081" s="1" t="s">
        <v>666</v>
      </c>
      <c r="L1081" s="1" t="s">
        <v>258</v>
      </c>
      <c r="N1081" s="1" t="str">
        <f t="shared" si="16"/>
        <v>MATHEUS ALMEIDA</v>
      </c>
    </row>
    <row r="1082" spans="1:14" x14ac:dyDescent="0.3">
      <c r="A1082" s="1">
        <v>704133</v>
      </c>
      <c r="B1082" s="1" t="s">
        <v>1064</v>
      </c>
      <c r="C1082" s="5" t="s">
        <v>15</v>
      </c>
      <c r="D1082" s="2">
        <v>45244</v>
      </c>
      <c r="E1082" s="1" t="s">
        <v>31</v>
      </c>
      <c r="F1082" s="1">
        <v>24102</v>
      </c>
      <c r="G1082" s="1" t="s">
        <v>669</v>
      </c>
      <c r="H1082" s="1" t="s">
        <v>661</v>
      </c>
      <c r="J1082" s="1" t="s">
        <v>670</v>
      </c>
      <c r="K1082" s="1" t="s">
        <v>666</v>
      </c>
      <c r="L1082" s="1" t="s">
        <v>1388</v>
      </c>
      <c r="M1082" s="1" t="s">
        <v>1637</v>
      </c>
      <c r="N1082" s="1" t="str">
        <f t="shared" si="16"/>
        <v>JUNIO TEIXEIRA /EDIVILSON</v>
      </c>
    </row>
    <row r="1083" spans="1:14" x14ac:dyDescent="0.3">
      <c r="A1083" s="1">
        <v>702071</v>
      </c>
      <c r="B1083" s="1" t="s">
        <v>1065</v>
      </c>
      <c r="C1083" s="5" t="s">
        <v>92</v>
      </c>
      <c r="D1083" s="2">
        <v>44264</v>
      </c>
      <c r="E1083" s="1" t="s">
        <v>60</v>
      </c>
      <c r="F1083" s="1">
        <v>24102</v>
      </c>
      <c r="G1083" s="1" t="s">
        <v>669</v>
      </c>
      <c r="H1083" s="1" t="s">
        <v>661</v>
      </c>
      <c r="I1083" s="2">
        <v>46093</v>
      </c>
      <c r="J1083" s="1" t="s">
        <v>697</v>
      </c>
      <c r="K1083" s="1" t="s">
        <v>666</v>
      </c>
      <c r="L1083" s="1" t="s">
        <v>1390</v>
      </c>
      <c r="M1083" s="1" t="s">
        <v>1391</v>
      </c>
      <c r="N1083" s="1" t="str">
        <f t="shared" si="16"/>
        <v>ALCENO JUNIOR/JOÃO MARCOS</v>
      </c>
    </row>
    <row r="1084" spans="1:14" x14ac:dyDescent="0.3">
      <c r="A1084" s="1">
        <v>101433</v>
      </c>
      <c r="B1084" s="1" t="s">
        <v>1066</v>
      </c>
      <c r="C1084" s="5" t="s">
        <v>15</v>
      </c>
      <c r="D1084" s="2">
        <v>42948</v>
      </c>
      <c r="E1084" s="1" t="s">
        <v>16</v>
      </c>
      <c r="F1084" s="1">
        <v>24102</v>
      </c>
      <c r="G1084" s="1" t="s">
        <v>669</v>
      </c>
      <c r="H1084" s="1" t="s">
        <v>661</v>
      </c>
      <c r="J1084" s="1" t="s">
        <v>682</v>
      </c>
      <c r="K1084" s="1" t="s">
        <v>666</v>
      </c>
      <c r="L1084" s="1" t="s">
        <v>1390</v>
      </c>
      <c r="M1084" s="1" t="s">
        <v>1391</v>
      </c>
      <c r="N1084" s="1" t="str">
        <f t="shared" si="16"/>
        <v>ALCENO JUNIOR/JOÃO MARCOS</v>
      </c>
    </row>
    <row r="1085" spans="1:14" x14ac:dyDescent="0.3">
      <c r="A1085" s="1">
        <v>704994</v>
      </c>
      <c r="B1085" s="1" t="s">
        <v>1067</v>
      </c>
      <c r="C1085" s="5" t="s">
        <v>15</v>
      </c>
      <c r="D1085" s="2">
        <v>45629</v>
      </c>
      <c r="E1085" s="1" t="s">
        <v>31</v>
      </c>
      <c r="F1085" s="1">
        <v>39601</v>
      </c>
      <c r="G1085" s="1" t="s">
        <v>660</v>
      </c>
      <c r="H1085" s="1" t="s">
        <v>661</v>
      </c>
      <c r="J1085" s="1" t="s">
        <v>684</v>
      </c>
      <c r="K1085" s="1" t="s">
        <v>666</v>
      </c>
      <c r="L1085" s="1" t="s">
        <v>258</v>
      </c>
      <c r="M1085" s="1" t="s">
        <v>1392</v>
      </c>
      <c r="N1085" s="1" t="str">
        <f t="shared" si="16"/>
        <v>ADALTON/JANILSON RORIZ/MARIVALDO</v>
      </c>
    </row>
    <row r="1086" spans="1:14" x14ac:dyDescent="0.3">
      <c r="A1086" s="1">
        <v>702146</v>
      </c>
      <c r="B1086" s="1" t="s">
        <v>1068</v>
      </c>
      <c r="C1086" s="5" t="s">
        <v>15</v>
      </c>
      <c r="D1086" s="2">
        <v>44299</v>
      </c>
      <c r="E1086" s="1" t="s">
        <v>31</v>
      </c>
      <c r="F1086" s="1">
        <v>24102</v>
      </c>
      <c r="G1086" s="1" t="s">
        <v>669</v>
      </c>
      <c r="H1086" s="1" t="s">
        <v>661</v>
      </c>
      <c r="J1086" s="1" t="s">
        <v>680</v>
      </c>
      <c r="K1086" s="1" t="s">
        <v>666</v>
      </c>
      <c r="L1086" s="1" t="s">
        <v>1388</v>
      </c>
      <c r="M1086" s="1" t="s">
        <v>1637</v>
      </c>
      <c r="N1086" s="1" t="str">
        <f t="shared" si="16"/>
        <v>JUNIO TEIXEIRA /EDIVILSON</v>
      </c>
    </row>
    <row r="1087" spans="1:14" x14ac:dyDescent="0.3">
      <c r="A1087" s="1">
        <v>703716</v>
      </c>
      <c r="B1087" s="1" t="s">
        <v>1069</v>
      </c>
      <c r="C1087" s="5" t="s">
        <v>15</v>
      </c>
      <c r="D1087" s="2">
        <v>45019</v>
      </c>
      <c r="E1087" s="1" t="s">
        <v>146</v>
      </c>
      <c r="F1087" s="1">
        <v>39601</v>
      </c>
      <c r="G1087" s="1" t="s">
        <v>660</v>
      </c>
      <c r="H1087" s="1" t="s">
        <v>661</v>
      </c>
      <c r="J1087" s="1" t="s">
        <v>684</v>
      </c>
      <c r="K1087" s="1" t="s">
        <v>666</v>
      </c>
      <c r="L1087" s="1" t="s">
        <v>258</v>
      </c>
      <c r="M1087" s="1" t="s">
        <v>1392</v>
      </c>
      <c r="N1087" s="1" t="str">
        <f t="shared" si="16"/>
        <v>ADALTON/JANILSON RORIZ/MARIVALDO</v>
      </c>
    </row>
    <row r="1088" spans="1:14" x14ac:dyDescent="0.3">
      <c r="A1088" s="1">
        <v>701739</v>
      </c>
      <c r="B1088" s="1" t="s">
        <v>1071</v>
      </c>
      <c r="C1088" s="5" t="s">
        <v>15</v>
      </c>
      <c r="D1088" s="2">
        <v>44032</v>
      </c>
      <c r="E1088" s="1" t="s">
        <v>27</v>
      </c>
      <c r="F1088" s="1">
        <v>39601</v>
      </c>
      <c r="G1088" s="1" t="s">
        <v>660</v>
      </c>
      <c r="H1088" s="1" t="s">
        <v>661</v>
      </c>
      <c r="J1088" s="1" t="s">
        <v>684</v>
      </c>
      <c r="K1088" s="1" t="s">
        <v>666</v>
      </c>
      <c r="L1088" s="1" t="s">
        <v>258</v>
      </c>
      <c r="M1088" s="1" t="s">
        <v>1392</v>
      </c>
      <c r="N1088" s="1" t="str">
        <f t="shared" si="16"/>
        <v>ADALTON/JANILSON RORIZ/MARIVALDO</v>
      </c>
    </row>
    <row r="1089" spans="1:14" x14ac:dyDescent="0.3">
      <c r="A1089" s="1">
        <v>705177</v>
      </c>
      <c r="B1089" s="1" t="s">
        <v>1176</v>
      </c>
      <c r="C1089" s="5" t="s">
        <v>15</v>
      </c>
      <c r="D1089" s="2">
        <v>45726</v>
      </c>
      <c r="E1089" s="1" t="s">
        <v>31</v>
      </c>
      <c r="F1089" s="1">
        <v>24102</v>
      </c>
      <c r="G1089" s="1" t="s">
        <v>669</v>
      </c>
      <c r="H1089" s="1" t="s">
        <v>661</v>
      </c>
      <c r="J1089" s="1" t="s">
        <v>670</v>
      </c>
      <c r="K1089" s="1" t="s">
        <v>666</v>
      </c>
      <c r="L1089" s="1" t="s">
        <v>1388</v>
      </c>
      <c r="M1089" s="1" t="s">
        <v>1637</v>
      </c>
      <c r="N1089" s="1" t="str">
        <f t="shared" si="16"/>
        <v>JUNIO TEIXEIRA /EDIVILSON</v>
      </c>
    </row>
    <row r="1090" spans="1:14" x14ac:dyDescent="0.3">
      <c r="A1090" s="1">
        <v>703021</v>
      </c>
      <c r="B1090" s="1" t="s">
        <v>1073</v>
      </c>
      <c r="C1090" s="5" t="s">
        <v>15</v>
      </c>
      <c r="D1090" s="2">
        <v>44691</v>
      </c>
      <c r="E1090" s="1" t="s">
        <v>146</v>
      </c>
      <c r="F1090" s="1">
        <v>24102</v>
      </c>
      <c r="G1090" s="1" t="s">
        <v>669</v>
      </c>
      <c r="H1090" s="1" t="s">
        <v>661</v>
      </c>
      <c r="J1090" s="1" t="s">
        <v>672</v>
      </c>
      <c r="K1090" s="1" t="s">
        <v>666</v>
      </c>
      <c r="L1090" s="1" t="s">
        <v>1388</v>
      </c>
      <c r="M1090" s="1" t="s">
        <v>1637</v>
      </c>
      <c r="N1090" s="1" t="str">
        <f t="shared" si="16"/>
        <v>JUNIO TEIXEIRA /EDIVILSON</v>
      </c>
    </row>
    <row r="1091" spans="1:14" x14ac:dyDescent="0.3">
      <c r="A1091" s="1">
        <v>705674</v>
      </c>
      <c r="B1091" s="1" t="s">
        <v>1436</v>
      </c>
      <c r="C1091" s="5" t="s">
        <v>15</v>
      </c>
      <c r="D1091" s="2">
        <v>45944</v>
      </c>
      <c r="E1091" s="1" t="s">
        <v>31</v>
      </c>
      <c r="F1091" s="1">
        <v>39601</v>
      </c>
      <c r="G1091" s="1" t="s">
        <v>660</v>
      </c>
      <c r="H1091" s="1" t="s">
        <v>661</v>
      </c>
      <c r="J1091" s="1" t="s">
        <v>662</v>
      </c>
      <c r="K1091" s="1" t="s">
        <v>666</v>
      </c>
      <c r="L1091" s="1" t="s">
        <v>258</v>
      </c>
      <c r="N1091" s="1" t="str">
        <f t="shared" ref="N1091:N1154" si="17">IF(M1091&lt;&gt;"", M1091, IF(L1091&lt;&gt;"", L1091, K1091))</f>
        <v>MATHEUS ALMEIDA</v>
      </c>
    </row>
    <row r="1092" spans="1:14" x14ac:dyDescent="0.3">
      <c r="A1092" s="1">
        <v>701006</v>
      </c>
      <c r="B1092" s="1" t="s">
        <v>1074</v>
      </c>
      <c r="C1092" s="5" t="s">
        <v>15</v>
      </c>
      <c r="D1092" s="2">
        <v>43591</v>
      </c>
      <c r="E1092" s="1" t="s">
        <v>146</v>
      </c>
      <c r="F1092" s="1">
        <v>39601</v>
      </c>
      <c r="G1092" s="1" t="s">
        <v>660</v>
      </c>
      <c r="H1092" s="1" t="s">
        <v>661</v>
      </c>
      <c r="J1092" s="1" t="s">
        <v>684</v>
      </c>
      <c r="K1092" s="1" t="s">
        <v>666</v>
      </c>
      <c r="L1092" s="1" t="s">
        <v>258</v>
      </c>
      <c r="M1092" s="1" t="s">
        <v>1392</v>
      </c>
      <c r="N1092" s="1" t="str">
        <f t="shared" si="17"/>
        <v>ADALTON/JANILSON RORIZ/MARIVALDO</v>
      </c>
    </row>
    <row r="1093" spans="1:14" x14ac:dyDescent="0.3">
      <c r="A1093" s="1">
        <v>703558</v>
      </c>
      <c r="B1093" s="1" t="s">
        <v>1075</v>
      </c>
      <c r="C1093" s="5" t="s">
        <v>15</v>
      </c>
      <c r="D1093" s="2">
        <v>44935</v>
      </c>
      <c r="E1093" s="1" t="s">
        <v>138</v>
      </c>
      <c r="F1093" s="1">
        <v>24102</v>
      </c>
      <c r="G1093" s="1" t="s">
        <v>669</v>
      </c>
      <c r="H1093" s="1" t="s">
        <v>661</v>
      </c>
      <c r="J1093" s="1" t="s">
        <v>672</v>
      </c>
      <c r="K1093" s="1" t="s">
        <v>666</v>
      </c>
      <c r="L1093" s="1" t="s">
        <v>1388</v>
      </c>
      <c r="M1093" s="1" t="s">
        <v>1637</v>
      </c>
      <c r="N1093" s="1" t="str">
        <f t="shared" si="17"/>
        <v>JUNIO TEIXEIRA /EDIVILSON</v>
      </c>
    </row>
    <row r="1094" spans="1:14" x14ac:dyDescent="0.3">
      <c r="A1094" s="1">
        <v>705103</v>
      </c>
      <c r="B1094" s="1" t="s">
        <v>1267</v>
      </c>
      <c r="C1094" s="5" t="s">
        <v>15</v>
      </c>
      <c r="D1094" s="2">
        <v>45670</v>
      </c>
      <c r="E1094" s="1" t="s">
        <v>31</v>
      </c>
      <c r="F1094" s="1">
        <v>24102</v>
      </c>
      <c r="G1094" s="1" t="s">
        <v>669</v>
      </c>
      <c r="H1094" s="1" t="s">
        <v>661</v>
      </c>
      <c r="J1094" s="1" t="s">
        <v>697</v>
      </c>
      <c r="K1094" s="1" t="s">
        <v>666</v>
      </c>
      <c r="L1094" s="1" t="s">
        <v>1390</v>
      </c>
      <c r="M1094" s="1" t="s">
        <v>1391</v>
      </c>
      <c r="N1094" s="1" t="str">
        <f t="shared" si="17"/>
        <v>ALCENO JUNIOR/JOÃO MARCOS</v>
      </c>
    </row>
    <row r="1095" spans="1:14" x14ac:dyDescent="0.3">
      <c r="A1095" s="1">
        <v>700258</v>
      </c>
      <c r="B1095" s="1" t="s">
        <v>1076</v>
      </c>
      <c r="C1095" s="5" t="s">
        <v>92</v>
      </c>
      <c r="D1095" s="2">
        <v>43262</v>
      </c>
      <c r="E1095" s="1" t="s">
        <v>60</v>
      </c>
      <c r="F1095" s="1">
        <v>24102</v>
      </c>
      <c r="G1095" s="1" t="s">
        <v>669</v>
      </c>
      <c r="H1095" s="1" t="s">
        <v>661</v>
      </c>
      <c r="I1095" s="2">
        <v>46093</v>
      </c>
      <c r="J1095" s="1" t="s">
        <v>682</v>
      </c>
      <c r="K1095" s="1" t="s">
        <v>666</v>
      </c>
      <c r="L1095" s="1" t="s">
        <v>1390</v>
      </c>
      <c r="M1095" s="1" t="s">
        <v>1391</v>
      </c>
      <c r="N1095" s="1" t="str">
        <f t="shared" si="17"/>
        <v>ALCENO JUNIOR/JOÃO MARCOS</v>
      </c>
    </row>
    <row r="1096" spans="1:14" x14ac:dyDescent="0.3">
      <c r="A1096" s="1">
        <v>705526</v>
      </c>
      <c r="B1096" s="1" t="s">
        <v>1437</v>
      </c>
      <c r="C1096" s="5" t="s">
        <v>15</v>
      </c>
      <c r="D1096" s="2">
        <v>45847</v>
      </c>
      <c r="E1096" s="1" t="s">
        <v>31</v>
      </c>
      <c r="F1096" s="1">
        <v>39601</v>
      </c>
      <c r="G1096" s="1" t="s">
        <v>660</v>
      </c>
      <c r="H1096" s="1" t="s">
        <v>661</v>
      </c>
      <c r="J1096" s="1" t="s">
        <v>684</v>
      </c>
      <c r="K1096" s="1" t="s">
        <v>666</v>
      </c>
      <c r="L1096" s="1" t="s">
        <v>258</v>
      </c>
      <c r="M1096" s="1" t="s">
        <v>1392</v>
      </c>
      <c r="N1096" s="1" t="str">
        <f t="shared" si="17"/>
        <v>ADALTON/JANILSON RORIZ/MARIVALDO</v>
      </c>
    </row>
    <row r="1097" spans="1:14" x14ac:dyDescent="0.3">
      <c r="A1097" s="1">
        <v>705114</v>
      </c>
      <c r="B1097" s="1" t="s">
        <v>1077</v>
      </c>
      <c r="C1097" s="5" t="s">
        <v>15</v>
      </c>
      <c r="D1097" s="2">
        <v>45678</v>
      </c>
      <c r="E1097" s="1" t="s">
        <v>31</v>
      </c>
      <c r="F1097" s="1">
        <v>24102</v>
      </c>
      <c r="G1097" s="1" t="s">
        <v>669</v>
      </c>
      <c r="H1097" s="1" t="s">
        <v>661</v>
      </c>
      <c r="J1097" s="1" t="s">
        <v>672</v>
      </c>
      <c r="K1097" s="1" t="s">
        <v>666</v>
      </c>
      <c r="L1097" s="1" t="s">
        <v>1388</v>
      </c>
      <c r="M1097" s="1" t="s">
        <v>1637</v>
      </c>
      <c r="N1097" s="1" t="str">
        <f t="shared" si="17"/>
        <v>JUNIO TEIXEIRA /EDIVILSON</v>
      </c>
    </row>
    <row r="1098" spans="1:14" x14ac:dyDescent="0.3">
      <c r="A1098" s="1">
        <v>704486</v>
      </c>
      <c r="B1098" s="1" t="s">
        <v>1078</v>
      </c>
      <c r="C1098" s="5" t="s">
        <v>92</v>
      </c>
      <c r="D1098" s="2">
        <v>45419</v>
      </c>
      <c r="E1098" s="1" t="s">
        <v>16</v>
      </c>
      <c r="F1098" s="1">
        <v>24102</v>
      </c>
      <c r="G1098" s="1" t="s">
        <v>669</v>
      </c>
      <c r="H1098" s="1" t="s">
        <v>661</v>
      </c>
      <c r="I1098" s="2">
        <v>46093</v>
      </c>
      <c r="J1098" s="1" t="s">
        <v>682</v>
      </c>
      <c r="K1098" s="1" t="s">
        <v>666</v>
      </c>
      <c r="L1098" s="1" t="s">
        <v>1390</v>
      </c>
      <c r="M1098" s="1" t="s">
        <v>1391</v>
      </c>
      <c r="N1098" s="1" t="str">
        <f t="shared" si="17"/>
        <v>ALCENO JUNIOR/JOÃO MARCOS</v>
      </c>
    </row>
    <row r="1099" spans="1:14" x14ac:dyDescent="0.3">
      <c r="A1099" s="1">
        <v>705266</v>
      </c>
      <c r="B1099" s="1" t="s">
        <v>1210</v>
      </c>
      <c r="C1099" s="5" t="s">
        <v>15</v>
      </c>
      <c r="D1099" s="2">
        <v>45762</v>
      </c>
      <c r="E1099" s="1" t="s">
        <v>336</v>
      </c>
      <c r="F1099" s="1">
        <v>24102</v>
      </c>
      <c r="G1099" s="1" t="s">
        <v>669</v>
      </c>
      <c r="H1099" s="1" t="s">
        <v>661</v>
      </c>
      <c r="J1099" s="1" t="s">
        <v>672</v>
      </c>
      <c r="K1099" s="1" t="s">
        <v>666</v>
      </c>
      <c r="L1099" s="1" t="s">
        <v>1388</v>
      </c>
      <c r="M1099" s="1" t="s">
        <v>1637</v>
      </c>
      <c r="N1099" s="1" t="str">
        <f t="shared" si="17"/>
        <v>JUNIO TEIXEIRA /EDIVILSON</v>
      </c>
    </row>
    <row r="1100" spans="1:14" x14ac:dyDescent="0.3">
      <c r="A1100" s="1">
        <v>702803</v>
      </c>
      <c r="B1100" s="1" t="s">
        <v>1079</v>
      </c>
      <c r="C1100" s="5" t="s">
        <v>15</v>
      </c>
      <c r="D1100" s="2">
        <v>44607</v>
      </c>
      <c r="E1100" s="1" t="s">
        <v>31</v>
      </c>
      <c r="F1100" s="1">
        <v>24102</v>
      </c>
      <c r="G1100" s="1" t="s">
        <v>669</v>
      </c>
      <c r="H1100" s="1" t="s">
        <v>661</v>
      </c>
      <c r="J1100" s="1" t="s">
        <v>697</v>
      </c>
      <c r="K1100" s="1" t="s">
        <v>666</v>
      </c>
      <c r="L1100" s="1" t="s">
        <v>1390</v>
      </c>
      <c r="M1100" s="1" t="s">
        <v>1391</v>
      </c>
      <c r="N1100" s="1" t="str">
        <f t="shared" si="17"/>
        <v>ALCENO JUNIOR/JOÃO MARCOS</v>
      </c>
    </row>
    <row r="1101" spans="1:14" x14ac:dyDescent="0.3">
      <c r="A1101" s="1">
        <v>704811</v>
      </c>
      <c r="B1101" s="1" t="s">
        <v>1080</v>
      </c>
      <c r="C1101" s="5" t="s">
        <v>15</v>
      </c>
      <c r="D1101" s="2">
        <v>45566</v>
      </c>
      <c r="E1101" s="1" t="s">
        <v>138</v>
      </c>
      <c r="F1101" s="1">
        <v>24102</v>
      </c>
      <c r="G1101" s="1" t="s">
        <v>669</v>
      </c>
      <c r="H1101" s="1" t="s">
        <v>661</v>
      </c>
      <c r="J1101" s="1" t="s">
        <v>682</v>
      </c>
      <c r="K1101" s="1" t="s">
        <v>666</v>
      </c>
      <c r="L1101" s="1" t="s">
        <v>1390</v>
      </c>
      <c r="M1101" s="1" t="s">
        <v>1391</v>
      </c>
      <c r="N1101" s="1" t="str">
        <f t="shared" si="17"/>
        <v>ALCENO JUNIOR/JOÃO MARCOS</v>
      </c>
    </row>
    <row r="1102" spans="1:14" x14ac:dyDescent="0.3">
      <c r="A1102" s="1">
        <v>705276</v>
      </c>
      <c r="B1102" s="1" t="s">
        <v>1211</v>
      </c>
      <c r="C1102" s="5" t="s">
        <v>15</v>
      </c>
      <c r="D1102" s="2">
        <v>45762</v>
      </c>
      <c r="E1102" s="1" t="s">
        <v>31</v>
      </c>
      <c r="F1102" s="1">
        <v>24102</v>
      </c>
      <c r="G1102" s="1" t="s">
        <v>669</v>
      </c>
      <c r="H1102" s="1" t="s">
        <v>661</v>
      </c>
      <c r="J1102" s="1" t="s">
        <v>672</v>
      </c>
      <c r="K1102" s="1" t="s">
        <v>666</v>
      </c>
      <c r="L1102" s="1" t="s">
        <v>1388</v>
      </c>
      <c r="M1102" s="1" t="s">
        <v>1637</v>
      </c>
      <c r="N1102" s="1" t="str">
        <f t="shared" si="17"/>
        <v>JUNIO TEIXEIRA /EDIVILSON</v>
      </c>
    </row>
    <row r="1103" spans="1:14" x14ac:dyDescent="0.3">
      <c r="A1103" s="1">
        <v>701708</v>
      </c>
      <c r="B1103" s="1" t="s">
        <v>1081</v>
      </c>
      <c r="C1103" s="5" t="s">
        <v>15</v>
      </c>
      <c r="D1103" s="2">
        <v>44025</v>
      </c>
      <c r="E1103" s="1" t="s">
        <v>60</v>
      </c>
      <c r="F1103" s="1">
        <v>24102</v>
      </c>
      <c r="G1103" s="1" t="s">
        <v>669</v>
      </c>
      <c r="H1103" s="1" t="s">
        <v>661</v>
      </c>
      <c r="J1103" s="1" t="s">
        <v>682</v>
      </c>
      <c r="K1103" s="1" t="s">
        <v>666</v>
      </c>
      <c r="L1103" s="1" t="s">
        <v>1390</v>
      </c>
      <c r="M1103" s="1" t="s">
        <v>1391</v>
      </c>
      <c r="N1103" s="1" t="str">
        <f t="shared" si="17"/>
        <v>ALCENO JUNIOR/JOÃO MARCOS</v>
      </c>
    </row>
    <row r="1104" spans="1:14" x14ac:dyDescent="0.3">
      <c r="A1104" s="1">
        <v>705858</v>
      </c>
      <c r="B1104" s="1" t="s">
        <v>1595</v>
      </c>
      <c r="C1104" s="5" t="s">
        <v>15</v>
      </c>
      <c r="D1104" s="2">
        <v>46063</v>
      </c>
      <c r="E1104" s="1" t="s">
        <v>31</v>
      </c>
      <c r="F1104" s="1">
        <v>24102</v>
      </c>
      <c r="G1104" s="1" t="s">
        <v>669</v>
      </c>
      <c r="H1104" s="1" t="s">
        <v>661</v>
      </c>
      <c r="J1104" s="1" t="s">
        <v>670</v>
      </c>
      <c r="K1104" s="1" t="s">
        <v>666</v>
      </c>
      <c r="L1104" s="1" t="s">
        <v>1388</v>
      </c>
      <c r="M1104" s="1" t="s">
        <v>1637</v>
      </c>
      <c r="N1104" s="1" t="str">
        <f t="shared" si="17"/>
        <v>JUNIO TEIXEIRA /EDIVILSON</v>
      </c>
    </row>
    <row r="1105" spans="1:14" x14ac:dyDescent="0.3">
      <c r="A1105" s="1">
        <v>100880</v>
      </c>
      <c r="B1105" s="1" t="s">
        <v>1082</v>
      </c>
      <c r="C1105" s="5" t="s">
        <v>15</v>
      </c>
      <c r="D1105" s="2">
        <v>42444</v>
      </c>
      <c r="E1105" s="1" t="s">
        <v>255</v>
      </c>
      <c r="F1105" s="1">
        <v>39601</v>
      </c>
      <c r="G1105" s="1" t="s">
        <v>660</v>
      </c>
      <c r="H1105" s="1" t="s">
        <v>661</v>
      </c>
      <c r="J1105" s="1" t="s">
        <v>662</v>
      </c>
      <c r="K1105" s="1" t="s">
        <v>666</v>
      </c>
      <c r="L1105" s="1" t="s">
        <v>258</v>
      </c>
      <c r="N1105" s="1" t="str">
        <f t="shared" si="17"/>
        <v>MATHEUS ALMEIDA</v>
      </c>
    </row>
    <row r="1106" spans="1:14" x14ac:dyDescent="0.3">
      <c r="A1106" s="1">
        <v>705545</v>
      </c>
      <c r="B1106" s="1" t="s">
        <v>1324</v>
      </c>
      <c r="C1106" s="5" t="s">
        <v>15</v>
      </c>
      <c r="D1106" s="2">
        <v>45881</v>
      </c>
      <c r="E1106" s="1" t="s">
        <v>1596</v>
      </c>
      <c r="F1106" s="1">
        <v>37102</v>
      </c>
      <c r="G1106" s="1" t="s">
        <v>694</v>
      </c>
      <c r="H1106" s="1" t="s">
        <v>661</v>
      </c>
      <c r="J1106" s="1" t="s">
        <v>239</v>
      </c>
      <c r="K1106" s="1" t="s">
        <v>216</v>
      </c>
      <c r="N1106" s="1" t="str">
        <f t="shared" si="17"/>
        <v>CARSON NEVES</v>
      </c>
    </row>
    <row r="1107" spans="1:14" x14ac:dyDescent="0.3">
      <c r="A1107" s="1">
        <v>705098</v>
      </c>
      <c r="B1107" s="1" t="s">
        <v>1084</v>
      </c>
      <c r="C1107" s="5" t="s">
        <v>15</v>
      </c>
      <c r="D1107" s="2">
        <v>45670</v>
      </c>
      <c r="E1107" s="1" t="s">
        <v>31</v>
      </c>
      <c r="F1107" s="1">
        <v>24102</v>
      </c>
      <c r="G1107" s="1" t="s">
        <v>669</v>
      </c>
      <c r="H1107" s="1" t="s">
        <v>661</v>
      </c>
      <c r="J1107" s="1" t="s">
        <v>672</v>
      </c>
      <c r="K1107" s="1" t="s">
        <v>666</v>
      </c>
      <c r="L1107" s="1" t="s">
        <v>1388</v>
      </c>
      <c r="M1107" s="1" t="s">
        <v>1637</v>
      </c>
      <c r="N1107" s="1" t="str">
        <f t="shared" si="17"/>
        <v>JUNIO TEIXEIRA /EDIVILSON</v>
      </c>
    </row>
    <row r="1108" spans="1:14" x14ac:dyDescent="0.3">
      <c r="A1108" s="1">
        <v>701755</v>
      </c>
      <c r="B1108" s="1" t="s">
        <v>1085</v>
      </c>
      <c r="C1108" s="5" t="s">
        <v>15</v>
      </c>
      <c r="D1108" s="2">
        <v>44053</v>
      </c>
      <c r="E1108" s="1" t="s">
        <v>1086</v>
      </c>
      <c r="F1108" s="1">
        <v>31103</v>
      </c>
      <c r="G1108" s="1" t="s">
        <v>718</v>
      </c>
      <c r="H1108" s="1" t="s">
        <v>661</v>
      </c>
      <c r="J1108" s="1" t="s">
        <v>719</v>
      </c>
      <c r="K1108" s="1" t="s">
        <v>1381</v>
      </c>
      <c r="N1108" s="1" t="str">
        <f t="shared" si="17"/>
        <v>MARCOS OLIVEIRA</v>
      </c>
    </row>
    <row r="1109" spans="1:14" x14ac:dyDescent="0.3">
      <c r="A1109" s="1">
        <v>704674</v>
      </c>
      <c r="B1109" s="1" t="s">
        <v>1087</v>
      </c>
      <c r="C1109" s="5" t="s">
        <v>15</v>
      </c>
      <c r="D1109" s="2">
        <v>45510</v>
      </c>
      <c r="E1109" s="1" t="s">
        <v>418</v>
      </c>
      <c r="F1109" s="1">
        <v>39601</v>
      </c>
      <c r="G1109" s="1" t="s">
        <v>660</v>
      </c>
      <c r="H1109" s="1" t="s">
        <v>661</v>
      </c>
      <c r="J1109" s="1" t="s">
        <v>662</v>
      </c>
      <c r="K1109" s="1" t="s">
        <v>666</v>
      </c>
      <c r="L1109" s="1" t="s">
        <v>258</v>
      </c>
      <c r="N1109" s="1" t="str">
        <f t="shared" si="17"/>
        <v>MATHEUS ALMEIDA</v>
      </c>
    </row>
    <row r="1110" spans="1:14" x14ac:dyDescent="0.3">
      <c r="A1110" s="1">
        <v>101411</v>
      </c>
      <c r="B1110" s="1" t="s">
        <v>1088</v>
      </c>
      <c r="C1110" s="5" t="s">
        <v>15</v>
      </c>
      <c r="D1110" s="2">
        <v>42926</v>
      </c>
      <c r="E1110" s="1" t="s">
        <v>507</v>
      </c>
      <c r="F1110" s="1">
        <v>24201</v>
      </c>
      <c r="G1110" s="1" t="s">
        <v>664</v>
      </c>
      <c r="H1110" s="1" t="s">
        <v>661</v>
      </c>
      <c r="J1110" s="1" t="s">
        <v>665</v>
      </c>
      <c r="K1110" s="1" t="s">
        <v>666</v>
      </c>
      <c r="L1110" s="1" t="s">
        <v>258</v>
      </c>
      <c r="M1110" s="1" t="s">
        <v>667</v>
      </c>
      <c r="N1110" s="1" t="str">
        <f t="shared" si="17"/>
        <v>JOSIEL NEVES</v>
      </c>
    </row>
    <row r="1111" spans="1:14" x14ac:dyDescent="0.3">
      <c r="A1111" s="1">
        <v>705321</v>
      </c>
      <c r="B1111" s="1" t="s">
        <v>1269</v>
      </c>
      <c r="C1111" s="5" t="s">
        <v>15</v>
      </c>
      <c r="D1111" s="2">
        <v>45784</v>
      </c>
      <c r="E1111" s="1" t="s">
        <v>31</v>
      </c>
      <c r="F1111" s="1">
        <v>24102</v>
      </c>
      <c r="G1111" s="1" t="s">
        <v>669</v>
      </c>
      <c r="H1111" s="1" t="s">
        <v>661</v>
      </c>
      <c r="J1111" s="1" t="s">
        <v>670</v>
      </c>
      <c r="K1111" s="1" t="s">
        <v>666</v>
      </c>
      <c r="L1111" s="1" t="s">
        <v>1388</v>
      </c>
      <c r="M1111" s="1" t="s">
        <v>1637</v>
      </c>
      <c r="N1111" s="1" t="str">
        <f t="shared" si="17"/>
        <v>JUNIO TEIXEIRA /EDIVILSON</v>
      </c>
    </row>
    <row r="1112" spans="1:14" x14ac:dyDescent="0.3">
      <c r="A1112" s="1">
        <v>705676</v>
      </c>
      <c r="B1112" s="1" t="s">
        <v>1089</v>
      </c>
      <c r="C1112" s="5" t="s">
        <v>15</v>
      </c>
      <c r="D1112" s="2">
        <v>45944</v>
      </c>
      <c r="E1112" s="1" t="s">
        <v>31</v>
      </c>
      <c r="F1112" s="1">
        <v>39601</v>
      </c>
      <c r="G1112" s="1" t="s">
        <v>660</v>
      </c>
      <c r="H1112" s="1" t="s">
        <v>661</v>
      </c>
      <c r="J1112" s="1" t="s">
        <v>684</v>
      </c>
      <c r="K1112" s="1" t="s">
        <v>666</v>
      </c>
      <c r="L1112" s="1" t="s">
        <v>258</v>
      </c>
      <c r="M1112" s="1" t="s">
        <v>1392</v>
      </c>
      <c r="N1112" s="1" t="str">
        <f t="shared" si="17"/>
        <v>ADALTON/JANILSON RORIZ/MARIVALDO</v>
      </c>
    </row>
    <row r="1113" spans="1:14" x14ac:dyDescent="0.3">
      <c r="A1113" s="1">
        <v>704469</v>
      </c>
      <c r="B1113" s="1" t="s">
        <v>1090</v>
      </c>
      <c r="C1113" s="5" t="s">
        <v>15</v>
      </c>
      <c r="D1113" s="2">
        <v>45419</v>
      </c>
      <c r="E1113" s="1" t="s">
        <v>31</v>
      </c>
      <c r="F1113" s="1">
        <v>24201</v>
      </c>
      <c r="G1113" s="1" t="s">
        <v>664</v>
      </c>
      <c r="H1113" s="1" t="s">
        <v>661</v>
      </c>
      <c r="J1113" s="1" t="s">
        <v>665</v>
      </c>
      <c r="K1113" s="1" t="s">
        <v>666</v>
      </c>
      <c r="L1113" s="1" t="s">
        <v>258</v>
      </c>
      <c r="M1113" s="1" t="s">
        <v>667</v>
      </c>
      <c r="N1113" s="1" t="str">
        <f t="shared" si="17"/>
        <v>JOSIEL NEVES</v>
      </c>
    </row>
    <row r="1114" spans="1:14" x14ac:dyDescent="0.3">
      <c r="A1114" s="1">
        <v>705473</v>
      </c>
      <c r="B1114" s="1" t="s">
        <v>1287</v>
      </c>
      <c r="C1114" s="5" t="s">
        <v>15</v>
      </c>
      <c r="D1114" s="2">
        <v>45824</v>
      </c>
      <c r="E1114" s="1" t="s">
        <v>31</v>
      </c>
      <c r="F1114" s="1">
        <v>24102</v>
      </c>
      <c r="G1114" s="1" t="s">
        <v>669</v>
      </c>
      <c r="H1114" s="1" t="s">
        <v>661</v>
      </c>
      <c r="J1114" s="1" t="s">
        <v>670</v>
      </c>
      <c r="K1114" s="1" t="s">
        <v>666</v>
      </c>
      <c r="L1114" s="1" t="s">
        <v>1388</v>
      </c>
      <c r="M1114" s="1" t="s">
        <v>1637</v>
      </c>
      <c r="N1114" s="1" t="str">
        <f t="shared" si="17"/>
        <v>JUNIO TEIXEIRA /EDIVILSON</v>
      </c>
    </row>
    <row r="1115" spans="1:14" x14ac:dyDescent="0.3">
      <c r="A1115" s="1">
        <v>705889</v>
      </c>
      <c r="B1115" s="1" t="s">
        <v>1597</v>
      </c>
      <c r="C1115" s="5" t="s">
        <v>15</v>
      </c>
      <c r="D1115" s="2">
        <v>46063</v>
      </c>
      <c r="E1115" s="1" t="s">
        <v>60</v>
      </c>
      <c r="F1115" s="1">
        <v>24102</v>
      </c>
      <c r="G1115" s="1" t="s">
        <v>669</v>
      </c>
      <c r="H1115" s="1" t="s">
        <v>661</v>
      </c>
      <c r="J1115" s="1" t="s">
        <v>804</v>
      </c>
      <c r="K1115" s="1" t="s">
        <v>666</v>
      </c>
      <c r="M1115" s="1" t="s">
        <v>805</v>
      </c>
      <c r="N1115" s="1" t="str">
        <f t="shared" si="17"/>
        <v>JAILSON RORIZ</v>
      </c>
    </row>
    <row r="1116" spans="1:14" x14ac:dyDescent="0.3">
      <c r="A1116" s="1">
        <v>705873</v>
      </c>
      <c r="B1116" s="1" t="s">
        <v>1598</v>
      </c>
      <c r="C1116" s="5" t="s">
        <v>15</v>
      </c>
      <c r="D1116" s="2">
        <v>46063</v>
      </c>
      <c r="E1116" s="1" t="s">
        <v>31</v>
      </c>
      <c r="F1116" s="1">
        <v>24102</v>
      </c>
      <c r="G1116" s="1" t="s">
        <v>669</v>
      </c>
      <c r="H1116" s="1" t="s">
        <v>661</v>
      </c>
      <c r="J1116" s="1" t="s">
        <v>670</v>
      </c>
      <c r="K1116" s="1" t="s">
        <v>666</v>
      </c>
      <c r="L1116" s="1" t="s">
        <v>1388</v>
      </c>
      <c r="M1116" s="1" t="s">
        <v>1637</v>
      </c>
      <c r="N1116" s="1" t="str">
        <f t="shared" si="17"/>
        <v>JUNIO TEIXEIRA /EDIVILSON</v>
      </c>
    </row>
    <row r="1117" spans="1:14" x14ac:dyDescent="0.3">
      <c r="A1117" s="1">
        <v>703827</v>
      </c>
      <c r="B1117" s="1" t="s">
        <v>1093</v>
      </c>
      <c r="C1117" s="5" t="s">
        <v>15</v>
      </c>
      <c r="D1117" s="2">
        <v>45054</v>
      </c>
      <c r="E1117" s="1" t="s">
        <v>138</v>
      </c>
      <c r="F1117" s="1">
        <v>24102</v>
      </c>
      <c r="G1117" s="1" t="s">
        <v>669</v>
      </c>
      <c r="H1117" s="1" t="s">
        <v>661</v>
      </c>
      <c r="J1117" s="1" t="s">
        <v>682</v>
      </c>
      <c r="K1117" s="1" t="s">
        <v>666</v>
      </c>
      <c r="L1117" s="1" t="s">
        <v>1390</v>
      </c>
      <c r="M1117" s="1" t="s">
        <v>1391</v>
      </c>
      <c r="N1117" s="1" t="str">
        <f t="shared" si="17"/>
        <v>ALCENO JUNIOR/JOÃO MARCOS</v>
      </c>
    </row>
    <row r="1118" spans="1:14" x14ac:dyDescent="0.3">
      <c r="A1118" s="1">
        <v>705396</v>
      </c>
      <c r="B1118" s="1" t="s">
        <v>1270</v>
      </c>
      <c r="C1118" s="5" t="s">
        <v>15</v>
      </c>
      <c r="D1118" s="2">
        <v>45791</v>
      </c>
      <c r="E1118" s="1" t="s">
        <v>31</v>
      </c>
      <c r="F1118" s="1">
        <v>39601</v>
      </c>
      <c r="G1118" s="1" t="s">
        <v>660</v>
      </c>
      <c r="H1118" s="1" t="s">
        <v>661</v>
      </c>
      <c r="J1118" s="1" t="s">
        <v>662</v>
      </c>
      <c r="K1118" s="1" t="s">
        <v>666</v>
      </c>
      <c r="L1118" s="1" t="s">
        <v>258</v>
      </c>
      <c r="N1118" s="1" t="str">
        <f t="shared" si="17"/>
        <v>MATHEUS ALMEIDA</v>
      </c>
    </row>
    <row r="1119" spans="1:14" x14ac:dyDescent="0.3">
      <c r="A1119" s="1">
        <v>101772</v>
      </c>
      <c r="B1119" s="1" t="s">
        <v>1094</v>
      </c>
      <c r="C1119" s="5" t="s">
        <v>15</v>
      </c>
      <c r="D1119" s="2">
        <v>43073</v>
      </c>
      <c r="E1119" s="1" t="s">
        <v>16</v>
      </c>
      <c r="F1119" s="1">
        <v>24102</v>
      </c>
      <c r="G1119" s="1" t="s">
        <v>669</v>
      </c>
      <c r="H1119" s="1" t="s">
        <v>661</v>
      </c>
      <c r="J1119" s="1" t="s">
        <v>682</v>
      </c>
      <c r="K1119" s="1" t="s">
        <v>666</v>
      </c>
      <c r="L1119" s="1" t="s">
        <v>1390</v>
      </c>
      <c r="M1119" s="1" t="s">
        <v>1391</v>
      </c>
      <c r="N1119" s="1" t="str">
        <f t="shared" si="17"/>
        <v>ALCENO JUNIOR/JOÃO MARCOS</v>
      </c>
    </row>
    <row r="1120" spans="1:14" x14ac:dyDescent="0.3">
      <c r="A1120" s="1">
        <v>703144</v>
      </c>
      <c r="B1120" s="1" t="s">
        <v>1095</v>
      </c>
      <c r="C1120" s="5" t="s">
        <v>15</v>
      </c>
      <c r="D1120" s="2">
        <v>44713</v>
      </c>
      <c r="E1120" s="1" t="s">
        <v>16</v>
      </c>
      <c r="F1120" s="1">
        <v>24102</v>
      </c>
      <c r="G1120" s="1" t="s">
        <v>669</v>
      </c>
      <c r="H1120" s="1" t="s">
        <v>661</v>
      </c>
      <c r="J1120" s="1" t="s">
        <v>682</v>
      </c>
      <c r="K1120" s="1" t="s">
        <v>666</v>
      </c>
      <c r="L1120" s="1" t="s">
        <v>1390</v>
      </c>
      <c r="M1120" s="1" t="s">
        <v>1391</v>
      </c>
      <c r="N1120" s="1" t="str">
        <f t="shared" si="17"/>
        <v>ALCENO JUNIOR/JOÃO MARCOS</v>
      </c>
    </row>
    <row r="1121" spans="1:14" x14ac:dyDescent="0.3">
      <c r="A1121" s="1">
        <v>700457</v>
      </c>
      <c r="B1121" s="1" t="s">
        <v>1096</v>
      </c>
      <c r="C1121" s="5" t="s">
        <v>15</v>
      </c>
      <c r="D1121" s="2">
        <v>43332</v>
      </c>
      <c r="E1121" s="1" t="s">
        <v>686</v>
      </c>
      <c r="F1121" s="1">
        <v>39601</v>
      </c>
      <c r="G1121" s="1" t="s">
        <v>660</v>
      </c>
      <c r="H1121" s="1" t="s">
        <v>661</v>
      </c>
      <c r="J1121" s="1" t="s">
        <v>700</v>
      </c>
      <c r="K1121" s="1" t="s">
        <v>666</v>
      </c>
      <c r="L1121" s="1" t="s">
        <v>258</v>
      </c>
      <c r="M1121" s="1" t="s">
        <v>701</v>
      </c>
      <c r="N1121" s="1" t="str">
        <f t="shared" si="17"/>
        <v>IURY GUEDES</v>
      </c>
    </row>
    <row r="1122" spans="1:14" x14ac:dyDescent="0.3">
      <c r="A1122" s="1">
        <v>705101</v>
      </c>
      <c r="B1122" s="1" t="s">
        <v>1098</v>
      </c>
      <c r="C1122" s="5" t="s">
        <v>15</v>
      </c>
      <c r="D1122" s="2">
        <v>45670</v>
      </c>
      <c r="E1122" s="1" t="s">
        <v>31</v>
      </c>
      <c r="F1122" s="1">
        <v>24102</v>
      </c>
      <c r="G1122" s="1" t="s">
        <v>669</v>
      </c>
      <c r="H1122" s="1" t="s">
        <v>661</v>
      </c>
      <c r="J1122" s="1" t="s">
        <v>672</v>
      </c>
      <c r="K1122" s="1" t="s">
        <v>666</v>
      </c>
      <c r="L1122" s="1" t="s">
        <v>1388</v>
      </c>
      <c r="M1122" s="1" t="s">
        <v>1637</v>
      </c>
      <c r="N1122" s="1" t="str">
        <f t="shared" si="17"/>
        <v>JUNIO TEIXEIRA /EDIVILSON</v>
      </c>
    </row>
    <row r="1123" spans="1:14" x14ac:dyDescent="0.3">
      <c r="A1123" s="1">
        <v>705033</v>
      </c>
      <c r="B1123" s="1" t="s">
        <v>1099</v>
      </c>
      <c r="C1123" s="5" t="s">
        <v>15</v>
      </c>
      <c r="D1123" s="2">
        <v>45636</v>
      </c>
      <c r="E1123" s="1" t="s">
        <v>31</v>
      </c>
      <c r="F1123" s="1">
        <v>24201</v>
      </c>
      <c r="G1123" s="1" t="s">
        <v>664</v>
      </c>
      <c r="H1123" s="1" t="s">
        <v>661</v>
      </c>
      <c r="J1123" s="1" t="s">
        <v>665</v>
      </c>
      <c r="K1123" s="1" t="s">
        <v>666</v>
      </c>
      <c r="L1123" s="1" t="s">
        <v>258</v>
      </c>
      <c r="M1123" s="1" t="s">
        <v>667</v>
      </c>
      <c r="N1123" s="1" t="str">
        <f t="shared" si="17"/>
        <v>JOSIEL NEVES</v>
      </c>
    </row>
    <row r="1124" spans="1:14" x14ac:dyDescent="0.3">
      <c r="A1124" s="1">
        <v>705021</v>
      </c>
      <c r="B1124" s="1" t="s">
        <v>1100</v>
      </c>
      <c r="C1124" s="5" t="s">
        <v>15</v>
      </c>
      <c r="D1124" s="2">
        <v>45635</v>
      </c>
      <c r="E1124" s="1" t="s">
        <v>31</v>
      </c>
      <c r="F1124" s="1">
        <v>24102</v>
      </c>
      <c r="G1124" s="1" t="s">
        <v>669</v>
      </c>
      <c r="H1124" s="1" t="s">
        <v>661</v>
      </c>
      <c r="J1124" s="1" t="s">
        <v>670</v>
      </c>
      <c r="K1124" s="1" t="s">
        <v>666</v>
      </c>
      <c r="L1124" s="1" t="s">
        <v>1388</v>
      </c>
      <c r="M1124" s="1" t="s">
        <v>1637</v>
      </c>
      <c r="N1124" s="1" t="str">
        <f t="shared" si="17"/>
        <v>JUNIO TEIXEIRA /EDIVILSON</v>
      </c>
    </row>
    <row r="1125" spans="1:14" x14ac:dyDescent="0.3">
      <c r="A1125" s="1">
        <v>701241</v>
      </c>
      <c r="B1125" s="1" t="s">
        <v>1101</v>
      </c>
      <c r="C1125" s="5" t="s">
        <v>15</v>
      </c>
      <c r="D1125" s="2">
        <v>43711</v>
      </c>
      <c r="E1125" s="1" t="s">
        <v>16</v>
      </c>
      <c r="F1125" s="1">
        <v>24102</v>
      </c>
      <c r="G1125" s="1" t="s">
        <v>669</v>
      </c>
      <c r="H1125" s="1" t="s">
        <v>661</v>
      </c>
      <c r="J1125" s="1" t="s">
        <v>682</v>
      </c>
      <c r="K1125" s="1" t="s">
        <v>666</v>
      </c>
      <c r="L1125" s="1" t="s">
        <v>1390</v>
      </c>
      <c r="M1125" s="1" t="s">
        <v>1391</v>
      </c>
      <c r="N1125" s="1" t="str">
        <f t="shared" si="17"/>
        <v>ALCENO JUNIOR/JOÃO MARCOS</v>
      </c>
    </row>
    <row r="1126" spans="1:14" x14ac:dyDescent="0.3">
      <c r="A1126" s="1">
        <v>705160</v>
      </c>
      <c r="B1126" s="1" t="s">
        <v>1177</v>
      </c>
      <c r="C1126" s="5" t="s">
        <v>15</v>
      </c>
      <c r="D1126" s="2">
        <v>45720</v>
      </c>
      <c r="E1126" s="1" t="s">
        <v>428</v>
      </c>
      <c r="F1126" s="1">
        <v>32102</v>
      </c>
      <c r="G1126" s="1" t="s">
        <v>674</v>
      </c>
      <c r="H1126" s="1" t="s">
        <v>661</v>
      </c>
      <c r="J1126" s="1" t="s">
        <v>675</v>
      </c>
      <c r="K1126" s="1" t="s">
        <v>25</v>
      </c>
      <c r="L1126" s="1" t="s">
        <v>1369</v>
      </c>
      <c r="M1126" s="1" t="s">
        <v>1638</v>
      </c>
      <c r="N1126" s="1" t="str">
        <f t="shared" si="17"/>
        <v>EDIVILSON MENEZES</v>
      </c>
    </row>
    <row r="1127" spans="1:14" x14ac:dyDescent="0.3">
      <c r="A1127" s="1">
        <v>700898</v>
      </c>
      <c r="B1127" s="1" t="s">
        <v>1102</v>
      </c>
      <c r="C1127" s="5" t="s">
        <v>92</v>
      </c>
      <c r="D1127" s="2">
        <v>43529</v>
      </c>
      <c r="E1127" s="1" t="s">
        <v>16</v>
      </c>
      <c r="F1127" s="1">
        <v>24102</v>
      </c>
      <c r="G1127" s="1" t="s">
        <v>669</v>
      </c>
      <c r="H1127" s="1" t="s">
        <v>661</v>
      </c>
      <c r="I1127" s="2">
        <v>46093</v>
      </c>
      <c r="J1127" s="1" t="s">
        <v>682</v>
      </c>
      <c r="K1127" s="1" t="s">
        <v>666</v>
      </c>
      <c r="L1127" s="1" t="s">
        <v>1390</v>
      </c>
      <c r="M1127" s="1" t="s">
        <v>1391</v>
      </c>
      <c r="N1127" s="1" t="str">
        <f t="shared" si="17"/>
        <v>ALCENO JUNIOR/JOÃO MARCOS</v>
      </c>
    </row>
    <row r="1128" spans="1:14" x14ac:dyDescent="0.3">
      <c r="A1128" s="1">
        <v>703459</v>
      </c>
      <c r="B1128" s="1" t="s">
        <v>1103</v>
      </c>
      <c r="C1128" s="5" t="s">
        <v>15</v>
      </c>
      <c r="D1128" s="2">
        <v>44887</v>
      </c>
      <c r="E1128" s="1" t="s">
        <v>31</v>
      </c>
      <c r="F1128" s="1">
        <v>24102</v>
      </c>
      <c r="G1128" s="1" t="s">
        <v>669</v>
      </c>
      <c r="H1128" s="1" t="s">
        <v>661</v>
      </c>
      <c r="J1128" s="1" t="s">
        <v>85</v>
      </c>
      <c r="K1128" s="1" t="s">
        <v>1371</v>
      </c>
      <c r="L1128" s="1" t="s">
        <v>1380</v>
      </c>
      <c r="M1128" s="1" t="s">
        <v>1380</v>
      </c>
      <c r="N1128" s="1" t="str">
        <f t="shared" si="17"/>
        <v xml:space="preserve">LEONARDO SANTOS </v>
      </c>
    </row>
    <row r="1129" spans="1:14" x14ac:dyDescent="0.3">
      <c r="A1129" s="1">
        <v>705678</v>
      </c>
      <c r="B1129" s="1" t="s">
        <v>1439</v>
      </c>
      <c r="C1129" s="5" t="s">
        <v>15</v>
      </c>
      <c r="D1129" s="2">
        <v>45944</v>
      </c>
      <c r="E1129" s="1" t="s">
        <v>31</v>
      </c>
      <c r="F1129" s="1">
        <v>39601</v>
      </c>
      <c r="G1129" s="1" t="s">
        <v>660</v>
      </c>
      <c r="H1129" s="1" t="s">
        <v>661</v>
      </c>
      <c r="J1129" s="1" t="s">
        <v>684</v>
      </c>
      <c r="K1129" s="1" t="s">
        <v>666</v>
      </c>
      <c r="L1129" s="1" t="s">
        <v>258</v>
      </c>
      <c r="M1129" s="1" t="s">
        <v>1392</v>
      </c>
      <c r="N1129" s="1" t="str">
        <f t="shared" si="17"/>
        <v>ADALTON/JANILSON RORIZ/MARIVALDO</v>
      </c>
    </row>
    <row r="1130" spans="1:14" x14ac:dyDescent="0.3">
      <c r="A1130" s="1">
        <v>703561</v>
      </c>
      <c r="B1130" s="1" t="s">
        <v>1104</v>
      </c>
      <c r="C1130" s="5" t="s">
        <v>15</v>
      </c>
      <c r="D1130" s="2">
        <v>44935</v>
      </c>
      <c r="E1130" s="1" t="s">
        <v>138</v>
      </c>
      <c r="F1130" s="1">
        <v>24102</v>
      </c>
      <c r="G1130" s="1" t="s">
        <v>669</v>
      </c>
      <c r="H1130" s="1" t="s">
        <v>661</v>
      </c>
      <c r="J1130" s="1" t="s">
        <v>670</v>
      </c>
      <c r="K1130" s="1" t="s">
        <v>666</v>
      </c>
      <c r="L1130" s="1" t="s">
        <v>1388</v>
      </c>
      <c r="M1130" s="1" t="s">
        <v>1637</v>
      </c>
      <c r="N1130" s="1" t="str">
        <f t="shared" si="17"/>
        <v>JUNIO TEIXEIRA /EDIVILSON</v>
      </c>
    </row>
    <row r="1131" spans="1:14" x14ac:dyDescent="0.3">
      <c r="A1131" s="1">
        <v>101728</v>
      </c>
      <c r="B1131" s="1" t="s">
        <v>1107</v>
      </c>
      <c r="C1131" s="5" t="s">
        <v>15</v>
      </c>
      <c r="D1131" s="2">
        <v>43066</v>
      </c>
      <c r="E1131" s="1" t="s">
        <v>127</v>
      </c>
      <c r="F1131" s="1">
        <v>24102</v>
      </c>
      <c r="G1131" s="1" t="s">
        <v>669</v>
      </c>
      <c r="H1131" s="1" t="s">
        <v>661</v>
      </c>
      <c r="J1131" s="1" t="s">
        <v>670</v>
      </c>
      <c r="K1131" s="1" t="s">
        <v>666</v>
      </c>
      <c r="L1131" s="1" t="s">
        <v>1388</v>
      </c>
      <c r="M1131" s="1" t="s">
        <v>1637</v>
      </c>
      <c r="N1131" s="1" t="str">
        <f t="shared" si="17"/>
        <v>JUNIO TEIXEIRA /EDIVILSON</v>
      </c>
    </row>
    <row r="1132" spans="1:14" x14ac:dyDescent="0.3">
      <c r="A1132" s="1">
        <v>704351</v>
      </c>
      <c r="B1132" s="1" t="s">
        <v>1108</v>
      </c>
      <c r="C1132" s="5" t="s">
        <v>15</v>
      </c>
      <c r="D1132" s="2">
        <v>45363</v>
      </c>
      <c r="E1132" s="1" t="s">
        <v>16</v>
      </c>
      <c r="F1132" s="1">
        <v>24102</v>
      </c>
      <c r="G1132" s="1" t="s">
        <v>669</v>
      </c>
      <c r="H1132" s="1" t="s">
        <v>661</v>
      </c>
      <c r="J1132" s="1" t="s">
        <v>804</v>
      </c>
      <c r="K1132" s="1" t="s">
        <v>666</v>
      </c>
      <c r="M1132" s="1" t="s">
        <v>805</v>
      </c>
      <c r="N1132" s="1" t="str">
        <f t="shared" si="17"/>
        <v>JAILSON RORIZ</v>
      </c>
    </row>
    <row r="1133" spans="1:14" x14ac:dyDescent="0.3">
      <c r="A1133" s="1">
        <v>703261</v>
      </c>
      <c r="B1133" s="1" t="s">
        <v>553</v>
      </c>
      <c r="C1133" s="5" t="s">
        <v>15</v>
      </c>
      <c r="D1133" s="2">
        <v>44781</v>
      </c>
      <c r="E1133" s="1" t="s">
        <v>31</v>
      </c>
      <c r="F1133" s="1">
        <v>24102</v>
      </c>
      <c r="G1133" s="1" t="s">
        <v>669</v>
      </c>
      <c r="H1133" s="1" t="s">
        <v>661</v>
      </c>
      <c r="J1133" s="1" t="s">
        <v>682</v>
      </c>
      <c r="K1133" s="1" t="s">
        <v>666</v>
      </c>
      <c r="L1133" s="1" t="s">
        <v>1390</v>
      </c>
      <c r="M1133" s="1" t="s">
        <v>1391</v>
      </c>
      <c r="N1133" s="1" t="str">
        <f t="shared" si="17"/>
        <v>ALCENO JUNIOR/JOÃO MARCOS</v>
      </c>
    </row>
    <row r="1134" spans="1:14" x14ac:dyDescent="0.3">
      <c r="A1134" s="1">
        <v>704396</v>
      </c>
      <c r="B1134" s="1" t="s">
        <v>1109</v>
      </c>
      <c r="C1134" s="5" t="s">
        <v>15</v>
      </c>
      <c r="D1134" s="2">
        <v>45391</v>
      </c>
      <c r="E1134" s="1" t="s">
        <v>16</v>
      </c>
      <c r="F1134" s="1">
        <v>24102</v>
      </c>
      <c r="G1134" s="1" t="s">
        <v>669</v>
      </c>
      <c r="H1134" s="1" t="s">
        <v>661</v>
      </c>
      <c r="J1134" s="1" t="s">
        <v>682</v>
      </c>
      <c r="K1134" s="1" t="s">
        <v>666</v>
      </c>
      <c r="L1134" s="1" t="s">
        <v>1390</v>
      </c>
      <c r="M1134" s="1" t="s">
        <v>1391</v>
      </c>
      <c r="N1134" s="1" t="str">
        <f t="shared" si="17"/>
        <v>ALCENO JUNIOR/JOÃO MARCOS</v>
      </c>
    </row>
    <row r="1135" spans="1:14" x14ac:dyDescent="0.3">
      <c r="A1135" s="1">
        <v>702070</v>
      </c>
      <c r="B1135" s="1" t="s">
        <v>1110</v>
      </c>
      <c r="C1135" s="5" t="s">
        <v>15</v>
      </c>
      <c r="D1135" s="2">
        <v>44264</v>
      </c>
      <c r="E1135" s="1" t="s">
        <v>423</v>
      </c>
      <c r="F1135" s="1">
        <v>31103</v>
      </c>
      <c r="G1135" s="1" t="s">
        <v>718</v>
      </c>
      <c r="H1135" s="1" t="s">
        <v>661</v>
      </c>
      <c r="J1135" s="1" t="s">
        <v>719</v>
      </c>
      <c r="K1135" s="1" t="s">
        <v>1381</v>
      </c>
      <c r="N1135" s="1" t="str">
        <f t="shared" si="17"/>
        <v>MARCOS OLIVEIRA</v>
      </c>
    </row>
    <row r="1136" spans="1:14" x14ac:dyDescent="0.3">
      <c r="A1136" s="1">
        <v>703317</v>
      </c>
      <c r="B1136" s="1" t="s">
        <v>1111</v>
      </c>
      <c r="C1136" s="5" t="s">
        <v>15</v>
      </c>
      <c r="D1136" s="2">
        <v>44824</v>
      </c>
      <c r="E1136" s="1" t="s">
        <v>109</v>
      </c>
      <c r="F1136" s="1">
        <v>32102</v>
      </c>
      <c r="G1136" s="1" t="s">
        <v>674</v>
      </c>
      <c r="H1136" s="1" t="s">
        <v>661</v>
      </c>
      <c r="J1136" s="1" t="s">
        <v>675</v>
      </c>
      <c r="K1136" s="1" t="s">
        <v>25</v>
      </c>
      <c r="L1136" s="1" t="s">
        <v>1369</v>
      </c>
      <c r="M1136" s="1" t="s">
        <v>1638</v>
      </c>
      <c r="N1136" s="1" t="str">
        <f t="shared" si="17"/>
        <v>EDIVILSON MENEZES</v>
      </c>
    </row>
    <row r="1137" spans="1:14" x14ac:dyDescent="0.3">
      <c r="A1137" s="1">
        <v>702948</v>
      </c>
      <c r="B1137" s="1" t="s">
        <v>1112</v>
      </c>
      <c r="C1137" s="5" t="s">
        <v>15</v>
      </c>
      <c r="D1137" s="2">
        <v>44663</v>
      </c>
      <c r="E1137" s="1" t="s">
        <v>27</v>
      </c>
      <c r="F1137" s="1">
        <v>39601</v>
      </c>
      <c r="G1137" s="1" t="s">
        <v>660</v>
      </c>
      <c r="H1137" s="1" t="s">
        <v>661</v>
      </c>
      <c r="J1137" s="1" t="s">
        <v>684</v>
      </c>
      <c r="K1137" s="1" t="s">
        <v>666</v>
      </c>
      <c r="L1137" s="1" t="s">
        <v>258</v>
      </c>
      <c r="M1137" s="1" t="s">
        <v>1392</v>
      </c>
      <c r="N1137" s="1" t="str">
        <f t="shared" si="17"/>
        <v>ADALTON/JANILSON RORIZ/MARIVALDO</v>
      </c>
    </row>
    <row r="1138" spans="1:14" x14ac:dyDescent="0.3">
      <c r="A1138" s="1">
        <v>704680</v>
      </c>
      <c r="B1138" s="1" t="s">
        <v>1113</v>
      </c>
      <c r="C1138" s="5" t="s">
        <v>15</v>
      </c>
      <c r="D1138" s="2">
        <v>45510</v>
      </c>
      <c r="E1138" s="1" t="s">
        <v>129</v>
      </c>
      <c r="F1138" s="1">
        <v>31103</v>
      </c>
      <c r="G1138" s="1" t="s">
        <v>718</v>
      </c>
      <c r="H1138" s="1" t="s">
        <v>661</v>
      </c>
      <c r="J1138" s="1" t="s">
        <v>719</v>
      </c>
      <c r="K1138" s="1" t="s">
        <v>1381</v>
      </c>
      <c r="N1138" s="1" t="str">
        <f t="shared" si="17"/>
        <v>MARCOS OLIVEIRA</v>
      </c>
    </row>
    <row r="1139" spans="1:14" x14ac:dyDescent="0.3">
      <c r="A1139" s="1">
        <v>704822</v>
      </c>
      <c r="B1139" s="1" t="s">
        <v>1114</v>
      </c>
      <c r="C1139" s="5" t="s">
        <v>15</v>
      </c>
      <c r="D1139" s="2">
        <v>45566</v>
      </c>
      <c r="E1139" s="1" t="s">
        <v>418</v>
      </c>
      <c r="F1139" s="1">
        <v>39601</v>
      </c>
      <c r="G1139" s="1" t="s">
        <v>660</v>
      </c>
      <c r="H1139" s="1" t="s">
        <v>661</v>
      </c>
      <c r="J1139" s="1" t="s">
        <v>662</v>
      </c>
      <c r="K1139" s="1" t="s">
        <v>666</v>
      </c>
      <c r="L1139" s="1" t="s">
        <v>258</v>
      </c>
      <c r="N1139" s="1" t="str">
        <f t="shared" si="17"/>
        <v>MATHEUS ALMEIDA</v>
      </c>
    </row>
    <row r="1140" spans="1:14" x14ac:dyDescent="0.3">
      <c r="A1140" s="1">
        <v>702806</v>
      </c>
      <c r="B1140" s="1" t="s">
        <v>1115</v>
      </c>
      <c r="C1140" s="5" t="s">
        <v>15</v>
      </c>
      <c r="D1140" s="2">
        <v>44607</v>
      </c>
      <c r="E1140" s="1" t="s">
        <v>138</v>
      </c>
      <c r="F1140" s="1">
        <v>24102</v>
      </c>
      <c r="G1140" s="1" t="s">
        <v>669</v>
      </c>
      <c r="H1140" s="1" t="s">
        <v>661</v>
      </c>
      <c r="J1140" s="1" t="s">
        <v>697</v>
      </c>
      <c r="K1140" s="1" t="s">
        <v>666</v>
      </c>
      <c r="L1140" s="1" t="s">
        <v>1390</v>
      </c>
      <c r="M1140" s="1" t="s">
        <v>1391</v>
      </c>
      <c r="N1140" s="1" t="str">
        <f t="shared" si="17"/>
        <v>ALCENO JUNIOR/JOÃO MARCOS</v>
      </c>
    </row>
    <row r="1141" spans="1:14" x14ac:dyDescent="0.3">
      <c r="A1141" s="1">
        <v>705602</v>
      </c>
      <c r="B1141" s="1" t="s">
        <v>1367</v>
      </c>
      <c r="C1141" s="5" t="s">
        <v>15</v>
      </c>
      <c r="D1141" s="2">
        <v>45902</v>
      </c>
      <c r="E1141" s="1" t="s">
        <v>905</v>
      </c>
      <c r="F1141" s="1">
        <v>39602</v>
      </c>
      <c r="G1141" s="1" t="s">
        <v>699</v>
      </c>
      <c r="H1141" s="1" t="s">
        <v>661</v>
      </c>
      <c r="J1141" s="1" t="s">
        <v>700</v>
      </c>
      <c r="K1141" s="1" t="s">
        <v>666</v>
      </c>
      <c r="L1141" s="1" t="s">
        <v>258</v>
      </c>
      <c r="M1141" s="1" t="s">
        <v>701</v>
      </c>
      <c r="N1141" s="1" t="str">
        <f t="shared" si="17"/>
        <v>IURY GUEDES</v>
      </c>
    </row>
    <row r="1142" spans="1:14" x14ac:dyDescent="0.3">
      <c r="A1142" s="1">
        <v>705325</v>
      </c>
      <c r="B1142" s="1" t="s">
        <v>1271</v>
      </c>
      <c r="C1142" s="5" t="s">
        <v>15</v>
      </c>
      <c r="D1142" s="2">
        <v>45784</v>
      </c>
      <c r="E1142" s="1" t="s">
        <v>31</v>
      </c>
      <c r="F1142" s="1">
        <v>24102</v>
      </c>
      <c r="G1142" s="1" t="s">
        <v>669</v>
      </c>
      <c r="H1142" s="1" t="s">
        <v>661</v>
      </c>
      <c r="J1142" s="1" t="s">
        <v>670</v>
      </c>
      <c r="K1142" s="1" t="s">
        <v>666</v>
      </c>
      <c r="L1142" s="1" t="s">
        <v>1388</v>
      </c>
      <c r="M1142" s="1" t="s">
        <v>1637</v>
      </c>
      <c r="N1142" s="1" t="str">
        <f t="shared" si="17"/>
        <v>JUNIO TEIXEIRA /EDIVILSON</v>
      </c>
    </row>
    <row r="1143" spans="1:14" x14ac:dyDescent="0.3">
      <c r="A1143" s="1">
        <v>705005</v>
      </c>
      <c r="B1143" s="1" t="s">
        <v>1116</v>
      </c>
      <c r="C1143" s="5" t="s">
        <v>15</v>
      </c>
      <c r="D1143" s="2">
        <v>45636</v>
      </c>
      <c r="E1143" s="1" t="s">
        <v>22</v>
      </c>
      <c r="F1143" s="1">
        <v>39601</v>
      </c>
      <c r="G1143" s="1" t="s">
        <v>660</v>
      </c>
      <c r="H1143" s="1" t="s">
        <v>661</v>
      </c>
      <c r="J1143" s="1" t="s">
        <v>662</v>
      </c>
      <c r="K1143" s="1" t="s">
        <v>666</v>
      </c>
      <c r="L1143" s="1" t="s">
        <v>258</v>
      </c>
      <c r="N1143" s="1" t="str">
        <f t="shared" si="17"/>
        <v>MATHEUS ALMEIDA</v>
      </c>
    </row>
    <row r="1144" spans="1:14" x14ac:dyDescent="0.3">
      <c r="A1144" s="1">
        <v>704347</v>
      </c>
      <c r="B1144" s="1" t="s">
        <v>1117</v>
      </c>
      <c r="C1144" s="5" t="s">
        <v>15</v>
      </c>
      <c r="D1144" s="2">
        <v>45363</v>
      </c>
      <c r="E1144" s="1" t="s">
        <v>138</v>
      </c>
      <c r="F1144" s="1">
        <v>24102</v>
      </c>
      <c r="G1144" s="1" t="s">
        <v>669</v>
      </c>
      <c r="H1144" s="1" t="s">
        <v>661</v>
      </c>
      <c r="J1144" s="1" t="s">
        <v>682</v>
      </c>
      <c r="K1144" s="1" t="s">
        <v>666</v>
      </c>
      <c r="L1144" s="1" t="s">
        <v>1390</v>
      </c>
      <c r="M1144" s="1" t="s">
        <v>1391</v>
      </c>
      <c r="N1144" s="1" t="str">
        <f t="shared" si="17"/>
        <v>ALCENO JUNIOR/JOÃO MARCOS</v>
      </c>
    </row>
    <row r="1145" spans="1:14" x14ac:dyDescent="0.3">
      <c r="A1145" s="1">
        <v>705779</v>
      </c>
      <c r="B1145" s="1" t="s">
        <v>1501</v>
      </c>
      <c r="C1145" s="5" t="s">
        <v>15</v>
      </c>
      <c r="D1145" s="2">
        <v>45993</v>
      </c>
      <c r="E1145" s="1" t="s">
        <v>336</v>
      </c>
      <c r="F1145" s="1">
        <v>24201</v>
      </c>
      <c r="G1145" s="1" t="s">
        <v>664</v>
      </c>
      <c r="H1145" s="1" t="s">
        <v>661</v>
      </c>
      <c r="J1145" s="1" t="s">
        <v>1012</v>
      </c>
      <c r="K1145" s="1" t="s">
        <v>666</v>
      </c>
      <c r="L1145" s="1" t="s">
        <v>258</v>
      </c>
      <c r="N1145" s="1" t="str">
        <f t="shared" si="17"/>
        <v>MATHEUS ALMEIDA</v>
      </c>
    </row>
    <row r="1146" spans="1:14" x14ac:dyDescent="0.3">
      <c r="A1146" s="1">
        <v>704801</v>
      </c>
      <c r="B1146" s="1" t="s">
        <v>1118</v>
      </c>
      <c r="C1146" s="5" t="s">
        <v>15</v>
      </c>
      <c r="D1146" s="2">
        <v>45566</v>
      </c>
      <c r="E1146" s="1" t="s">
        <v>31</v>
      </c>
      <c r="F1146" s="1">
        <v>39601</v>
      </c>
      <c r="G1146" s="1" t="s">
        <v>660</v>
      </c>
      <c r="H1146" s="1" t="s">
        <v>661</v>
      </c>
      <c r="J1146" s="1" t="s">
        <v>662</v>
      </c>
      <c r="K1146" s="1" t="s">
        <v>666</v>
      </c>
      <c r="L1146" s="1" t="s">
        <v>258</v>
      </c>
      <c r="N1146" s="1" t="str">
        <f t="shared" si="17"/>
        <v>MATHEUS ALMEIDA</v>
      </c>
    </row>
    <row r="1147" spans="1:14" x14ac:dyDescent="0.3">
      <c r="A1147" s="1">
        <v>704670</v>
      </c>
      <c r="B1147" s="1" t="s">
        <v>1119</v>
      </c>
      <c r="C1147" s="5" t="s">
        <v>15</v>
      </c>
      <c r="D1147" s="2">
        <v>45489</v>
      </c>
      <c r="E1147" s="1" t="s">
        <v>686</v>
      </c>
      <c r="F1147" s="1">
        <v>39601</v>
      </c>
      <c r="G1147" s="1" t="s">
        <v>660</v>
      </c>
      <c r="H1147" s="1" t="s">
        <v>661</v>
      </c>
      <c r="J1147" s="1" t="s">
        <v>684</v>
      </c>
      <c r="K1147" s="1" t="s">
        <v>666</v>
      </c>
      <c r="L1147" s="1" t="s">
        <v>258</v>
      </c>
      <c r="M1147" s="1" t="s">
        <v>1392</v>
      </c>
      <c r="N1147" s="1" t="str">
        <f t="shared" si="17"/>
        <v>ADALTON/JANILSON RORIZ/MARIVALDO</v>
      </c>
    </row>
    <row r="1148" spans="1:14" x14ac:dyDescent="0.3">
      <c r="A1148" s="1">
        <v>703694</v>
      </c>
      <c r="B1148" s="1" t="s">
        <v>1120</v>
      </c>
      <c r="C1148" s="5" t="s">
        <v>15</v>
      </c>
      <c r="D1148" s="2">
        <v>45019</v>
      </c>
      <c r="E1148" s="1" t="s">
        <v>31</v>
      </c>
      <c r="F1148" s="1">
        <v>24102</v>
      </c>
      <c r="G1148" s="1" t="s">
        <v>669</v>
      </c>
      <c r="H1148" s="1" t="s">
        <v>661</v>
      </c>
      <c r="J1148" s="1" t="s">
        <v>670</v>
      </c>
      <c r="K1148" s="1" t="s">
        <v>666</v>
      </c>
      <c r="L1148" s="1" t="s">
        <v>1388</v>
      </c>
      <c r="M1148" s="1" t="s">
        <v>1637</v>
      </c>
      <c r="N1148" s="1" t="str">
        <f t="shared" si="17"/>
        <v>JUNIO TEIXEIRA /EDIVILSON</v>
      </c>
    </row>
    <row r="1149" spans="1:14" x14ac:dyDescent="0.3">
      <c r="A1149" s="1">
        <v>705680</v>
      </c>
      <c r="B1149" s="1" t="s">
        <v>1440</v>
      </c>
      <c r="C1149" s="5" t="s">
        <v>15</v>
      </c>
      <c r="D1149" s="2">
        <v>45944</v>
      </c>
      <c r="E1149" s="1" t="s">
        <v>31</v>
      </c>
      <c r="F1149" s="1">
        <v>39601</v>
      </c>
      <c r="G1149" s="1" t="s">
        <v>660</v>
      </c>
      <c r="H1149" s="1" t="s">
        <v>661</v>
      </c>
      <c r="J1149" s="1" t="s">
        <v>684</v>
      </c>
      <c r="K1149" s="1" t="s">
        <v>666</v>
      </c>
      <c r="L1149" s="1" t="s">
        <v>258</v>
      </c>
      <c r="M1149" s="1" t="s">
        <v>1392</v>
      </c>
      <c r="N1149" s="1" t="str">
        <f t="shared" si="17"/>
        <v>ADALTON/JANILSON RORIZ/MARIVALDO</v>
      </c>
    </row>
    <row r="1150" spans="1:14" x14ac:dyDescent="0.3">
      <c r="A1150" s="1">
        <v>105798</v>
      </c>
      <c r="B1150" s="1" t="s">
        <v>1121</v>
      </c>
      <c r="C1150" s="5" t="s">
        <v>15</v>
      </c>
      <c r="D1150" s="2">
        <v>43234</v>
      </c>
      <c r="E1150" s="1" t="s">
        <v>1122</v>
      </c>
      <c r="F1150" s="1">
        <v>39203</v>
      </c>
      <c r="G1150" s="1" t="s">
        <v>709</v>
      </c>
      <c r="H1150" s="1" t="s">
        <v>661</v>
      </c>
      <c r="J1150" s="1" t="s">
        <v>710</v>
      </c>
      <c r="K1150" s="1" t="s">
        <v>50</v>
      </c>
      <c r="L1150" s="1" t="s">
        <v>1382</v>
      </c>
      <c r="M1150" s="1" t="s">
        <v>1382</v>
      </c>
      <c r="N1150" s="1" t="str">
        <f t="shared" si="17"/>
        <v>ADENILTON RODRIGUES</v>
      </c>
    </row>
    <row r="1151" spans="1:14" x14ac:dyDescent="0.3">
      <c r="A1151" s="1">
        <v>101013</v>
      </c>
      <c r="B1151" s="1" t="s">
        <v>1123</v>
      </c>
      <c r="C1151" s="5" t="s">
        <v>15</v>
      </c>
      <c r="D1151" s="2">
        <v>42632</v>
      </c>
      <c r="E1151" s="1" t="s">
        <v>146</v>
      </c>
      <c r="F1151" s="1">
        <v>39601</v>
      </c>
      <c r="G1151" s="1" t="s">
        <v>660</v>
      </c>
      <c r="H1151" s="1" t="s">
        <v>661</v>
      </c>
      <c r="J1151" s="1" t="s">
        <v>684</v>
      </c>
      <c r="K1151" s="1" t="s">
        <v>666</v>
      </c>
      <c r="L1151" s="1" t="s">
        <v>258</v>
      </c>
      <c r="M1151" s="1" t="s">
        <v>1392</v>
      </c>
      <c r="N1151" s="1" t="str">
        <f t="shared" si="17"/>
        <v>ADALTON/JANILSON RORIZ/MARIVALDO</v>
      </c>
    </row>
    <row r="1152" spans="1:14" x14ac:dyDescent="0.3">
      <c r="A1152" s="1">
        <v>705189</v>
      </c>
      <c r="B1152" s="1" t="s">
        <v>1178</v>
      </c>
      <c r="C1152" s="5" t="s">
        <v>15</v>
      </c>
      <c r="D1152" s="2">
        <v>45726</v>
      </c>
      <c r="E1152" s="1" t="s">
        <v>31</v>
      </c>
      <c r="F1152" s="1">
        <v>24102</v>
      </c>
      <c r="G1152" s="1" t="s">
        <v>669</v>
      </c>
      <c r="H1152" s="1" t="s">
        <v>661</v>
      </c>
      <c r="J1152" s="1" t="s">
        <v>672</v>
      </c>
      <c r="K1152" s="1" t="s">
        <v>666</v>
      </c>
      <c r="L1152" s="1" t="s">
        <v>1388</v>
      </c>
      <c r="M1152" s="1" t="s">
        <v>1637</v>
      </c>
      <c r="N1152" s="1" t="str">
        <f t="shared" si="17"/>
        <v>JUNIO TEIXEIRA /EDIVILSON</v>
      </c>
    </row>
    <row r="1153" spans="1:14" x14ac:dyDescent="0.3">
      <c r="A1153" s="1">
        <v>702891</v>
      </c>
      <c r="B1153" s="1" t="s">
        <v>1124</v>
      </c>
      <c r="C1153" s="5" t="s">
        <v>92</v>
      </c>
      <c r="D1153" s="2">
        <v>44642</v>
      </c>
      <c r="E1153" s="1" t="s">
        <v>16</v>
      </c>
      <c r="F1153" s="1">
        <v>24102</v>
      </c>
      <c r="G1153" s="1" t="s">
        <v>669</v>
      </c>
      <c r="H1153" s="1" t="s">
        <v>661</v>
      </c>
      <c r="I1153" s="2">
        <v>46093</v>
      </c>
      <c r="J1153" s="1" t="s">
        <v>682</v>
      </c>
      <c r="K1153" s="1" t="s">
        <v>666</v>
      </c>
      <c r="L1153" s="1" t="s">
        <v>1390</v>
      </c>
      <c r="M1153" s="1" t="s">
        <v>1391</v>
      </c>
      <c r="N1153" s="1" t="str">
        <f t="shared" si="17"/>
        <v>ALCENO JUNIOR/JOÃO MARCOS</v>
      </c>
    </row>
    <row r="1154" spans="1:14" x14ac:dyDescent="0.3">
      <c r="A1154" s="1">
        <v>704992</v>
      </c>
      <c r="B1154" s="1" t="s">
        <v>1125</v>
      </c>
      <c r="C1154" s="5" t="s">
        <v>15</v>
      </c>
      <c r="D1154" s="2">
        <v>45629</v>
      </c>
      <c r="E1154" s="1" t="s">
        <v>31</v>
      </c>
      <c r="F1154" s="1">
        <v>39601</v>
      </c>
      <c r="G1154" s="1" t="s">
        <v>660</v>
      </c>
      <c r="H1154" s="1" t="s">
        <v>661</v>
      </c>
      <c r="J1154" s="1" t="s">
        <v>662</v>
      </c>
      <c r="K1154" s="1" t="s">
        <v>666</v>
      </c>
      <c r="L1154" s="1" t="s">
        <v>258</v>
      </c>
      <c r="N1154" s="1" t="str">
        <f t="shared" si="17"/>
        <v>MATHEUS ALMEIDA</v>
      </c>
    </row>
    <row r="1155" spans="1:14" x14ac:dyDescent="0.3">
      <c r="A1155" s="1">
        <v>704194</v>
      </c>
      <c r="B1155" s="1" t="s">
        <v>1126</v>
      </c>
      <c r="C1155" s="5" t="s">
        <v>15</v>
      </c>
      <c r="D1155" s="2">
        <v>45300</v>
      </c>
      <c r="E1155" s="1" t="s">
        <v>31</v>
      </c>
      <c r="F1155" s="1">
        <v>24102</v>
      </c>
      <c r="G1155" s="1" t="s">
        <v>669</v>
      </c>
      <c r="H1155" s="1" t="s">
        <v>661</v>
      </c>
      <c r="J1155" s="1" t="s">
        <v>85</v>
      </c>
      <c r="K1155" s="1" t="s">
        <v>1371</v>
      </c>
      <c r="L1155" s="1" t="s">
        <v>1380</v>
      </c>
      <c r="M1155" s="1" t="s">
        <v>1380</v>
      </c>
      <c r="N1155" s="1" t="str">
        <f t="shared" ref="N1155:N1169" si="18">IF(M1155&lt;&gt;"", M1155, IF(L1155&lt;&gt;"", L1155, K1155))</f>
        <v xml:space="preserve">LEONARDO SANTOS </v>
      </c>
    </row>
    <row r="1156" spans="1:14" x14ac:dyDescent="0.3">
      <c r="A1156" s="1">
        <v>702680</v>
      </c>
      <c r="B1156" s="1" t="s">
        <v>1127</v>
      </c>
      <c r="C1156" s="5" t="s">
        <v>15</v>
      </c>
      <c r="D1156" s="2">
        <v>44517</v>
      </c>
      <c r="E1156" s="1" t="s">
        <v>16</v>
      </c>
      <c r="F1156" s="1">
        <v>24102</v>
      </c>
      <c r="G1156" s="1" t="s">
        <v>669</v>
      </c>
      <c r="H1156" s="1" t="s">
        <v>661</v>
      </c>
      <c r="J1156" s="1" t="s">
        <v>682</v>
      </c>
      <c r="K1156" s="1" t="s">
        <v>666</v>
      </c>
      <c r="L1156" s="1" t="s">
        <v>1390</v>
      </c>
      <c r="M1156" s="1" t="s">
        <v>1391</v>
      </c>
      <c r="N1156" s="1" t="str">
        <f t="shared" si="18"/>
        <v>ALCENO JUNIOR/JOÃO MARCOS</v>
      </c>
    </row>
    <row r="1157" spans="1:14" x14ac:dyDescent="0.3">
      <c r="A1157" s="1">
        <v>704812</v>
      </c>
      <c r="B1157" s="1" t="s">
        <v>1128</v>
      </c>
      <c r="C1157" s="5" t="s">
        <v>15</v>
      </c>
      <c r="D1157" s="2">
        <v>45566</v>
      </c>
      <c r="E1157" s="1" t="s">
        <v>31</v>
      </c>
      <c r="F1157" s="1">
        <v>24201</v>
      </c>
      <c r="G1157" s="1" t="s">
        <v>664</v>
      </c>
      <c r="H1157" s="1" t="s">
        <v>661</v>
      </c>
      <c r="J1157" s="1" t="s">
        <v>665</v>
      </c>
      <c r="K1157" s="1" t="s">
        <v>666</v>
      </c>
      <c r="L1157" s="1" t="s">
        <v>258</v>
      </c>
      <c r="M1157" s="1" t="s">
        <v>667</v>
      </c>
      <c r="N1157" s="1" t="str">
        <f t="shared" si="18"/>
        <v>JOSIEL NEVES</v>
      </c>
    </row>
    <row r="1158" spans="1:14" x14ac:dyDescent="0.3">
      <c r="A1158" s="1">
        <v>704778</v>
      </c>
      <c r="B1158" s="1" t="s">
        <v>1129</v>
      </c>
      <c r="C1158" s="5" t="s">
        <v>15</v>
      </c>
      <c r="D1158" s="2">
        <v>45551</v>
      </c>
      <c r="E1158" s="1" t="s">
        <v>31</v>
      </c>
      <c r="F1158" s="1">
        <v>24102</v>
      </c>
      <c r="G1158" s="1" t="s">
        <v>669</v>
      </c>
      <c r="H1158" s="1" t="s">
        <v>661</v>
      </c>
      <c r="J1158" s="1" t="s">
        <v>682</v>
      </c>
      <c r="K1158" s="1" t="s">
        <v>666</v>
      </c>
      <c r="L1158" s="1" t="s">
        <v>1390</v>
      </c>
      <c r="M1158" s="1" t="s">
        <v>1391</v>
      </c>
      <c r="N1158" s="1" t="str">
        <f t="shared" si="18"/>
        <v>ALCENO JUNIOR/JOÃO MARCOS</v>
      </c>
    </row>
    <row r="1159" spans="1:14" x14ac:dyDescent="0.3">
      <c r="A1159" s="1">
        <v>702874</v>
      </c>
      <c r="B1159" s="1" t="s">
        <v>1130</v>
      </c>
      <c r="C1159" s="5" t="s">
        <v>15</v>
      </c>
      <c r="D1159" s="2">
        <v>44635</v>
      </c>
      <c r="E1159" s="1" t="s">
        <v>230</v>
      </c>
      <c r="F1159" s="1">
        <v>38102</v>
      </c>
      <c r="G1159" s="1" t="s">
        <v>725</v>
      </c>
      <c r="H1159" s="1" t="s">
        <v>661</v>
      </c>
      <c r="J1159" s="1" t="s">
        <v>726</v>
      </c>
      <c r="K1159" s="1" t="s">
        <v>1372</v>
      </c>
      <c r="L1159" s="1" t="s">
        <v>1373</v>
      </c>
      <c r="M1159" s="1" t="s">
        <v>1373</v>
      </c>
      <c r="N1159" s="1" t="str">
        <f t="shared" si="18"/>
        <v>DENIS ACASSIO</v>
      </c>
    </row>
    <row r="1160" spans="1:14" x14ac:dyDescent="0.3">
      <c r="A1160" s="1">
        <v>704452</v>
      </c>
      <c r="B1160" s="1" t="s">
        <v>1131</v>
      </c>
      <c r="C1160" s="5" t="s">
        <v>15</v>
      </c>
      <c r="D1160" s="2">
        <v>45419</v>
      </c>
      <c r="E1160" s="1" t="s">
        <v>427</v>
      </c>
      <c r="F1160" s="1">
        <v>39602</v>
      </c>
      <c r="G1160" s="1" t="s">
        <v>699</v>
      </c>
      <c r="H1160" s="1" t="s">
        <v>661</v>
      </c>
      <c r="J1160" s="1" t="s">
        <v>700</v>
      </c>
      <c r="K1160" s="1" t="s">
        <v>666</v>
      </c>
      <c r="L1160" s="1" t="s">
        <v>258</v>
      </c>
      <c r="M1160" s="1" t="s">
        <v>701</v>
      </c>
      <c r="N1160" s="1" t="str">
        <f t="shared" si="18"/>
        <v>IURY GUEDES</v>
      </c>
    </row>
    <row r="1161" spans="1:14" x14ac:dyDescent="0.3">
      <c r="A1161" s="1">
        <v>705716</v>
      </c>
      <c r="B1161" s="1" t="s">
        <v>1473</v>
      </c>
      <c r="C1161" s="5" t="s">
        <v>15</v>
      </c>
      <c r="D1161" s="2">
        <v>45972</v>
      </c>
      <c r="E1161" s="1" t="s">
        <v>31</v>
      </c>
      <c r="F1161" s="1">
        <v>39601</v>
      </c>
      <c r="G1161" s="1" t="s">
        <v>660</v>
      </c>
      <c r="H1161" s="1" t="s">
        <v>661</v>
      </c>
      <c r="J1161" s="1" t="s">
        <v>684</v>
      </c>
      <c r="K1161" s="1" t="s">
        <v>666</v>
      </c>
      <c r="L1161" s="1" t="s">
        <v>258</v>
      </c>
      <c r="M1161" s="1" t="s">
        <v>1392</v>
      </c>
      <c r="N1161" s="1" t="str">
        <f t="shared" si="18"/>
        <v>ADALTON/JANILSON RORIZ/MARIVALDO</v>
      </c>
    </row>
    <row r="1162" spans="1:14" x14ac:dyDescent="0.3">
      <c r="A1162" s="1">
        <v>705774</v>
      </c>
      <c r="B1162" s="1" t="s">
        <v>1502</v>
      </c>
      <c r="C1162" s="5" t="s">
        <v>15</v>
      </c>
      <c r="D1162" s="2">
        <v>45993</v>
      </c>
      <c r="E1162" s="1" t="s">
        <v>129</v>
      </c>
      <c r="F1162" s="1">
        <v>31103</v>
      </c>
      <c r="G1162" s="1" t="s">
        <v>718</v>
      </c>
      <c r="H1162" s="1" t="s">
        <v>661</v>
      </c>
      <c r="J1162" s="1" t="s">
        <v>719</v>
      </c>
      <c r="K1162" s="1" t="s">
        <v>1381</v>
      </c>
      <c r="N1162" s="1" t="str">
        <f t="shared" si="18"/>
        <v>MARCOS OLIVEIRA</v>
      </c>
    </row>
    <row r="1163" spans="1:14" x14ac:dyDescent="0.3">
      <c r="A1163" s="1">
        <v>704209</v>
      </c>
      <c r="B1163" s="1" t="s">
        <v>1132</v>
      </c>
      <c r="C1163" s="5" t="s">
        <v>15</v>
      </c>
      <c r="D1163" s="2">
        <v>45300</v>
      </c>
      <c r="E1163" s="1" t="s">
        <v>31</v>
      </c>
      <c r="F1163" s="1">
        <v>24102</v>
      </c>
      <c r="G1163" s="1" t="s">
        <v>669</v>
      </c>
      <c r="H1163" s="1" t="s">
        <v>661</v>
      </c>
      <c r="J1163" s="1" t="s">
        <v>672</v>
      </c>
      <c r="K1163" s="1" t="s">
        <v>666</v>
      </c>
      <c r="L1163" s="1" t="s">
        <v>1388</v>
      </c>
      <c r="M1163" s="1" t="s">
        <v>1637</v>
      </c>
      <c r="N1163" s="1" t="str">
        <f t="shared" si="18"/>
        <v>JUNIO TEIXEIRA /EDIVILSON</v>
      </c>
    </row>
    <row r="1164" spans="1:14" x14ac:dyDescent="0.3">
      <c r="A1164" s="1">
        <v>701502</v>
      </c>
      <c r="B1164" s="1" t="s">
        <v>1133</v>
      </c>
      <c r="C1164" s="5" t="s">
        <v>15</v>
      </c>
      <c r="D1164" s="2">
        <v>43907</v>
      </c>
      <c r="E1164" s="1" t="s">
        <v>363</v>
      </c>
      <c r="F1164" s="1">
        <v>24102</v>
      </c>
      <c r="G1164" s="1" t="s">
        <v>669</v>
      </c>
      <c r="H1164" s="1" t="s">
        <v>661</v>
      </c>
      <c r="J1164" s="1" t="s">
        <v>891</v>
      </c>
      <c r="K1164" s="1" t="s">
        <v>666</v>
      </c>
      <c r="N1164" s="1" t="str">
        <f t="shared" si="18"/>
        <v>CRISOSTOMO CASTRO</v>
      </c>
    </row>
    <row r="1165" spans="1:14" x14ac:dyDescent="0.3">
      <c r="A1165" s="1">
        <v>703170</v>
      </c>
      <c r="B1165" s="1" t="s">
        <v>1134</v>
      </c>
      <c r="C1165" s="5" t="s">
        <v>15</v>
      </c>
      <c r="D1165" s="2">
        <v>44732</v>
      </c>
      <c r="E1165" s="1" t="s">
        <v>31</v>
      </c>
      <c r="F1165" s="1">
        <v>39601</v>
      </c>
      <c r="G1165" s="1" t="s">
        <v>660</v>
      </c>
      <c r="H1165" s="1" t="s">
        <v>661</v>
      </c>
      <c r="J1165" s="1" t="s">
        <v>662</v>
      </c>
      <c r="K1165" s="1" t="s">
        <v>666</v>
      </c>
      <c r="L1165" s="1" t="s">
        <v>258</v>
      </c>
      <c r="N1165" s="1" t="str">
        <f t="shared" si="18"/>
        <v>MATHEUS ALMEIDA</v>
      </c>
    </row>
    <row r="1166" spans="1:14" x14ac:dyDescent="0.3">
      <c r="A1166" s="1">
        <v>702910</v>
      </c>
      <c r="B1166" s="1" t="s">
        <v>1135</v>
      </c>
      <c r="C1166" s="5" t="s">
        <v>92</v>
      </c>
      <c r="D1166" s="2">
        <v>44656</v>
      </c>
      <c r="E1166" s="1" t="s">
        <v>60</v>
      </c>
      <c r="F1166" s="1">
        <v>24102</v>
      </c>
      <c r="G1166" s="1" t="s">
        <v>669</v>
      </c>
      <c r="H1166" s="1" t="s">
        <v>661</v>
      </c>
      <c r="I1166" s="2">
        <v>46093</v>
      </c>
      <c r="J1166" s="1" t="s">
        <v>697</v>
      </c>
      <c r="K1166" s="1" t="s">
        <v>666</v>
      </c>
      <c r="L1166" s="1" t="s">
        <v>1390</v>
      </c>
      <c r="M1166" s="1" t="s">
        <v>1391</v>
      </c>
      <c r="N1166" s="1" t="str">
        <f t="shared" si="18"/>
        <v>ALCENO JUNIOR/JOÃO MARCOS</v>
      </c>
    </row>
    <row r="1167" spans="1:14" x14ac:dyDescent="0.3">
      <c r="A1167" s="1">
        <v>703570</v>
      </c>
      <c r="B1167" s="1" t="s">
        <v>1136</v>
      </c>
      <c r="C1167" s="5" t="s">
        <v>92</v>
      </c>
      <c r="D1167" s="2">
        <v>44935</v>
      </c>
      <c r="E1167" s="1" t="s">
        <v>146</v>
      </c>
      <c r="F1167" s="1">
        <v>24102</v>
      </c>
      <c r="G1167" s="1" t="s">
        <v>669</v>
      </c>
      <c r="H1167" s="1" t="s">
        <v>661</v>
      </c>
      <c r="I1167" s="2">
        <v>46093</v>
      </c>
      <c r="J1167" s="1" t="s">
        <v>682</v>
      </c>
      <c r="K1167" s="1" t="s">
        <v>666</v>
      </c>
      <c r="L1167" s="1" t="s">
        <v>1390</v>
      </c>
      <c r="M1167" s="1" t="s">
        <v>1391</v>
      </c>
      <c r="N1167" s="1" t="str">
        <f t="shared" si="18"/>
        <v>ALCENO JUNIOR/JOÃO MARCOS</v>
      </c>
    </row>
    <row r="1168" spans="1:14" x14ac:dyDescent="0.3">
      <c r="A1168" s="1">
        <v>705083</v>
      </c>
      <c r="B1168" s="1" t="s">
        <v>1137</v>
      </c>
      <c r="C1168" s="5" t="s">
        <v>15</v>
      </c>
      <c r="D1168" s="2">
        <v>45671</v>
      </c>
      <c r="E1168" s="1" t="s">
        <v>31</v>
      </c>
      <c r="F1168" s="1">
        <v>24102</v>
      </c>
      <c r="G1168" s="1" t="s">
        <v>669</v>
      </c>
      <c r="H1168" s="1" t="s">
        <v>661</v>
      </c>
      <c r="J1168" s="1" t="s">
        <v>672</v>
      </c>
      <c r="K1168" s="1" t="s">
        <v>666</v>
      </c>
      <c r="L1168" s="1" t="s">
        <v>1388</v>
      </c>
      <c r="M1168" s="1" t="s">
        <v>1637</v>
      </c>
      <c r="N1168" s="1" t="str">
        <f t="shared" si="18"/>
        <v>JUNIO TEIXEIRA /EDIVILSON</v>
      </c>
    </row>
    <row r="1169" spans="1:14" x14ac:dyDescent="0.3">
      <c r="A1169" s="1">
        <v>703652</v>
      </c>
      <c r="B1169" s="1" t="s">
        <v>1139</v>
      </c>
      <c r="C1169" s="5" t="s">
        <v>15</v>
      </c>
      <c r="D1169" s="2">
        <v>44998</v>
      </c>
      <c r="E1169" s="1" t="s">
        <v>31</v>
      </c>
      <c r="F1169" s="1">
        <v>24102</v>
      </c>
      <c r="G1169" s="1" t="s">
        <v>669</v>
      </c>
      <c r="H1169" s="1" t="s">
        <v>661</v>
      </c>
      <c r="J1169" s="1" t="s">
        <v>680</v>
      </c>
      <c r="K1169" s="1" t="s">
        <v>666</v>
      </c>
      <c r="L1169" s="1" t="s">
        <v>1388</v>
      </c>
      <c r="M1169" s="1" t="s">
        <v>1637</v>
      </c>
      <c r="N1169" s="1" t="str">
        <f t="shared" si="18"/>
        <v>JUNIO TEIXEIRA /EDIVILSON</v>
      </c>
    </row>
  </sheetData>
  <autoFilter ref="A1:N1169" xr:uid="{3761821C-2F6C-47C1-BC00-1ED3A882449B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04B4-108D-45DC-AE3C-2B0099961CCB}">
  <dimension ref="A1:N124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13.6328125" defaultRowHeight="13" x14ac:dyDescent="0.3"/>
  <cols>
    <col min="1" max="1" width="12.6328125" style="9" customWidth="1"/>
    <col min="2" max="2" width="37.6328125" style="9" bestFit="1" customWidth="1"/>
    <col min="3" max="3" width="21.1796875" style="9" bestFit="1" customWidth="1"/>
    <col min="4" max="4" width="16.81640625" style="9" bestFit="1" customWidth="1"/>
    <col min="5" max="5" width="32.26953125" style="9" customWidth="1"/>
    <col min="6" max="6" width="15.36328125" style="9" bestFit="1" customWidth="1"/>
    <col min="7" max="7" width="38" style="9" bestFit="1" customWidth="1"/>
    <col min="8" max="8" width="39.36328125" style="9" bestFit="1" customWidth="1"/>
    <col min="9" max="9" width="20" style="9" bestFit="1" customWidth="1"/>
    <col min="10" max="10" width="24.6328125" style="9" bestFit="1" customWidth="1"/>
    <col min="11" max="11" width="18" style="9" hidden="1" customWidth="1"/>
    <col min="12" max="12" width="19" style="9" hidden="1" customWidth="1"/>
    <col min="13" max="13" width="31.26953125" style="9" hidden="1" customWidth="1"/>
    <col min="14" max="14" width="42.36328125" style="9" bestFit="1" customWidth="1"/>
    <col min="15" max="16384" width="13.6328125" style="9"/>
  </cols>
  <sheetData>
    <row r="1" spans="1:14" s="7" customFormat="1" ht="20.5" customHeight="1" x14ac:dyDescent="0.3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9">
        <v>2043</v>
      </c>
      <c r="B2" s="9" t="s">
        <v>14</v>
      </c>
      <c r="C2" s="10" t="s">
        <v>15</v>
      </c>
      <c r="D2" s="11">
        <v>40673</v>
      </c>
      <c r="E2" s="9" t="s">
        <v>16</v>
      </c>
      <c r="F2" s="9">
        <v>52104</v>
      </c>
      <c r="G2" s="9" t="s">
        <v>17</v>
      </c>
      <c r="H2" s="9" t="s">
        <v>18</v>
      </c>
      <c r="J2" s="9" t="s">
        <v>19</v>
      </c>
      <c r="K2" s="9" t="s">
        <v>1368</v>
      </c>
      <c r="L2" s="9" t="s">
        <v>20</v>
      </c>
      <c r="M2" s="9" t="s">
        <v>1632</v>
      </c>
      <c r="N2" s="9" t="str">
        <f>IF(M2&lt;&gt;"", M2, IF(L2&lt;&gt;"", L2, K2))</f>
        <v>THIAGO MARCOS</v>
      </c>
    </row>
    <row r="3" spans="1:14" x14ac:dyDescent="0.3">
      <c r="A3" s="9">
        <v>702424</v>
      </c>
      <c r="B3" s="9" t="s">
        <v>21</v>
      </c>
      <c r="C3" s="10" t="s">
        <v>15</v>
      </c>
      <c r="D3" s="11">
        <v>44390</v>
      </c>
      <c r="E3" s="9" t="s">
        <v>109</v>
      </c>
      <c r="F3" s="9">
        <v>32101</v>
      </c>
      <c r="G3" s="9" t="s">
        <v>23</v>
      </c>
      <c r="H3" s="9" t="s">
        <v>18</v>
      </c>
      <c r="J3" s="9" t="s">
        <v>24</v>
      </c>
      <c r="K3" s="9" t="s">
        <v>25</v>
      </c>
      <c r="L3" s="9" t="s">
        <v>1369</v>
      </c>
      <c r="M3" s="9" t="s">
        <v>1370</v>
      </c>
      <c r="N3" s="9" t="str">
        <f t="shared" ref="N3:N66" si="0">IF(M3&lt;&gt;"", M3, IF(L3&lt;&gt;"", L3, K3))</f>
        <v>JUNIO COSTA</v>
      </c>
    </row>
    <row r="4" spans="1:14" x14ac:dyDescent="0.3">
      <c r="A4" s="9">
        <v>705209</v>
      </c>
      <c r="B4" s="9" t="s">
        <v>1152</v>
      </c>
      <c r="C4" s="10" t="s">
        <v>15</v>
      </c>
      <c r="D4" s="11">
        <v>45720</v>
      </c>
      <c r="E4" s="9" t="s">
        <v>138</v>
      </c>
      <c r="F4" s="9">
        <v>22102</v>
      </c>
      <c r="G4" s="9" t="s">
        <v>68</v>
      </c>
      <c r="H4" s="9" t="s">
        <v>18</v>
      </c>
      <c r="J4" s="9" t="s">
        <v>142</v>
      </c>
      <c r="K4" s="9" t="s">
        <v>1371</v>
      </c>
      <c r="L4" s="9" t="s">
        <v>1509</v>
      </c>
      <c r="M4" s="9" t="s">
        <v>1633</v>
      </c>
      <c r="N4" s="9" t="str">
        <f t="shared" si="0"/>
        <v>CRISTIANO BARBOSA</v>
      </c>
    </row>
    <row r="5" spans="1:14" x14ac:dyDescent="0.3">
      <c r="A5" s="9">
        <v>703309</v>
      </c>
      <c r="B5" s="9" t="s">
        <v>26</v>
      </c>
      <c r="C5" s="10" t="s">
        <v>15</v>
      </c>
      <c r="D5" s="11">
        <v>44823</v>
      </c>
      <c r="E5" s="9" t="s">
        <v>27</v>
      </c>
      <c r="F5" s="9">
        <v>39501</v>
      </c>
      <c r="G5" s="9" t="s">
        <v>28</v>
      </c>
      <c r="H5" s="9" t="s">
        <v>18</v>
      </c>
      <c r="J5" s="9" t="s">
        <v>29</v>
      </c>
      <c r="K5" s="9" t="s">
        <v>1368</v>
      </c>
      <c r="L5" s="9" t="s">
        <v>20</v>
      </c>
      <c r="M5" s="9" t="s">
        <v>1634</v>
      </c>
      <c r="N5" s="9" t="str">
        <f t="shared" si="0"/>
        <v>IRON SANTOS</v>
      </c>
    </row>
    <row r="6" spans="1:14" x14ac:dyDescent="0.3">
      <c r="A6" s="9">
        <v>705641</v>
      </c>
      <c r="B6" s="9" t="s">
        <v>1393</v>
      </c>
      <c r="C6" s="10" t="s">
        <v>15</v>
      </c>
      <c r="D6" s="11">
        <v>45937</v>
      </c>
      <c r="E6" s="9" t="s">
        <v>31</v>
      </c>
      <c r="F6" s="9">
        <v>51219</v>
      </c>
      <c r="G6" s="9" t="s">
        <v>61</v>
      </c>
      <c r="H6" s="9" t="s">
        <v>18</v>
      </c>
      <c r="J6" s="9" t="s">
        <v>19</v>
      </c>
      <c r="K6" s="9" t="s">
        <v>1368</v>
      </c>
      <c r="L6" s="9" t="s">
        <v>20</v>
      </c>
      <c r="M6" s="9" t="s">
        <v>1632</v>
      </c>
      <c r="N6" s="9" t="str">
        <f t="shared" si="0"/>
        <v>THIAGO MARCOS</v>
      </c>
    </row>
    <row r="7" spans="1:14" x14ac:dyDescent="0.3">
      <c r="A7" s="9">
        <v>704943</v>
      </c>
      <c r="B7" s="9" t="s">
        <v>30</v>
      </c>
      <c r="C7" s="10" t="s">
        <v>15</v>
      </c>
      <c r="D7" s="11">
        <v>45607</v>
      </c>
      <c r="E7" s="9" t="s">
        <v>31</v>
      </c>
      <c r="F7" s="9">
        <v>52202</v>
      </c>
      <c r="G7" s="9" t="s">
        <v>32</v>
      </c>
      <c r="H7" s="9" t="s">
        <v>18</v>
      </c>
      <c r="J7" s="9" t="s">
        <v>33</v>
      </c>
      <c r="K7" s="9" t="s">
        <v>1368</v>
      </c>
      <c r="L7" s="9" t="s">
        <v>20</v>
      </c>
      <c r="M7" s="9" t="s">
        <v>1634</v>
      </c>
      <c r="N7" s="9" t="str">
        <f t="shared" si="0"/>
        <v>IRON SANTOS</v>
      </c>
    </row>
    <row r="8" spans="1:14" x14ac:dyDescent="0.3">
      <c r="A8" s="9">
        <v>101677</v>
      </c>
      <c r="B8" s="9" t="s">
        <v>34</v>
      </c>
      <c r="C8" s="10" t="s">
        <v>15</v>
      </c>
      <c r="D8" s="11">
        <v>41401</v>
      </c>
      <c r="E8" s="9" t="s">
        <v>31</v>
      </c>
      <c r="F8" s="9">
        <v>38101</v>
      </c>
      <c r="G8" s="9" t="s">
        <v>35</v>
      </c>
      <c r="H8" s="9" t="s">
        <v>18</v>
      </c>
      <c r="J8" s="9" t="s">
        <v>36</v>
      </c>
      <c r="K8" s="9" t="s">
        <v>1372</v>
      </c>
      <c r="L8" s="9" t="s">
        <v>1373</v>
      </c>
      <c r="M8" s="9" t="s">
        <v>1373</v>
      </c>
      <c r="N8" s="9" t="str">
        <f t="shared" si="0"/>
        <v>DENIS ACASSIO</v>
      </c>
    </row>
    <row r="9" spans="1:14" x14ac:dyDescent="0.3">
      <c r="A9" s="9">
        <v>705689</v>
      </c>
      <c r="B9" s="9" t="s">
        <v>1441</v>
      </c>
      <c r="C9" s="10" t="s">
        <v>15</v>
      </c>
      <c r="D9" s="11">
        <v>45971</v>
      </c>
      <c r="E9" s="9" t="s">
        <v>109</v>
      </c>
      <c r="F9" s="9">
        <v>32101</v>
      </c>
      <c r="G9" s="9" t="s">
        <v>23</v>
      </c>
      <c r="H9" s="9" t="s">
        <v>18</v>
      </c>
      <c r="J9" s="9" t="s">
        <v>24</v>
      </c>
      <c r="K9" s="9" t="s">
        <v>25</v>
      </c>
      <c r="L9" s="9" t="s">
        <v>1369</v>
      </c>
      <c r="M9" s="9" t="s">
        <v>1370</v>
      </c>
      <c r="N9" s="9" t="str">
        <f t="shared" si="0"/>
        <v>JUNIO COSTA</v>
      </c>
    </row>
    <row r="10" spans="1:14" x14ac:dyDescent="0.3">
      <c r="A10" s="9">
        <v>702985</v>
      </c>
      <c r="B10" s="9" t="s">
        <v>38</v>
      </c>
      <c r="C10" s="10" t="s">
        <v>15</v>
      </c>
      <c r="D10" s="11">
        <v>44691</v>
      </c>
      <c r="E10" s="9" t="s">
        <v>1345</v>
      </c>
      <c r="F10" s="9">
        <v>32101</v>
      </c>
      <c r="G10" s="9" t="s">
        <v>23</v>
      </c>
      <c r="H10" s="9" t="s">
        <v>18</v>
      </c>
      <c r="J10" s="9" t="s">
        <v>24</v>
      </c>
      <c r="K10" s="9" t="s">
        <v>25</v>
      </c>
      <c r="L10" s="9" t="s">
        <v>1369</v>
      </c>
      <c r="M10" s="9" t="s">
        <v>1370</v>
      </c>
      <c r="N10" s="9" t="str">
        <f t="shared" si="0"/>
        <v>JUNIO COSTA</v>
      </c>
    </row>
    <row r="11" spans="1:14" x14ac:dyDescent="0.3">
      <c r="A11" s="9">
        <v>703167</v>
      </c>
      <c r="B11" s="9" t="s">
        <v>39</v>
      </c>
      <c r="C11" s="10" t="s">
        <v>15</v>
      </c>
      <c r="D11" s="11">
        <v>44732</v>
      </c>
      <c r="E11" s="9" t="s">
        <v>138</v>
      </c>
      <c r="F11" s="9">
        <v>51219</v>
      </c>
      <c r="G11" s="9" t="s">
        <v>61</v>
      </c>
      <c r="H11" s="9" t="s">
        <v>18</v>
      </c>
      <c r="J11" s="9" t="s">
        <v>19</v>
      </c>
      <c r="K11" s="9" t="s">
        <v>1368</v>
      </c>
      <c r="L11" s="9" t="s">
        <v>20</v>
      </c>
      <c r="M11" s="9" t="s">
        <v>1632</v>
      </c>
      <c r="N11" s="9" t="str">
        <f t="shared" si="0"/>
        <v>THIAGO MARCOS</v>
      </c>
    </row>
    <row r="12" spans="1:14" x14ac:dyDescent="0.3">
      <c r="A12" s="9">
        <v>100320</v>
      </c>
      <c r="B12" s="9" t="s">
        <v>41</v>
      </c>
      <c r="C12" s="10" t="s">
        <v>15</v>
      </c>
      <c r="D12" s="11">
        <v>41792</v>
      </c>
      <c r="E12" s="9" t="s">
        <v>42</v>
      </c>
      <c r="F12" s="9">
        <v>34101</v>
      </c>
      <c r="G12" s="9" t="s">
        <v>43</v>
      </c>
      <c r="H12" s="9" t="s">
        <v>18</v>
      </c>
      <c r="J12" s="9" t="s">
        <v>65</v>
      </c>
      <c r="K12" s="9" t="s">
        <v>25</v>
      </c>
      <c r="L12" s="9" t="s">
        <v>1375</v>
      </c>
      <c r="N12" s="9" t="str">
        <f t="shared" si="0"/>
        <v>ANDRÉ CUBA</v>
      </c>
    </row>
    <row r="13" spans="1:14" x14ac:dyDescent="0.3">
      <c r="A13" s="9">
        <v>705377</v>
      </c>
      <c r="B13" s="9" t="s">
        <v>1212</v>
      </c>
      <c r="C13" s="10" t="s">
        <v>15</v>
      </c>
      <c r="D13" s="11">
        <v>45784</v>
      </c>
      <c r="E13" s="9" t="s">
        <v>31</v>
      </c>
      <c r="F13" s="9">
        <v>39301</v>
      </c>
      <c r="G13" s="9" t="s">
        <v>73</v>
      </c>
      <c r="H13" s="9" t="s">
        <v>18</v>
      </c>
      <c r="J13" s="9" t="s">
        <v>74</v>
      </c>
      <c r="K13" s="9" t="s">
        <v>1371</v>
      </c>
      <c r="L13" s="9" t="s">
        <v>1376</v>
      </c>
      <c r="M13" s="9" t="s">
        <v>75</v>
      </c>
      <c r="N13" s="9" t="str">
        <f t="shared" si="0"/>
        <v>ISAC NONATO</v>
      </c>
    </row>
    <row r="14" spans="1:14" x14ac:dyDescent="0.3">
      <c r="A14" s="9">
        <v>705428</v>
      </c>
      <c r="B14" s="9" t="s">
        <v>1236</v>
      </c>
      <c r="C14" s="10" t="s">
        <v>15</v>
      </c>
      <c r="D14" s="11">
        <v>45797</v>
      </c>
      <c r="E14" s="9" t="s">
        <v>31</v>
      </c>
      <c r="F14" s="9">
        <v>22102</v>
      </c>
      <c r="G14" s="9" t="s">
        <v>68</v>
      </c>
      <c r="H14" s="9" t="s">
        <v>18</v>
      </c>
      <c r="J14" s="9" t="s">
        <v>81</v>
      </c>
      <c r="K14" s="9" t="s">
        <v>1371</v>
      </c>
      <c r="L14" s="9" t="s">
        <v>1509</v>
      </c>
      <c r="M14" s="9" t="s">
        <v>1379</v>
      </c>
      <c r="N14" s="9" t="str">
        <f t="shared" si="0"/>
        <v xml:space="preserve">EDSON/MARCELO LIMA </v>
      </c>
    </row>
    <row r="15" spans="1:14" x14ac:dyDescent="0.3">
      <c r="A15" s="9">
        <v>702023</v>
      </c>
      <c r="B15" s="9" t="s">
        <v>51</v>
      </c>
      <c r="C15" s="10" t="s">
        <v>15</v>
      </c>
      <c r="D15" s="11">
        <v>44249</v>
      </c>
      <c r="E15" s="9" t="s">
        <v>326</v>
      </c>
      <c r="F15" s="9">
        <v>32101</v>
      </c>
      <c r="G15" s="9" t="s">
        <v>23</v>
      </c>
      <c r="H15" s="9" t="s">
        <v>18</v>
      </c>
      <c r="J15" s="9" t="s">
        <v>24</v>
      </c>
      <c r="K15" s="9" t="s">
        <v>25</v>
      </c>
      <c r="L15" s="9" t="s">
        <v>1369</v>
      </c>
      <c r="M15" s="9" t="s">
        <v>1370</v>
      </c>
      <c r="N15" s="9" t="str">
        <f t="shared" si="0"/>
        <v>JUNIO COSTA</v>
      </c>
    </row>
    <row r="16" spans="1:14" x14ac:dyDescent="0.3">
      <c r="A16" s="9">
        <v>705901</v>
      </c>
      <c r="B16" s="9" t="s">
        <v>1599</v>
      </c>
      <c r="C16" s="10" t="s">
        <v>15</v>
      </c>
      <c r="D16" s="11">
        <v>46091</v>
      </c>
      <c r="E16" s="9" t="s">
        <v>31</v>
      </c>
      <c r="F16" s="9">
        <v>38101</v>
      </c>
      <c r="G16" s="9" t="s">
        <v>35</v>
      </c>
      <c r="H16" s="9" t="s">
        <v>18</v>
      </c>
      <c r="J16" s="9" t="s">
        <v>36</v>
      </c>
      <c r="K16" s="9" t="s">
        <v>1372</v>
      </c>
      <c r="L16" s="9" t="s">
        <v>1373</v>
      </c>
      <c r="M16" s="9" t="s">
        <v>1373</v>
      </c>
      <c r="N16" s="9" t="str">
        <f t="shared" si="0"/>
        <v>DENIS ACASSIO</v>
      </c>
    </row>
    <row r="17" spans="1:14" x14ac:dyDescent="0.3">
      <c r="A17" s="9">
        <v>704650</v>
      </c>
      <c r="B17" s="9" t="s">
        <v>53</v>
      </c>
      <c r="C17" s="10" t="s">
        <v>15</v>
      </c>
      <c r="D17" s="11">
        <v>45476</v>
      </c>
      <c r="E17" s="9" t="s">
        <v>40</v>
      </c>
      <c r="F17" s="9">
        <v>52104</v>
      </c>
      <c r="G17" s="9" t="s">
        <v>17</v>
      </c>
      <c r="H17" s="9" t="s">
        <v>18</v>
      </c>
      <c r="J17" s="9" t="s">
        <v>19</v>
      </c>
      <c r="K17" s="9" t="s">
        <v>1368</v>
      </c>
      <c r="L17" s="9" t="s">
        <v>20</v>
      </c>
      <c r="M17" s="9" t="s">
        <v>1632</v>
      </c>
      <c r="N17" s="9" t="str">
        <f t="shared" si="0"/>
        <v>THIAGO MARCOS</v>
      </c>
    </row>
    <row r="18" spans="1:14" x14ac:dyDescent="0.3">
      <c r="A18" s="9">
        <v>637</v>
      </c>
      <c r="B18" s="9" t="s">
        <v>54</v>
      </c>
      <c r="C18" s="10" t="s">
        <v>15</v>
      </c>
      <c r="D18" s="11">
        <v>39966</v>
      </c>
      <c r="E18" s="9" t="s">
        <v>55</v>
      </c>
      <c r="F18" s="9">
        <v>39304</v>
      </c>
      <c r="G18" s="9" t="s">
        <v>56</v>
      </c>
      <c r="H18" s="9" t="s">
        <v>18</v>
      </c>
      <c r="J18" s="9" t="s">
        <v>57</v>
      </c>
      <c r="K18" s="9" t="s">
        <v>1371</v>
      </c>
      <c r="L18" s="9" t="s">
        <v>1376</v>
      </c>
      <c r="M18" s="9" t="s">
        <v>1635</v>
      </c>
      <c r="N18" s="9" t="str">
        <f t="shared" si="0"/>
        <v>WARLEY RIBEIRO / EUDES FERNANDES</v>
      </c>
    </row>
    <row r="19" spans="1:14" x14ac:dyDescent="0.3">
      <c r="A19" s="9">
        <v>704972</v>
      </c>
      <c r="B19" s="9" t="s">
        <v>58</v>
      </c>
      <c r="C19" s="10" t="s">
        <v>15</v>
      </c>
      <c r="D19" s="11">
        <v>45629</v>
      </c>
      <c r="E19" s="9" t="s">
        <v>31</v>
      </c>
      <c r="F19" s="9">
        <v>52104</v>
      </c>
      <c r="G19" s="9" t="s">
        <v>17</v>
      </c>
      <c r="H19" s="9" t="s">
        <v>18</v>
      </c>
      <c r="J19" s="9" t="s">
        <v>19</v>
      </c>
      <c r="K19" s="9" t="s">
        <v>1368</v>
      </c>
      <c r="L19" s="9" t="s">
        <v>20</v>
      </c>
      <c r="M19" s="9" t="s">
        <v>1632</v>
      </c>
      <c r="N19" s="9" t="str">
        <f t="shared" si="0"/>
        <v>THIAGO MARCOS</v>
      </c>
    </row>
    <row r="20" spans="1:14" x14ac:dyDescent="0.3">
      <c r="A20" s="9">
        <v>105221</v>
      </c>
      <c r="B20" s="9" t="s">
        <v>59</v>
      </c>
      <c r="C20" s="10" t="s">
        <v>15</v>
      </c>
      <c r="D20" s="11">
        <v>42632</v>
      </c>
      <c r="E20" s="9" t="s">
        <v>166</v>
      </c>
      <c r="F20" s="9">
        <v>51219</v>
      </c>
      <c r="G20" s="9" t="s">
        <v>61</v>
      </c>
      <c r="H20" s="9" t="s">
        <v>18</v>
      </c>
      <c r="J20" s="9" t="s">
        <v>37</v>
      </c>
      <c r="K20" s="9" t="s">
        <v>1368</v>
      </c>
      <c r="L20" s="9" t="s">
        <v>20</v>
      </c>
      <c r="M20" s="9" t="s">
        <v>1634</v>
      </c>
      <c r="N20" s="9" t="str">
        <f t="shared" si="0"/>
        <v>IRON SANTOS</v>
      </c>
    </row>
    <row r="21" spans="1:14" x14ac:dyDescent="0.3">
      <c r="A21" s="9">
        <v>700244</v>
      </c>
      <c r="B21" s="9" t="s">
        <v>63</v>
      </c>
      <c r="C21" s="10" t="s">
        <v>15</v>
      </c>
      <c r="D21" s="11">
        <v>43262</v>
      </c>
      <c r="E21" s="9" t="s">
        <v>52</v>
      </c>
      <c r="F21" s="9">
        <v>33301</v>
      </c>
      <c r="G21" s="9" t="s">
        <v>64</v>
      </c>
      <c r="H21" s="9" t="s">
        <v>18</v>
      </c>
      <c r="J21" s="9" t="s">
        <v>65</v>
      </c>
      <c r="K21" s="9" t="s">
        <v>25</v>
      </c>
      <c r="L21" s="9" t="s">
        <v>1375</v>
      </c>
      <c r="N21" s="9" t="str">
        <f t="shared" si="0"/>
        <v>ANDRÉ CUBA</v>
      </c>
    </row>
    <row r="22" spans="1:14" x14ac:dyDescent="0.3">
      <c r="A22" s="9">
        <v>703533</v>
      </c>
      <c r="B22" s="9" t="s">
        <v>66</v>
      </c>
      <c r="C22" s="10" t="s">
        <v>15</v>
      </c>
      <c r="D22" s="11">
        <v>44907</v>
      </c>
      <c r="E22" s="9" t="s">
        <v>67</v>
      </c>
      <c r="F22" s="9">
        <v>22102</v>
      </c>
      <c r="G22" s="9" t="s">
        <v>68</v>
      </c>
      <c r="H22" s="9" t="s">
        <v>18</v>
      </c>
      <c r="J22" s="9" t="s">
        <v>69</v>
      </c>
      <c r="K22" s="9" t="s">
        <v>1371</v>
      </c>
      <c r="L22" s="9" t="s">
        <v>1378</v>
      </c>
      <c r="N22" s="9" t="str">
        <f t="shared" si="0"/>
        <v xml:space="preserve">JOÃO KOMURA </v>
      </c>
    </row>
    <row r="23" spans="1:14" x14ac:dyDescent="0.3">
      <c r="A23" s="9">
        <v>77013476</v>
      </c>
      <c r="B23" s="9" t="s">
        <v>1639</v>
      </c>
      <c r="C23" s="10" t="s">
        <v>15</v>
      </c>
      <c r="D23" s="11">
        <v>46119</v>
      </c>
      <c r="E23" s="9" t="s">
        <v>77</v>
      </c>
      <c r="F23" s="9">
        <v>38107</v>
      </c>
      <c r="G23" s="9" t="s">
        <v>1503</v>
      </c>
      <c r="H23" s="9" t="s">
        <v>18</v>
      </c>
      <c r="J23" s="9" t="s">
        <v>78</v>
      </c>
      <c r="K23" s="9" t="s">
        <v>1372</v>
      </c>
      <c r="N23" s="9" t="str">
        <f t="shared" si="0"/>
        <v xml:space="preserve">LEIDJANE MARTINS </v>
      </c>
    </row>
    <row r="24" spans="1:14" x14ac:dyDescent="0.3">
      <c r="A24" s="9">
        <v>101789</v>
      </c>
      <c r="B24" s="9" t="s">
        <v>70</v>
      </c>
      <c r="C24" s="10" t="s">
        <v>15</v>
      </c>
      <c r="D24" s="11">
        <v>43080</v>
      </c>
      <c r="E24" s="9" t="s">
        <v>71</v>
      </c>
      <c r="F24" s="9">
        <v>25201</v>
      </c>
      <c r="G24" s="9" t="s">
        <v>89</v>
      </c>
      <c r="H24" s="9" t="s">
        <v>18</v>
      </c>
      <c r="J24" s="9" t="s">
        <v>19</v>
      </c>
      <c r="K24" s="9" t="s">
        <v>1368</v>
      </c>
      <c r="L24" s="9" t="s">
        <v>20</v>
      </c>
      <c r="M24" s="9" t="s">
        <v>1632</v>
      </c>
      <c r="N24" s="9" t="str">
        <f t="shared" si="0"/>
        <v>THIAGO MARCOS</v>
      </c>
    </row>
    <row r="25" spans="1:14" x14ac:dyDescent="0.3">
      <c r="A25" s="9">
        <v>100914</v>
      </c>
      <c r="B25" s="9" t="s">
        <v>82</v>
      </c>
      <c r="C25" s="10" t="s">
        <v>15</v>
      </c>
      <c r="D25" s="11">
        <v>42499</v>
      </c>
      <c r="E25" s="9" t="s">
        <v>83</v>
      </c>
      <c r="F25" s="9">
        <v>34201</v>
      </c>
      <c r="G25" s="9" t="s">
        <v>84</v>
      </c>
      <c r="H25" s="9" t="s">
        <v>18</v>
      </c>
      <c r="J25" s="9" t="s">
        <v>85</v>
      </c>
      <c r="K25" s="9" t="s">
        <v>1371</v>
      </c>
      <c r="L25" s="9" t="s">
        <v>1380</v>
      </c>
      <c r="M25" s="9" t="s">
        <v>1380</v>
      </c>
      <c r="N25" s="9" t="str">
        <f t="shared" si="0"/>
        <v xml:space="preserve">LEONARDO SANTOS </v>
      </c>
    </row>
    <row r="26" spans="1:14" x14ac:dyDescent="0.3">
      <c r="A26" s="9">
        <v>704374</v>
      </c>
      <c r="B26" s="9" t="s">
        <v>86</v>
      </c>
      <c r="C26" s="10" t="s">
        <v>15</v>
      </c>
      <c r="D26" s="11">
        <v>45391</v>
      </c>
      <c r="E26" s="9" t="s">
        <v>27</v>
      </c>
      <c r="F26" s="9">
        <v>39501</v>
      </c>
      <c r="G26" s="9" t="s">
        <v>28</v>
      </c>
      <c r="H26" s="9" t="s">
        <v>18</v>
      </c>
      <c r="J26" s="9" t="s">
        <v>29</v>
      </c>
      <c r="K26" s="9" t="s">
        <v>1368</v>
      </c>
      <c r="L26" s="9" t="s">
        <v>20</v>
      </c>
      <c r="M26" s="9" t="s">
        <v>1634</v>
      </c>
      <c r="N26" s="9" t="str">
        <f t="shared" si="0"/>
        <v>IRON SANTOS</v>
      </c>
    </row>
    <row r="27" spans="1:14" x14ac:dyDescent="0.3">
      <c r="A27" s="9">
        <v>705107</v>
      </c>
      <c r="B27" s="9" t="s">
        <v>88</v>
      </c>
      <c r="C27" s="10" t="s">
        <v>15</v>
      </c>
      <c r="D27" s="11">
        <v>45678</v>
      </c>
      <c r="E27" s="9" t="s">
        <v>31</v>
      </c>
      <c r="F27" s="9">
        <v>51219</v>
      </c>
      <c r="G27" s="9" t="s">
        <v>61</v>
      </c>
      <c r="H27" s="9" t="s">
        <v>18</v>
      </c>
      <c r="J27" s="9" t="s">
        <v>37</v>
      </c>
      <c r="K27" s="9" t="s">
        <v>1368</v>
      </c>
      <c r="L27" s="9" t="s">
        <v>20</v>
      </c>
      <c r="M27" s="9" t="s">
        <v>1634</v>
      </c>
      <c r="N27" s="9" t="str">
        <f t="shared" si="0"/>
        <v>IRON SANTOS</v>
      </c>
    </row>
    <row r="28" spans="1:14" x14ac:dyDescent="0.3">
      <c r="A28" s="9">
        <v>704639</v>
      </c>
      <c r="B28" s="9" t="s">
        <v>90</v>
      </c>
      <c r="C28" s="10" t="s">
        <v>15</v>
      </c>
      <c r="D28" s="11">
        <v>45476</v>
      </c>
      <c r="E28" s="9" t="s">
        <v>91</v>
      </c>
      <c r="F28" s="9">
        <v>34201</v>
      </c>
      <c r="G28" s="9" t="s">
        <v>84</v>
      </c>
      <c r="H28" s="9" t="s">
        <v>18</v>
      </c>
      <c r="J28" s="9" t="s">
        <v>85</v>
      </c>
      <c r="K28" s="9" t="s">
        <v>1371</v>
      </c>
      <c r="L28" s="9" t="s">
        <v>1380</v>
      </c>
      <c r="M28" s="9" t="s">
        <v>1380</v>
      </c>
      <c r="N28" s="9" t="str">
        <f t="shared" si="0"/>
        <v xml:space="preserve">LEONARDO SANTOS </v>
      </c>
    </row>
    <row r="29" spans="1:14" x14ac:dyDescent="0.3">
      <c r="A29" s="9">
        <v>703274</v>
      </c>
      <c r="B29" s="9" t="s">
        <v>96</v>
      </c>
      <c r="C29" s="10" t="s">
        <v>15</v>
      </c>
      <c r="D29" s="11">
        <v>44781</v>
      </c>
      <c r="E29" s="9" t="s">
        <v>97</v>
      </c>
      <c r="F29" s="9">
        <v>32101</v>
      </c>
      <c r="G29" s="9" t="s">
        <v>23</v>
      </c>
      <c r="H29" s="9" t="s">
        <v>18</v>
      </c>
      <c r="J29" s="9" t="s">
        <v>24</v>
      </c>
      <c r="K29" s="9" t="s">
        <v>25</v>
      </c>
      <c r="L29" s="9" t="s">
        <v>1369</v>
      </c>
      <c r="M29" s="9" t="s">
        <v>1370</v>
      </c>
      <c r="N29" s="9" t="str">
        <f t="shared" si="0"/>
        <v>JUNIO COSTA</v>
      </c>
    </row>
    <row r="30" spans="1:14" x14ac:dyDescent="0.3">
      <c r="A30" s="9">
        <v>700150</v>
      </c>
      <c r="B30" s="9" t="s">
        <v>98</v>
      </c>
      <c r="C30" s="10" t="s">
        <v>15</v>
      </c>
      <c r="D30" s="11">
        <v>43227</v>
      </c>
      <c r="E30" s="9" t="s">
        <v>99</v>
      </c>
      <c r="F30" s="9">
        <v>34201</v>
      </c>
      <c r="G30" s="9" t="s">
        <v>84</v>
      </c>
      <c r="H30" s="9" t="s">
        <v>18</v>
      </c>
      <c r="J30" s="9" t="s">
        <v>85</v>
      </c>
      <c r="K30" s="9" t="s">
        <v>1371</v>
      </c>
      <c r="L30" s="9" t="s">
        <v>1380</v>
      </c>
      <c r="M30" s="9" t="s">
        <v>1380</v>
      </c>
      <c r="N30" s="9" t="str">
        <f t="shared" si="0"/>
        <v xml:space="preserve">LEONARDO SANTOS </v>
      </c>
    </row>
    <row r="31" spans="1:14" x14ac:dyDescent="0.3">
      <c r="A31" s="9">
        <v>100974</v>
      </c>
      <c r="B31" s="9" t="s">
        <v>100</v>
      </c>
      <c r="C31" s="10" t="s">
        <v>15</v>
      </c>
      <c r="D31" s="11">
        <v>42548</v>
      </c>
      <c r="E31" s="9" t="s">
        <v>195</v>
      </c>
      <c r="F31" s="9">
        <v>39302</v>
      </c>
      <c r="G31" s="9" t="s">
        <v>102</v>
      </c>
      <c r="H31" s="9" t="s">
        <v>18</v>
      </c>
      <c r="J31" s="9" t="s">
        <v>1640</v>
      </c>
      <c r="K31" s="9" t="s">
        <v>1371</v>
      </c>
      <c r="N31" s="9" t="str">
        <f t="shared" si="0"/>
        <v>PAULO BONIFÁCIO</v>
      </c>
    </row>
    <row r="32" spans="1:14" x14ac:dyDescent="0.3">
      <c r="A32" s="9">
        <v>705820</v>
      </c>
      <c r="B32" s="9" t="s">
        <v>1535</v>
      </c>
      <c r="C32" s="10" t="s">
        <v>15</v>
      </c>
      <c r="D32" s="11">
        <v>46063</v>
      </c>
      <c r="E32" s="9" t="s">
        <v>31</v>
      </c>
      <c r="F32" s="9">
        <v>51219</v>
      </c>
      <c r="G32" s="9" t="s">
        <v>61</v>
      </c>
      <c r="H32" s="9" t="s">
        <v>18</v>
      </c>
      <c r="J32" s="9" t="s">
        <v>19</v>
      </c>
      <c r="K32" s="9" t="s">
        <v>1368</v>
      </c>
      <c r="L32" s="9" t="s">
        <v>20</v>
      </c>
      <c r="M32" s="9" t="s">
        <v>1632</v>
      </c>
      <c r="N32" s="9" t="str">
        <f t="shared" si="0"/>
        <v>THIAGO MARCOS</v>
      </c>
    </row>
    <row r="33" spans="1:14" x14ac:dyDescent="0.3">
      <c r="A33" s="9">
        <v>101733</v>
      </c>
      <c r="B33" s="9" t="s">
        <v>104</v>
      </c>
      <c r="C33" s="10" t="s">
        <v>15</v>
      </c>
      <c r="D33" s="11">
        <v>42121</v>
      </c>
      <c r="E33" s="9" t="s">
        <v>105</v>
      </c>
      <c r="F33" s="9">
        <v>22102</v>
      </c>
      <c r="G33" s="9" t="s">
        <v>68</v>
      </c>
      <c r="H33" s="9" t="s">
        <v>18</v>
      </c>
      <c r="J33" s="9" t="s">
        <v>81</v>
      </c>
      <c r="K33" s="9" t="s">
        <v>1371</v>
      </c>
      <c r="L33" s="9" t="s">
        <v>1509</v>
      </c>
      <c r="M33" s="9" t="s">
        <v>1379</v>
      </c>
      <c r="N33" s="9" t="str">
        <f t="shared" si="0"/>
        <v xml:space="preserve">EDSON/MARCELO LIMA </v>
      </c>
    </row>
    <row r="34" spans="1:14" x14ac:dyDescent="0.3">
      <c r="A34" s="9">
        <v>704081</v>
      </c>
      <c r="B34" s="9" t="s">
        <v>106</v>
      </c>
      <c r="C34" s="10" t="s">
        <v>15</v>
      </c>
      <c r="D34" s="11">
        <v>45188</v>
      </c>
      <c r="E34" s="9" t="s">
        <v>71</v>
      </c>
      <c r="F34" s="9">
        <v>25201</v>
      </c>
      <c r="G34" s="9" t="s">
        <v>89</v>
      </c>
      <c r="H34" s="9" t="s">
        <v>18</v>
      </c>
      <c r="J34" s="9" t="s">
        <v>19</v>
      </c>
      <c r="K34" s="9" t="s">
        <v>1368</v>
      </c>
      <c r="L34" s="9" t="s">
        <v>20</v>
      </c>
      <c r="M34" s="9" t="s">
        <v>1632</v>
      </c>
      <c r="N34" s="9" t="str">
        <f t="shared" si="0"/>
        <v>THIAGO MARCOS</v>
      </c>
    </row>
    <row r="35" spans="1:14" x14ac:dyDescent="0.3">
      <c r="A35" s="9">
        <v>702828</v>
      </c>
      <c r="B35" s="9" t="s">
        <v>107</v>
      </c>
      <c r="C35" s="10" t="s">
        <v>15</v>
      </c>
      <c r="D35" s="11">
        <v>44614</v>
      </c>
      <c r="E35" s="9" t="s">
        <v>31</v>
      </c>
      <c r="F35" s="9">
        <v>52104</v>
      </c>
      <c r="G35" s="9" t="s">
        <v>17</v>
      </c>
      <c r="H35" s="9" t="s">
        <v>18</v>
      </c>
      <c r="J35" s="9" t="s">
        <v>37</v>
      </c>
      <c r="K35" s="9" t="s">
        <v>1368</v>
      </c>
      <c r="L35" s="9" t="s">
        <v>20</v>
      </c>
      <c r="M35" s="9" t="s">
        <v>1634</v>
      </c>
      <c r="N35" s="9" t="str">
        <f t="shared" si="0"/>
        <v>IRON SANTOS</v>
      </c>
    </row>
    <row r="36" spans="1:14" x14ac:dyDescent="0.3">
      <c r="A36" s="9">
        <v>705624</v>
      </c>
      <c r="B36" s="9" t="s">
        <v>1394</v>
      </c>
      <c r="C36" s="10" t="s">
        <v>15</v>
      </c>
      <c r="D36" s="11">
        <v>45937</v>
      </c>
      <c r="E36" s="9" t="s">
        <v>152</v>
      </c>
      <c r="F36" s="9">
        <v>39201</v>
      </c>
      <c r="G36" s="9" t="s">
        <v>153</v>
      </c>
      <c r="H36" s="9" t="s">
        <v>18</v>
      </c>
      <c r="J36" s="9" t="s">
        <v>154</v>
      </c>
      <c r="K36" s="9" t="s">
        <v>50</v>
      </c>
      <c r="L36" s="9" t="s">
        <v>1382</v>
      </c>
      <c r="M36" s="9" t="s">
        <v>1382</v>
      </c>
      <c r="N36" s="9" t="str">
        <f t="shared" si="0"/>
        <v>ADENILTON RODRIGUES</v>
      </c>
    </row>
    <row r="37" spans="1:14" x14ac:dyDescent="0.3">
      <c r="A37" s="9">
        <v>704227</v>
      </c>
      <c r="B37" s="9" t="s">
        <v>108</v>
      </c>
      <c r="C37" s="10" t="s">
        <v>15</v>
      </c>
      <c r="D37" s="11">
        <v>45328</v>
      </c>
      <c r="E37" s="9" t="s">
        <v>219</v>
      </c>
      <c r="F37" s="9">
        <v>32101</v>
      </c>
      <c r="G37" s="9" t="s">
        <v>23</v>
      </c>
      <c r="H37" s="9" t="s">
        <v>18</v>
      </c>
      <c r="J37" s="9" t="s">
        <v>24</v>
      </c>
      <c r="K37" s="9" t="s">
        <v>25</v>
      </c>
      <c r="L37" s="9" t="s">
        <v>1369</v>
      </c>
      <c r="M37" s="9" t="s">
        <v>1370</v>
      </c>
      <c r="N37" s="9" t="str">
        <f t="shared" si="0"/>
        <v>JUNIO COSTA</v>
      </c>
    </row>
    <row r="38" spans="1:14" x14ac:dyDescent="0.3">
      <c r="A38" s="9">
        <v>101307</v>
      </c>
      <c r="B38" s="9" t="s">
        <v>110</v>
      </c>
      <c r="C38" s="10" t="s">
        <v>15</v>
      </c>
      <c r="D38" s="11">
        <v>42850</v>
      </c>
      <c r="E38" s="9" t="s">
        <v>111</v>
      </c>
      <c r="F38" s="9">
        <v>52104</v>
      </c>
      <c r="G38" s="9" t="s">
        <v>17</v>
      </c>
      <c r="H38" s="9" t="s">
        <v>18</v>
      </c>
      <c r="J38" s="9" t="s">
        <v>1641</v>
      </c>
      <c r="K38" s="9" t="s">
        <v>1368</v>
      </c>
      <c r="N38" s="9" t="str">
        <f t="shared" si="0"/>
        <v>JOSÉ GOUVEA</v>
      </c>
    </row>
    <row r="39" spans="1:14" x14ac:dyDescent="0.3">
      <c r="A39" s="9">
        <v>702711</v>
      </c>
      <c r="B39" s="9" t="s">
        <v>113</v>
      </c>
      <c r="C39" s="10" t="s">
        <v>15</v>
      </c>
      <c r="D39" s="11">
        <v>44586</v>
      </c>
      <c r="E39" s="9" t="s">
        <v>114</v>
      </c>
      <c r="F39" s="9">
        <v>38101</v>
      </c>
      <c r="G39" s="9" t="s">
        <v>35</v>
      </c>
      <c r="H39" s="9" t="s">
        <v>18</v>
      </c>
      <c r="J39" s="9" t="s">
        <v>36</v>
      </c>
      <c r="K39" s="9" t="s">
        <v>1372</v>
      </c>
      <c r="L39" s="9" t="s">
        <v>1373</v>
      </c>
      <c r="M39" s="9" t="s">
        <v>1373</v>
      </c>
      <c r="N39" s="9" t="str">
        <f t="shared" si="0"/>
        <v>DENIS ACASSIO</v>
      </c>
    </row>
    <row r="40" spans="1:14" x14ac:dyDescent="0.3">
      <c r="A40" s="9">
        <v>705916</v>
      </c>
      <c r="B40" s="9" t="s">
        <v>1601</v>
      </c>
      <c r="C40" s="10" t="s">
        <v>15</v>
      </c>
      <c r="D40" s="11">
        <v>46091</v>
      </c>
      <c r="E40" s="9" t="s">
        <v>31</v>
      </c>
      <c r="F40" s="9">
        <v>52104</v>
      </c>
      <c r="G40" s="9" t="s">
        <v>17</v>
      </c>
      <c r="H40" s="9" t="s">
        <v>18</v>
      </c>
      <c r="J40" s="9" t="s">
        <v>19</v>
      </c>
      <c r="K40" s="9" t="s">
        <v>1368</v>
      </c>
      <c r="L40" s="9" t="s">
        <v>20</v>
      </c>
      <c r="M40" s="9" t="s">
        <v>1632</v>
      </c>
      <c r="N40" s="9" t="str">
        <f t="shared" si="0"/>
        <v>THIAGO MARCOS</v>
      </c>
    </row>
    <row r="41" spans="1:14" x14ac:dyDescent="0.3">
      <c r="A41" s="9">
        <v>700325</v>
      </c>
      <c r="B41" s="9" t="s">
        <v>115</v>
      </c>
      <c r="C41" s="10" t="s">
        <v>15</v>
      </c>
      <c r="D41" s="11">
        <v>43292</v>
      </c>
      <c r="E41" s="9" t="s">
        <v>116</v>
      </c>
      <c r="F41" s="9">
        <v>34201</v>
      </c>
      <c r="G41" s="9" t="s">
        <v>84</v>
      </c>
      <c r="H41" s="9" t="s">
        <v>18</v>
      </c>
      <c r="J41" s="9" t="s">
        <v>85</v>
      </c>
      <c r="K41" s="9" t="s">
        <v>1371</v>
      </c>
      <c r="L41" s="9" t="s">
        <v>1380</v>
      </c>
      <c r="M41" s="9" t="s">
        <v>1380</v>
      </c>
      <c r="N41" s="9" t="str">
        <f t="shared" si="0"/>
        <v xml:space="preserve">LEONARDO SANTOS </v>
      </c>
    </row>
    <row r="42" spans="1:14" x14ac:dyDescent="0.3">
      <c r="A42" s="9">
        <v>701609</v>
      </c>
      <c r="B42" s="9" t="s">
        <v>117</v>
      </c>
      <c r="C42" s="10" t="s">
        <v>15</v>
      </c>
      <c r="D42" s="11">
        <v>43999</v>
      </c>
      <c r="E42" s="9" t="s">
        <v>138</v>
      </c>
      <c r="F42" s="9">
        <v>51219</v>
      </c>
      <c r="G42" s="9" t="s">
        <v>61</v>
      </c>
      <c r="H42" s="9" t="s">
        <v>18</v>
      </c>
      <c r="J42" s="9" t="s">
        <v>37</v>
      </c>
      <c r="K42" s="9" t="s">
        <v>1368</v>
      </c>
      <c r="L42" s="9" t="s">
        <v>20</v>
      </c>
      <c r="M42" s="9" t="s">
        <v>1634</v>
      </c>
      <c r="N42" s="9" t="str">
        <f t="shared" si="0"/>
        <v>IRON SANTOS</v>
      </c>
    </row>
    <row r="43" spans="1:14" x14ac:dyDescent="0.3">
      <c r="A43" s="9">
        <v>705583</v>
      </c>
      <c r="B43" s="9" t="s">
        <v>1602</v>
      </c>
      <c r="C43" s="10" t="s">
        <v>15</v>
      </c>
      <c r="D43" s="11">
        <v>45881</v>
      </c>
      <c r="E43" s="9" t="s">
        <v>31</v>
      </c>
      <c r="F43" s="9">
        <v>25201</v>
      </c>
      <c r="G43" s="9" t="s">
        <v>89</v>
      </c>
      <c r="H43" s="9" t="s">
        <v>18</v>
      </c>
      <c r="J43" s="9" t="s">
        <v>19</v>
      </c>
      <c r="K43" s="9" t="s">
        <v>1368</v>
      </c>
      <c r="L43" s="9" t="s">
        <v>20</v>
      </c>
      <c r="M43" s="9" t="s">
        <v>1632</v>
      </c>
      <c r="N43" s="9" t="str">
        <f t="shared" si="0"/>
        <v>THIAGO MARCOS</v>
      </c>
    </row>
    <row r="44" spans="1:14" x14ac:dyDescent="0.3">
      <c r="A44" s="9">
        <v>700171</v>
      </c>
      <c r="B44" s="9" t="s">
        <v>118</v>
      </c>
      <c r="C44" s="10" t="s">
        <v>15</v>
      </c>
      <c r="D44" s="11">
        <v>43234</v>
      </c>
      <c r="E44" s="9" t="s">
        <v>116</v>
      </c>
      <c r="F44" s="9">
        <v>34201</v>
      </c>
      <c r="G44" s="9" t="s">
        <v>84</v>
      </c>
      <c r="H44" s="9" t="s">
        <v>18</v>
      </c>
      <c r="J44" s="9" t="s">
        <v>85</v>
      </c>
      <c r="K44" s="9" t="s">
        <v>1371</v>
      </c>
      <c r="L44" s="9" t="s">
        <v>1380</v>
      </c>
      <c r="M44" s="9" t="s">
        <v>1380</v>
      </c>
      <c r="N44" s="9" t="str">
        <f t="shared" si="0"/>
        <v xml:space="preserve">LEONARDO SANTOS </v>
      </c>
    </row>
    <row r="45" spans="1:14" x14ac:dyDescent="0.3">
      <c r="A45" s="9">
        <v>704215</v>
      </c>
      <c r="B45" s="9" t="s">
        <v>119</v>
      </c>
      <c r="C45" s="10" t="s">
        <v>15</v>
      </c>
      <c r="D45" s="11">
        <v>45300</v>
      </c>
      <c r="E45" s="9" t="s">
        <v>67</v>
      </c>
      <c r="F45" s="9">
        <v>22102</v>
      </c>
      <c r="G45" s="9" t="s">
        <v>68</v>
      </c>
      <c r="H45" s="9" t="s">
        <v>18</v>
      </c>
      <c r="J45" s="9" t="s">
        <v>69</v>
      </c>
      <c r="K45" s="9" t="s">
        <v>1371</v>
      </c>
      <c r="L45" s="9" t="s">
        <v>1378</v>
      </c>
      <c r="N45" s="9" t="str">
        <f t="shared" si="0"/>
        <v xml:space="preserve">JOÃO KOMURA </v>
      </c>
    </row>
    <row r="46" spans="1:14" x14ac:dyDescent="0.3">
      <c r="A46" s="9">
        <v>704331</v>
      </c>
      <c r="B46" s="9" t="s">
        <v>120</v>
      </c>
      <c r="C46" s="10" t="s">
        <v>15</v>
      </c>
      <c r="D46" s="11">
        <v>45363</v>
      </c>
      <c r="E46" s="9" t="s">
        <v>121</v>
      </c>
      <c r="F46" s="9">
        <v>22101</v>
      </c>
      <c r="G46" s="9" t="s">
        <v>122</v>
      </c>
      <c r="H46" s="9" t="s">
        <v>18</v>
      </c>
      <c r="J46" s="9" t="s">
        <v>123</v>
      </c>
      <c r="K46" s="9" t="s">
        <v>124</v>
      </c>
      <c r="N46" s="9" t="str">
        <f t="shared" si="0"/>
        <v>MATHEUS FERNANDES</v>
      </c>
    </row>
    <row r="47" spans="1:14" x14ac:dyDescent="0.3">
      <c r="A47" s="9">
        <v>100765</v>
      </c>
      <c r="B47" s="9" t="s">
        <v>126</v>
      </c>
      <c r="C47" s="10" t="s">
        <v>15</v>
      </c>
      <c r="D47" s="11">
        <v>42205</v>
      </c>
      <c r="E47" s="9" t="s">
        <v>127</v>
      </c>
      <c r="F47" s="9">
        <v>22102</v>
      </c>
      <c r="G47" s="9" t="s">
        <v>68</v>
      </c>
      <c r="H47" s="9" t="s">
        <v>18</v>
      </c>
      <c r="J47" s="9" t="s">
        <v>81</v>
      </c>
      <c r="K47" s="9" t="s">
        <v>1371</v>
      </c>
      <c r="L47" s="9" t="s">
        <v>1509</v>
      </c>
      <c r="M47" s="9" t="s">
        <v>1379</v>
      </c>
      <c r="N47" s="9" t="str">
        <f t="shared" si="0"/>
        <v xml:space="preserve">EDSON/MARCELO LIMA </v>
      </c>
    </row>
    <row r="48" spans="1:14" x14ac:dyDescent="0.3">
      <c r="A48" s="9">
        <v>705817</v>
      </c>
      <c r="B48" s="9" t="s">
        <v>1511</v>
      </c>
      <c r="C48" s="10" t="s">
        <v>15</v>
      </c>
      <c r="D48" s="11">
        <v>46035</v>
      </c>
      <c r="E48" s="9" t="s">
        <v>31</v>
      </c>
      <c r="F48" s="9">
        <v>51219</v>
      </c>
      <c r="G48" s="9" t="s">
        <v>61</v>
      </c>
      <c r="H48" s="9" t="s">
        <v>18</v>
      </c>
      <c r="J48" s="9" t="s">
        <v>19</v>
      </c>
      <c r="K48" s="9" t="s">
        <v>1368</v>
      </c>
      <c r="L48" s="9" t="s">
        <v>20</v>
      </c>
      <c r="M48" s="9" t="s">
        <v>1632</v>
      </c>
      <c r="N48" s="9" t="str">
        <f t="shared" si="0"/>
        <v>THIAGO MARCOS</v>
      </c>
    </row>
    <row r="49" spans="1:14" x14ac:dyDescent="0.3">
      <c r="A49" s="9">
        <v>704952</v>
      </c>
      <c r="B49" s="9" t="s">
        <v>128</v>
      </c>
      <c r="C49" s="10" t="s">
        <v>15</v>
      </c>
      <c r="D49" s="11">
        <v>45607</v>
      </c>
      <c r="E49" s="9" t="s">
        <v>188</v>
      </c>
      <c r="F49" s="9">
        <v>22102</v>
      </c>
      <c r="G49" s="9" t="s">
        <v>68</v>
      </c>
      <c r="H49" s="9" t="s">
        <v>18</v>
      </c>
      <c r="J49" s="9" t="s">
        <v>142</v>
      </c>
      <c r="K49" s="9" t="s">
        <v>1371</v>
      </c>
      <c r="L49" s="9" t="s">
        <v>1509</v>
      </c>
      <c r="M49" s="9" t="s">
        <v>1633</v>
      </c>
      <c r="N49" s="9" t="str">
        <f t="shared" si="0"/>
        <v>CRISTIANO BARBOSA</v>
      </c>
    </row>
    <row r="50" spans="1:14" x14ac:dyDescent="0.3">
      <c r="A50" s="9">
        <v>705786</v>
      </c>
      <c r="B50" s="9" t="s">
        <v>1512</v>
      </c>
      <c r="C50" s="10" t="s">
        <v>15</v>
      </c>
      <c r="D50" s="11">
        <v>46029</v>
      </c>
      <c r="E50" s="9" t="s">
        <v>31</v>
      </c>
      <c r="F50" s="9">
        <v>52202</v>
      </c>
      <c r="G50" s="9" t="s">
        <v>32</v>
      </c>
      <c r="H50" s="9" t="s">
        <v>18</v>
      </c>
      <c r="J50" s="9" t="s">
        <v>33</v>
      </c>
      <c r="K50" s="9" t="s">
        <v>1368</v>
      </c>
      <c r="L50" s="9" t="s">
        <v>20</v>
      </c>
      <c r="M50" s="9" t="s">
        <v>1634</v>
      </c>
      <c r="N50" s="9" t="str">
        <f t="shared" si="0"/>
        <v>IRON SANTOS</v>
      </c>
    </row>
    <row r="51" spans="1:14" x14ac:dyDescent="0.3">
      <c r="A51" s="9">
        <v>705544</v>
      </c>
      <c r="B51" s="9" t="s">
        <v>1311</v>
      </c>
      <c r="C51" s="10" t="s">
        <v>15</v>
      </c>
      <c r="D51" s="11">
        <v>45874</v>
      </c>
      <c r="E51" s="9" t="s">
        <v>508</v>
      </c>
      <c r="F51" s="9">
        <v>33301</v>
      </c>
      <c r="G51" s="9" t="s">
        <v>64</v>
      </c>
      <c r="H51" s="9" t="s">
        <v>18</v>
      </c>
      <c r="J51" s="9" t="s">
        <v>1642</v>
      </c>
      <c r="K51" s="9" t="s">
        <v>25</v>
      </c>
      <c r="N51" s="9" t="str">
        <f t="shared" si="0"/>
        <v>RAFAEL XAVIER</v>
      </c>
    </row>
    <row r="52" spans="1:14" x14ac:dyDescent="0.3">
      <c r="A52" s="9">
        <v>101125</v>
      </c>
      <c r="B52" s="9" t="s">
        <v>134</v>
      </c>
      <c r="C52" s="10" t="s">
        <v>15</v>
      </c>
      <c r="D52" s="11">
        <v>42692</v>
      </c>
      <c r="E52" s="9" t="s">
        <v>1122</v>
      </c>
      <c r="F52" s="9">
        <v>39201</v>
      </c>
      <c r="G52" s="9" t="s">
        <v>153</v>
      </c>
      <c r="H52" s="9" t="s">
        <v>18</v>
      </c>
      <c r="J52" s="9" t="s">
        <v>154</v>
      </c>
      <c r="K52" s="9" t="s">
        <v>50</v>
      </c>
      <c r="L52" s="9" t="s">
        <v>1382</v>
      </c>
      <c r="M52" s="9" t="s">
        <v>1382</v>
      </c>
      <c r="N52" s="9" t="str">
        <f t="shared" si="0"/>
        <v>ADENILTON RODRIGUES</v>
      </c>
    </row>
    <row r="53" spans="1:14" x14ac:dyDescent="0.3">
      <c r="A53" s="9">
        <v>705639</v>
      </c>
      <c r="B53" s="9" t="s">
        <v>1395</v>
      </c>
      <c r="C53" s="10" t="s">
        <v>15</v>
      </c>
      <c r="D53" s="11">
        <v>45937</v>
      </c>
      <c r="E53" s="9" t="s">
        <v>282</v>
      </c>
      <c r="F53" s="9">
        <v>32101</v>
      </c>
      <c r="G53" s="9" t="s">
        <v>23</v>
      </c>
      <c r="H53" s="9" t="s">
        <v>18</v>
      </c>
      <c r="J53" s="9" t="s">
        <v>1643</v>
      </c>
      <c r="K53" s="9" t="s">
        <v>25</v>
      </c>
      <c r="M53" s="9" t="s">
        <v>1780</v>
      </c>
      <c r="N53" s="9" t="str">
        <f t="shared" si="0"/>
        <v>JOSE ALBERISSON</v>
      </c>
    </row>
    <row r="54" spans="1:14" x14ac:dyDescent="0.3">
      <c r="A54" s="9">
        <v>101790</v>
      </c>
      <c r="B54" s="9" t="s">
        <v>137</v>
      </c>
      <c r="C54" s="10" t="s">
        <v>15</v>
      </c>
      <c r="D54" s="11">
        <v>43080</v>
      </c>
      <c r="E54" s="9" t="s">
        <v>60</v>
      </c>
      <c r="F54" s="9">
        <v>52104</v>
      </c>
      <c r="G54" s="9" t="s">
        <v>17</v>
      </c>
      <c r="H54" s="9" t="s">
        <v>18</v>
      </c>
      <c r="J54" s="9" t="s">
        <v>19</v>
      </c>
      <c r="K54" s="9" t="s">
        <v>1368</v>
      </c>
      <c r="L54" s="9" t="s">
        <v>20</v>
      </c>
      <c r="M54" s="9" t="s">
        <v>1632</v>
      </c>
      <c r="N54" s="9" t="str">
        <f t="shared" si="0"/>
        <v>THIAGO MARCOS</v>
      </c>
    </row>
    <row r="55" spans="1:14" x14ac:dyDescent="0.3">
      <c r="A55" s="9">
        <v>704157</v>
      </c>
      <c r="B55" s="9" t="s">
        <v>139</v>
      </c>
      <c r="C55" s="10" t="s">
        <v>15</v>
      </c>
      <c r="D55" s="11">
        <v>45264</v>
      </c>
      <c r="E55" s="9" t="s">
        <v>40</v>
      </c>
      <c r="F55" s="9">
        <v>51219</v>
      </c>
      <c r="G55" s="9" t="s">
        <v>61</v>
      </c>
      <c r="H55" s="9" t="s">
        <v>18</v>
      </c>
      <c r="J55" s="9" t="s">
        <v>19</v>
      </c>
      <c r="K55" s="9" t="s">
        <v>1368</v>
      </c>
      <c r="L55" s="9" t="s">
        <v>20</v>
      </c>
      <c r="M55" s="9" t="s">
        <v>1632</v>
      </c>
      <c r="N55" s="9" t="str">
        <f t="shared" si="0"/>
        <v>THIAGO MARCOS</v>
      </c>
    </row>
    <row r="56" spans="1:14" x14ac:dyDescent="0.3">
      <c r="A56" s="9">
        <v>77013484</v>
      </c>
      <c r="B56" s="9" t="s">
        <v>1644</v>
      </c>
      <c r="C56" s="10" t="s">
        <v>15</v>
      </c>
      <c r="D56" s="11">
        <v>46119</v>
      </c>
      <c r="E56" s="9" t="s">
        <v>77</v>
      </c>
      <c r="F56" s="9">
        <v>38107</v>
      </c>
      <c r="G56" s="9" t="s">
        <v>1503</v>
      </c>
      <c r="H56" s="9" t="s">
        <v>18</v>
      </c>
      <c r="J56" s="9" t="s">
        <v>78</v>
      </c>
      <c r="K56" s="9" t="s">
        <v>1372</v>
      </c>
      <c r="N56" s="9" t="str">
        <f t="shared" si="0"/>
        <v xml:space="preserve">LEIDJANE MARTINS </v>
      </c>
    </row>
    <row r="57" spans="1:14" x14ac:dyDescent="0.3">
      <c r="A57" s="9">
        <v>702156</v>
      </c>
      <c r="B57" s="9" t="s">
        <v>140</v>
      </c>
      <c r="C57" s="10" t="s">
        <v>15</v>
      </c>
      <c r="D57" s="11">
        <v>44299</v>
      </c>
      <c r="E57" s="9" t="s">
        <v>141</v>
      </c>
      <c r="F57" s="9">
        <v>22102</v>
      </c>
      <c r="G57" s="9" t="s">
        <v>68</v>
      </c>
      <c r="H57" s="9" t="s">
        <v>18</v>
      </c>
      <c r="J57" s="9" t="s">
        <v>142</v>
      </c>
      <c r="K57" s="9" t="s">
        <v>1371</v>
      </c>
      <c r="L57" s="9" t="s">
        <v>1509</v>
      </c>
      <c r="M57" s="9" t="s">
        <v>1633</v>
      </c>
      <c r="N57" s="9" t="str">
        <f t="shared" si="0"/>
        <v>CRISTIANO BARBOSA</v>
      </c>
    </row>
    <row r="58" spans="1:14" x14ac:dyDescent="0.3">
      <c r="A58" s="9">
        <v>705809</v>
      </c>
      <c r="B58" s="9" t="s">
        <v>1513</v>
      </c>
      <c r="C58" s="10" t="s">
        <v>15</v>
      </c>
      <c r="D58" s="11">
        <v>46035</v>
      </c>
      <c r="E58" s="9" t="s">
        <v>31</v>
      </c>
      <c r="F58" s="9">
        <v>51219</v>
      </c>
      <c r="G58" s="9" t="s">
        <v>61</v>
      </c>
      <c r="H58" s="9" t="s">
        <v>18</v>
      </c>
      <c r="J58" s="9" t="s">
        <v>19</v>
      </c>
      <c r="K58" s="9" t="s">
        <v>1368</v>
      </c>
      <c r="L58" s="9" t="s">
        <v>20</v>
      </c>
      <c r="M58" s="9" t="s">
        <v>1632</v>
      </c>
      <c r="N58" s="9" t="str">
        <f t="shared" si="0"/>
        <v>THIAGO MARCOS</v>
      </c>
    </row>
    <row r="59" spans="1:14" x14ac:dyDescent="0.3">
      <c r="A59" s="9">
        <v>705643</v>
      </c>
      <c r="B59" s="9" t="s">
        <v>144</v>
      </c>
      <c r="C59" s="10" t="s">
        <v>15</v>
      </c>
      <c r="D59" s="11">
        <v>45944</v>
      </c>
      <c r="E59" s="9" t="s">
        <v>31</v>
      </c>
      <c r="F59" s="9">
        <v>51219</v>
      </c>
      <c r="G59" s="9" t="s">
        <v>61</v>
      </c>
      <c r="H59" s="9" t="s">
        <v>18</v>
      </c>
      <c r="J59" s="9" t="s">
        <v>19</v>
      </c>
      <c r="K59" s="9" t="s">
        <v>1368</v>
      </c>
      <c r="L59" s="9" t="s">
        <v>20</v>
      </c>
      <c r="M59" s="9" t="s">
        <v>1632</v>
      </c>
      <c r="N59" s="9" t="str">
        <f t="shared" si="0"/>
        <v>THIAGO MARCOS</v>
      </c>
    </row>
    <row r="60" spans="1:14" x14ac:dyDescent="0.3">
      <c r="A60" s="9">
        <v>703625</v>
      </c>
      <c r="B60" s="9" t="s">
        <v>145</v>
      </c>
      <c r="C60" s="10" t="s">
        <v>15</v>
      </c>
      <c r="D60" s="11">
        <v>44991</v>
      </c>
      <c r="E60" s="9" t="s">
        <v>255</v>
      </c>
      <c r="F60" s="9">
        <v>52104</v>
      </c>
      <c r="G60" s="9" t="s">
        <v>17</v>
      </c>
      <c r="H60" s="9" t="s">
        <v>18</v>
      </c>
      <c r="J60" s="9" t="s">
        <v>19</v>
      </c>
      <c r="K60" s="9" t="s">
        <v>1368</v>
      </c>
      <c r="L60" s="9" t="s">
        <v>20</v>
      </c>
      <c r="M60" s="9" t="s">
        <v>1632</v>
      </c>
      <c r="N60" s="9" t="str">
        <f t="shared" si="0"/>
        <v>THIAGO MARCOS</v>
      </c>
    </row>
    <row r="61" spans="1:14" x14ac:dyDescent="0.3">
      <c r="A61" s="9">
        <v>704967</v>
      </c>
      <c r="B61" s="9" t="s">
        <v>147</v>
      </c>
      <c r="C61" s="10" t="s">
        <v>92</v>
      </c>
      <c r="D61" s="11">
        <v>45629</v>
      </c>
      <c r="E61" s="9" t="s">
        <v>91</v>
      </c>
      <c r="F61" s="9">
        <v>34201</v>
      </c>
      <c r="G61" s="9" t="s">
        <v>84</v>
      </c>
      <c r="H61" s="9" t="s">
        <v>18</v>
      </c>
      <c r="I61" s="11">
        <v>46136</v>
      </c>
      <c r="J61" s="9" t="s">
        <v>85</v>
      </c>
      <c r="K61" s="9" t="s">
        <v>1371</v>
      </c>
      <c r="L61" s="9" t="s">
        <v>1380</v>
      </c>
      <c r="M61" s="9" t="s">
        <v>1380</v>
      </c>
      <c r="N61" s="9" t="str">
        <f t="shared" si="0"/>
        <v xml:space="preserve">LEONARDO SANTOS </v>
      </c>
    </row>
    <row r="62" spans="1:14" x14ac:dyDescent="0.3">
      <c r="A62" s="9">
        <v>2006</v>
      </c>
      <c r="B62" s="9" t="s">
        <v>148</v>
      </c>
      <c r="C62" s="10" t="s">
        <v>15</v>
      </c>
      <c r="D62" s="11">
        <v>40665</v>
      </c>
      <c r="E62" s="9" t="s">
        <v>149</v>
      </c>
      <c r="F62" s="9">
        <v>39302</v>
      </c>
      <c r="G62" s="9" t="s">
        <v>102</v>
      </c>
      <c r="H62" s="9" t="s">
        <v>18</v>
      </c>
      <c r="J62" s="9" t="s">
        <v>57</v>
      </c>
      <c r="K62" s="9" t="s">
        <v>1371</v>
      </c>
      <c r="L62" s="9" t="s">
        <v>1376</v>
      </c>
      <c r="M62" s="9" t="s">
        <v>1635</v>
      </c>
      <c r="N62" s="9" t="str">
        <f t="shared" si="0"/>
        <v>WARLEY RIBEIRO / EUDES FERNANDES</v>
      </c>
    </row>
    <row r="63" spans="1:14" x14ac:dyDescent="0.3">
      <c r="A63" s="9">
        <v>705158</v>
      </c>
      <c r="B63" s="9" t="s">
        <v>1154</v>
      </c>
      <c r="C63" s="10" t="s">
        <v>15</v>
      </c>
      <c r="D63" s="11">
        <v>45720</v>
      </c>
      <c r="E63" s="9" t="s">
        <v>282</v>
      </c>
      <c r="F63" s="9">
        <v>32101</v>
      </c>
      <c r="G63" s="9" t="s">
        <v>23</v>
      </c>
      <c r="H63" s="9" t="s">
        <v>18</v>
      </c>
      <c r="J63" s="9" t="s">
        <v>1643</v>
      </c>
      <c r="K63" s="9" t="s">
        <v>25</v>
      </c>
      <c r="M63" s="9" t="s">
        <v>1780</v>
      </c>
      <c r="N63" s="9" t="str">
        <f t="shared" si="0"/>
        <v>JOSE ALBERISSON</v>
      </c>
    </row>
    <row r="64" spans="1:14" x14ac:dyDescent="0.3">
      <c r="A64" s="9">
        <v>701822</v>
      </c>
      <c r="B64" s="9" t="s">
        <v>150</v>
      </c>
      <c r="C64" s="10" t="s">
        <v>15</v>
      </c>
      <c r="D64" s="11">
        <v>44088</v>
      </c>
      <c r="E64" s="9" t="s">
        <v>127</v>
      </c>
      <c r="F64" s="9">
        <v>22102</v>
      </c>
      <c r="G64" s="9" t="s">
        <v>68</v>
      </c>
      <c r="H64" s="9" t="s">
        <v>18</v>
      </c>
      <c r="J64" s="9" t="s">
        <v>94</v>
      </c>
      <c r="K64" s="9" t="s">
        <v>1371</v>
      </c>
      <c r="L64" s="9" t="s">
        <v>1378</v>
      </c>
      <c r="M64" s="9" t="s">
        <v>95</v>
      </c>
      <c r="N64" s="9" t="str">
        <f t="shared" si="0"/>
        <v>LUAN ABADIA</v>
      </c>
    </row>
    <row r="65" spans="1:14" x14ac:dyDescent="0.3">
      <c r="A65" s="9">
        <v>704115</v>
      </c>
      <c r="B65" s="9" t="s">
        <v>155</v>
      </c>
      <c r="C65" s="10" t="s">
        <v>15</v>
      </c>
      <c r="D65" s="11">
        <v>45224</v>
      </c>
      <c r="E65" s="9" t="s">
        <v>156</v>
      </c>
      <c r="F65" s="9">
        <v>38101</v>
      </c>
      <c r="G65" s="9" t="s">
        <v>35</v>
      </c>
      <c r="H65" s="9" t="s">
        <v>18</v>
      </c>
      <c r="J65" s="9" t="s">
        <v>36</v>
      </c>
      <c r="K65" s="9" t="s">
        <v>1372</v>
      </c>
      <c r="L65" s="9" t="s">
        <v>1373</v>
      </c>
      <c r="M65" s="9" t="s">
        <v>1373</v>
      </c>
      <c r="N65" s="9" t="str">
        <f t="shared" si="0"/>
        <v>DENIS ACASSIO</v>
      </c>
    </row>
    <row r="66" spans="1:14" x14ac:dyDescent="0.3">
      <c r="A66" s="9">
        <v>705828</v>
      </c>
      <c r="B66" s="9" t="s">
        <v>1536</v>
      </c>
      <c r="C66" s="10" t="s">
        <v>15</v>
      </c>
      <c r="D66" s="11">
        <v>46063</v>
      </c>
      <c r="E66" s="9" t="s">
        <v>31</v>
      </c>
      <c r="F66" s="9">
        <v>51219</v>
      </c>
      <c r="G66" s="9" t="s">
        <v>61</v>
      </c>
      <c r="H66" s="9" t="s">
        <v>18</v>
      </c>
      <c r="J66" s="9" t="s">
        <v>19</v>
      </c>
      <c r="K66" s="9" t="s">
        <v>1368</v>
      </c>
      <c r="L66" s="9" t="s">
        <v>20</v>
      </c>
      <c r="M66" s="9" t="s">
        <v>1632</v>
      </c>
      <c r="N66" s="9" t="str">
        <f t="shared" si="0"/>
        <v>THIAGO MARCOS</v>
      </c>
    </row>
    <row r="67" spans="1:14" x14ac:dyDescent="0.3">
      <c r="A67" s="9">
        <v>700068</v>
      </c>
      <c r="B67" s="9" t="s">
        <v>157</v>
      </c>
      <c r="C67" s="10" t="s">
        <v>15</v>
      </c>
      <c r="D67" s="11">
        <v>40637</v>
      </c>
      <c r="E67" s="9" t="s">
        <v>158</v>
      </c>
      <c r="F67" s="9">
        <v>15101</v>
      </c>
      <c r="G67" s="9" t="s">
        <v>447</v>
      </c>
      <c r="H67" s="9" t="s">
        <v>18</v>
      </c>
      <c r="J67" s="9" t="s">
        <v>448</v>
      </c>
      <c r="K67" s="9" t="s">
        <v>449</v>
      </c>
      <c r="N67" s="9" t="str">
        <f t="shared" ref="N67:N130" si="1">IF(M67&lt;&gt;"", M67, IF(L67&lt;&gt;"", L67, K67))</f>
        <v xml:space="preserve">RAFAEL VIRGENS </v>
      </c>
    </row>
    <row r="68" spans="1:14" x14ac:dyDescent="0.3">
      <c r="A68" s="9">
        <v>705904</v>
      </c>
      <c r="B68" s="9" t="s">
        <v>1603</v>
      </c>
      <c r="C68" s="10" t="s">
        <v>15</v>
      </c>
      <c r="D68" s="11">
        <v>46091</v>
      </c>
      <c r="E68" s="9" t="s">
        <v>31</v>
      </c>
      <c r="F68" s="9">
        <v>25201</v>
      </c>
      <c r="G68" s="9" t="s">
        <v>89</v>
      </c>
      <c r="H68" s="9" t="s">
        <v>18</v>
      </c>
      <c r="J68" s="9" t="s">
        <v>19</v>
      </c>
      <c r="K68" s="9" t="s">
        <v>1368</v>
      </c>
      <c r="L68" s="9" t="s">
        <v>20</v>
      </c>
      <c r="M68" s="9" t="s">
        <v>1632</v>
      </c>
      <c r="N68" s="9" t="str">
        <f t="shared" si="1"/>
        <v>THIAGO MARCOS</v>
      </c>
    </row>
    <row r="69" spans="1:14" x14ac:dyDescent="0.3">
      <c r="A69" s="9">
        <v>101079</v>
      </c>
      <c r="B69" s="9" t="s">
        <v>159</v>
      </c>
      <c r="C69" s="10" t="s">
        <v>15</v>
      </c>
      <c r="D69" s="11">
        <v>42667</v>
      </c>
      <c r="E69" s="9" t="s">
        <v>160</v>
      </c>
      <c r="F69" s="9">
        <v>32101</v>
      </c>
      <c r="G69" s="9" t="s">
        <v>23</v>
      </c>
      <c r="H69" s="9" t="s">
        <v>18</v>
      </c>
      <c r="J69" s="9" t="s">
        <v>24</v>
      </c>
      <c r="K69" s="9" t="s">
        <v>25</v>
      </c>
      <c r="L69" s="9" t="s">
        <v>1369</v>
      </c>
      <c r="M69" s="9" t="s">
        <v>1370</v>
      </c>
      <c r="N69" s="9" t="str">
        <f t="shared" si="1"/>
        <v>JUNIO COSTA</v>
      </c>
    </row>
    <row r="70" spans="1:14" x14ac:dyDescent="0.3">
      <c r="A70" s="9">
        <v>705100</v>
      </c>
      <c r="B70" s="9" t="s">
        <v>740</v>
      </c>
      <c r="C70" s="10" t="s">
        <v>15</v>
      </c>
      <c r="D70" s="11">
        <v>45670</v>
      </c>
      <c r="E70" s="9" t="s">
        <v>22</v>
      </c>
      <c r="F70" s="9">
        <v>34101</v>
      </c>
      <c r="G70" s="9" t="s">
        <v>43</v>
      </c>
      <c r="H70" s="9" t="s">
        <v>18</v>
      </c>
      <c r="J70" s="9" t="s">
        <v>237</v>
      </c>
      <c r="K70" s="9" t="s">
        <v>25</v>
      </c>
      <c r="L70" s="9" t="s">
        <v>1384</v>
      </c>
      <c r="N70" s="9" t="str">
        <f t="shared" si="1"/>
        <v xml:space="preserve">MARCOS VINICIUS </v>
      </c>
    </row>
    <row r="71" spans="1:14" x14ac:dyDescent="0.3">
      <c r="A71" s="9">
        <v>702683</v>
      </c>
      <c r="B71" s="9" t="s">
        <v>161</v>
      </c>
      <c r="C71" s="10" t="s">
        <v>15</v>
      </c>
      <c r="D71" s="11">
        <v>44517</v>
      </c>
      <c r="E71" s="9" t="s">
        <v>162</v>
      </c>
      <c r="F71" s="9">
        <v>32101</v>
      </c>
      <c r="G71" s="9" t="s">
        <v>23</v>
      </c>
      <c r="H71" s="9" t="s">
        <v>18</v>
      </c>
      <c r="J71" s="9" t="s">
        <v>24</v>
      </c>
      <c r="K71" s="9" t="s">
        <v>25</v>
      </c>
      <c r="L71" s="9" t="s">
        <v>1369</v>
      </c>
      <c r="M71" s="9" t="s">
        <v>1370</v>
      </c>
      <c r="N71" s="9" t="str">
        <f t="shared" si="1"/>
        <v>JUNIO COSTA</v>
      </c>
    </row>
    <row r="72" spans="1:14" x14ac:dyDescent="0.3">
      <c r="A72" s="9">
        <v>705754</v>
      </c>
      <c r="B72" s="9" t="s">
        <v>1477</v>
      </c>
      <c r="C72" s="10" t="s">
        <v>15</v>
      </c>
      <c r="D72" s="11">
        <v>45993</v>
      </c>
      <c r="E72" s="9" t="s">
        <v>31</v>
      </c>
      <c r="F72" s="9">
        <v>51219</v>
      </c>
      <c r="G72" s="9" t="s">
        <v>61</v>
      </c>
      <c r="H72" s="9" t="s">
        <v>18</v>
      </c>
      <c r="J72" s="9" t="s">
        <v>19</v>
      </c>
      <c r="K72" s="9" t="s">
        <v>1368</v>
      </c>
      <c r="L72" s="9" t="s">
        <v>20</v>
      </c>
      <c r="M72" s="9" t="s">
        <v>1632</v>
      </c>
      <c r="N72" s="9" t="str">
        <f t="shared" si="1"/>
        <v>THIAGO MARCOS</v>
      </c>
    </row>
    <row r="73" spans="1:14" x14ac:dyDescent="0.3">
      <c r="A73" s="9">
        <v>703848</v>
      </c>
      <c r="B73" s="9" t="s">
        <v>163</v>
      </c>
      <c r="C73" s="10" t="s">
        <v>15</v>
      </c>
      <c r="D73" s="11">
        <v>45054</v>
      </c>
      <c r="E73" s="9" t="s">
        <v>164</v>
      </c>
      <c r="F73" s="9">
        <v>39301</v>
      </c>
      <c r="G73" s="9" t="s">
        <v>73</v>
      </c>
      <c r="H73" s="9" t="s">
        <v>18</v>
      </c>
      <c r="J73" s="9" t="s">
        <v>74</v>
      </c>
      <c r="K73" s="9" t="s">
        <v>1371</v>
      </c>
      <c r="L73" s="9" t="s">
        <v>1376</v>
      </c>
      <c r="M73" s="9" t="s">
        <v>75</v>
      </c>
      <c r="N73" s="9" t="str">
        <f t="shared" si="1"/>
        <v>ISAC NONATO</v>
      </c>
    </row>
    <row r="74" spans="1:14" x14ac:dyDescent="0.3">
      <c r="A74" s="9">
        <v>702913</v>
      </c>
      <c r="B74" s="9" t="s">
        <v>165</v>
      </c>
      <c r="C74" s="10" t="s">
        <v>15</v>
      </c>
      <c r="D74" s="11">
        <v>44656</v>
      </c>
      <c r="E74" s="9" t="s">
        <v>166</v>
      </c>
      <c r="F74" s="9">
        <v>22102</v>
      </c>
      <c r="G74" s="9" t="s">
        <v>68</v>
      </c>
      <c r="H74" s="9" t="s">
        <v>18</v>
      </c>
      <c r="J74" s="9" t="s">
        <v>167</v>
      </c>
      <c r="K74" s="9" t="s">
        <v>1371</v>
      </c>
      <c r="L74" s="9" t="s">
        <v>1509</v>
      </c>
      <c r="M74" s="9" t="s">
        <v>1636</v>
      </c>
      <c r="N74" s="9" t="str">
        <f t="shared" si="1"/>
        <v>FABIANO DIAS</v>
      </c>
    </row>
    <row r="75" spans="1:14" x14ac:dyDescent="0.3">
      <c r="A75" s="9">
        <v>705919</v>
      </c>
      <c r="B75" s="9" t="s">
        <v>1604</v>
      </c>
      <c r="C75" s="10" t="s">
        <v>15</v>
      </c>
      <c r="D75" s="11">
        <v>46091</v>
      </c>
      <c r="E75" s="9" t="s">
        <v>31</v>
      </c>
      <c r="F75" s="9">
        <v>52104</v>
      </c>
      <c r="G75" s="9" t="s">
        <v>17</v>
      </c>
      <c r="H75" s="9" t="s">
        <v>18</v>
      </c>
      <c r="J75" s="9" t="s">
        <v>19</v>
      </c>
      <c r="K75" s="9" t="s">
        <v>1368</v>
      </c>
      <c r="L75" s="9" t="s">
        <v>20</v>
      </c>
      <c r="M75" s="9" t="s">
        <v>1632</v>
      </c>
      <c r="N75" s="9" t="str">
        <f t="shared" si="1"/>
        <v>THIAGO MARCOS</v>
      </c>
    </row>
    <row r="76" spans="1:14" x14ac:dyDescent="0.3">
      <c r="A76" s="9">
        <v>705088</v>
      </c>
      <c r="B76" s="9" t="s">
        <v>168</v>
      </c>
      <c r="C76" s="10" t="s">
        <v>15</v>
      </c>
      <c r="D76" s="11">
        <v>45670</v>
      </c>
      <c r="E76" s="9" t="s">
        <v>31</v>
      </c>
      <c r="F76" s="9">
        <v>52104</v>
      </c>
      <c r="G76" s="9" t="s">
        <v>17</v>
      </c>
      <c r="H76" s="9" t="s">
        <v>18</v>
      </c>
      <c r="J76" s="9" t="s">
        <v>19</v>
      </c>
      <c r="K76" s="9" t="s">
        <v>1368</v>
      </c>
      <c r="L76" s="9" t="s">
        <v>20</v>
      </c>
      <c r="M76" s="9" t="s">
        <v>1632</v>
      </c>
      <c r="N76" s="9" t="str">
        <f t="shared" si="1"/>
        <v>THIAGO MARCOS</v>
      </c>
    </row>
    <row r="77" spans="1:14" x14ac:dyDescent="0.3">
      <c r="A77" s="9">
        <v>702920</v>
      </c>
      <c r="B77" s="9" t="s">
        <v>169</v>
      </c>
      <c r="C77" s="10" t="s">
        <v>15</v>
      </c>
      <c r="D77" s="11">
        <v>44656</v>
      </c>
      <c r="E77" s="9" t="s">
        <v>121</v>
      </c>
      <c r="F77" s="9">
        <v>22102</v>
      </c>
      <c r="G77" s="9" t="s">
        <v>68</v>
      </c>
      <c r="H77" s="9" t="s">
        <v>18</v>
      </c>
      <c r="J77" s="9" t="s">
        <v>94</v>
      </c>
      <c r="K77" s="9" t="s">
        <v>1371</v>
      </c>
      <c r="L77" s="9" t="s">
        <v>1378</v>
      </c>
      <c r="M77" s="9" t="s">
        <v>95</v>
      </c>
      <c r="N77" s="9" t="str">
        <f t="shared" si="1"/>
        <v>LUAN ABADIA</v>
      </c>
    </row>
    <row r="78" spans="1:14" x14ac:dyDescent="0.3">
      <c r="A78" s="9">
        <v>705947</v>
      </c>
      <c r="B78" s="9" t="s">
        <v>1645</v>
      </c>
      <c r="C78" s="10" t="s">
        <v>15</v>
      </c>
      <c r="D78" s="11">
        <v>46119</v>
      </c>
      <c r="E78" s="9" t="s">
        <v>77</v>
      </c>
      <c r="F78" s="9">
        <v>38107</v>
      </c>
      <c r="G78" s="9" t="s">
        <v>1503</v>
      </c>
      <c r="H78" s="9" t="s">
        <v>18</v>
      </c>
      <c r="J78" s="9" t="s">
        <v>78</v>
      </c>
      <c r="K78" s="9" t="s">
        <v>1372</v>
      </c>
      <c r="N78" s="9" t="str">
        <f t="shared" si="1"/>
        <v xml:space="preserve">LEIDJANE MARTINS </v>
      </c>
    </row>
    <row r="79" spans="1:14" x14ac:dyDescent="0.3">
      <c r="A79" s="9">
        <v>705125</v>
      </c>
      <c r="B79" s="9" t="s">
        <v>1140</v>
      </c>
      <c r="C79" s="10" t="s">
        <v>15</v>
      </c>
      <c r="D79" s="11">
        <v>45698</v>
      </c>
      <c r="E79" s="9" t="s">
        <v>268</v>
      </c>
      <c r="F79" s="9">
        <v>33101</v>
      </c>
      <c r="G79" s="9" t="s">
        <v>186</v>
      </c>
      <c r="H79" s="9" t="s">
        <v>18</v>
      </c>
      <c r="J79" s="9" t="s">
        <v>44</v>
      </c>
      <c r="K79" s="9" t="s">
        <v>25</v>
      </c>
      <c r="L79" s="9" t="s">
        <v>1385</v>
      </c>
      <c r="N79" s="9" t="str">
        <f t="shared" si="1"/>
        <v>TALLES RYAN</v>
      </c>
    </row>
    <row r="80" spans="1:14" x14ac:dyDescent="0.3">
      <c r="A80" s="9">
        <v>701112</v>
      </c>
      <c r="B80" s="9" t="s">
        <v>170</v>
      </c>
      <c r="C80" s="10" t="s">
        <v>15</v>
      </c>
      <c r="D80" s="11">
        <v>43641</v>
      </c>
      <c r="E80" s="9" t="s">
        <v>80</v>
      </c>
      <c r="F80" s="9">
        <v>22102</v>
      </c>
      <c r="G80" s="9" t="s">
        <v>68</v>
      </c>
      <c r="H80" s="9" t="s">
        <v>18</v>
      </c>
      <c r="J80" s="9" t="s">
        <v>167</v>
      </c>
      <c r="K80" s="9" t="s">
        <v>1371</v>
      </c>
      <c r="L80" s="9" t="s">
        <v>1509</v>
      </c>
      <c r="M80" s="9" t="s">
        <v>1636</v>
      </c>
      <c r="N80" s="9" t="str">
        <f t="shared" si="1"/>
        <v>FABIANO DIAS</v>
      </c>
    </row>
    <row r="81" spans="1:14" x14ac:dyDescent="0.3">
      <c r="A81" s="9">
        <v>703544</v>
      </c>
      <c r="B81" s="9" t="s">
        <v>171</v>
      </c>
      <c r="C81" s="10" t="s">
        <v>15</v>
      </c>
      <c r="D81" s="11">
        <v>44935</v>
      </c>
      <c r="E81" s="9" t="s">
        <v>1312</v>
      </c>
      <c r="F81" s="9">
        <v>22101</v>
      </c>
      <c r="G81" s="9" t="s">
        <v>122</v>
      </c>
      <c r="H81" s="9" t="s">
        <v>18</v>
      </c>
      <c r="J81" s="9" t="s">
        <v>123</v>
      </c>
      <c r="K81" s="9" t="s">
        <v>124</v>
      </c>
      <c r="N81" s="9" t="str">
        <f t="shared" si="1"/>
        <v>MATHEUS FERNANDES</v>
      </c>
    </row>
    <row r="82" spans="1:14" x14ac:dyDescent="0.3">
      <c r="A82" s="9">
        <v>704415</v>
      </c>
      <c r="B82" s="9" t="s">
        <v>172</v>
      </c>
      <c r="C82" s="10" t="s">
        <v>15</v>
      </c>
      <c r="D82" s="11">
        <v>45391</v>
      </c>
      <c r="E82" s="9" t="s">
        <v>173</v>
      </c>
      <c r="F82" s="9">
        <v>32101</v>
      </c>
      <c r="G82" s="9" t="s">
        <v>23</v>
      </c>
      <c r="H82" s="9" t="s">
        <v>18</v>
      </c>
      <c r="J82" s="9" t="s">
        <v>24</v>
      </c>
      <c r="K82" s="9" t="s">
        <v>25</v>
      </c>
      <c r="L82" s="9" t="s">
        <v>1369</v>
      </c>
      <c r="M82" s="9" t="s">
        <v>1370</v>
      </c>
      <c r="N82" s="9" t="str">
        <f t="shared" si="1"/>
        <v>JUNIO COSTA</v>
      </c>
    </row>
    <row r="83" spans="1:14" x14ac:dyDescent="0.3">
      <c r="A83" s="9">
        <v>704774</v>
      </c>
      <c r="B83" s="9" t="s">
        <v>174</v>
      </c>
      <c r="C83" s="10" t="s">
        <v>15</v>
      </c>
      <c r="D83" s="11">
        <v>45552</v>
      </c>
      <c r="E83" s="9" t="s">
        <v>1346</v>
      </c>
      <c r="F83" s="9">
        <v>39201</v>
      </c>
      <c r="G83" s="9" t="s">
        <v>153</v>
      </c>
      <c r="H83" s="9" t="s">
        <v>18</v>
      </c>
      <c r="J83" s="9" t="s">
        <v>154</v>
      </c>
      <c r="K83" s="9" t="s">
        <v>50</v>
      </c>
      <c r="L83" s="9" t="s">
        <v>1382</v>
      </c>
      <c r="M83" s="9" t="s">
        <v>1382</v>
      </c>
      <c r="N83" s="9" t="str">
        <f t="shared" si="1"/>
        <v>ADENILTON RODRIGUES</v>
      </c>
    </row>
    <row r="84" spans="1:14" x14ac:dyDescent="0.3">
      <c r="A84" s="9">
        <v>702543</v>
      </c>
      <c r="B84" s="9" t="s">
        <v>176</v>
      </c>
      <c r="C84" s="10" t="s">
        <v>233</v>
      </c>
      <c r="D84" s="11">
        <v>44452</v>
      </c>
      <c r="E84" s="9" t="s">
        <v>1646</v>
      </c>
      <c r="F84" s="9">
        <v>31104</v>
      </c>
      <c r="G84" s="9" t="s">
        <v>130</v>
      </c>
      <c r="H84" s="9" t="s">
        <v>18</v>
      </c>
      <c r="J84" s="9" t="s">
        <v>131</v>
      </c>
      <c r="K84" s="9" t="s">
        <v>1381</v>
      </c>
      <c r="N84" s="9" t="str">
        <f t="shared" si="1"/>
        <v>MARCOS OLIVEIRA</v>
      </c>
    </row>
    <row r="85" spans="1:14" x14ac:dyDescent="0.3">
      <c r="A85" s="9">
        <v>705513</v>
      </c>
      <c r="B85" s="9" t="s">
        <v>1289</v>
      </c>
      <c r="C85" s="10" t="s">
        <v>15</v>
      </c>
      <c r="D85" s="11">
        <v>45847</v>
      </c>
      <c r="E85" s="9" t="s">
        <v>91</v>
      </c>
      <c r="F85" s="9">
        <v>34201</v>
      </c>
      <c r="G85" s="9" t="s">
        <v>84</v>
      </c>
      <c r="H85" s="9" t="s">
        <v>18</v>
      </c>
      <c r="J85" s="9" t="s">
        <v>85</v>
      </c>
      <c r="K85" s="9" t="s">
        <v>1371</v>
      </c>
      <c r="L85" s="9" t="s">
        <v>1380</v>
      </c>
      <c r="M85" s="9" t="s">
        <v>1380</v>
      </c>
      <c r="N85" s="9" t="str">
        <f t="shared" si="1"/>
        <v xml:space="preserve">LEONARDO SANTOS </v>
      </c>
    </row>
    <row r="86" spans="1:14" x14ac:dyDescent="0.3">
      <c r="A86" s="9">
        <v>705695</v>
      </c>
      <c r="B86" s="9" t="s">
        <v>1444</v>
      </c>
      <c r="C86" s="10" t="s">
        <v>15</v>
      </c>
      <c r="D86" s="11">
        <v>45971</v>
      </c>
      <c r="E86" s="9" t="s">
        <v>1345</v>
      </c>
      <c r="F86" s="9">
        <v>32101</v>
      </c>
      <c r="G86" s="9" t="s">
        <v>23</v>
      </c>
      <c r="H86" s="9" t="s">
        <v>18</v>
      </c>
      <c r="J86" s="9" t="s">
        <v>24</v>
      </c>
      <c r="K86" s="9" t="s">
        <v>25</v>
      </c>
      <c r="L86" s="9" t="s">
        <v>1369</v>
      </c>
      <c r="M86" s="9" t="s">
        <v>1370</v>
      </c>
      <c r="N86" s="9" t="str">
        <f t="shared" si="1"/>
        <v>JUNIO COSTA</v>
      </c>
    </row>
    <row r="87" spans="1:14" x14ac:dyDescent="0.3">
      <c r="A87" s="9">
        <v>705044</v>
      </c>
      <c r="B87" s="9" t="s">
        <v>177</v>
      </c>
      <c r="C87" s="10" t="s">
        <v>15</v>
      </c>
      <c r="D87" s="11">
        <v>45636</v>
      </c>
      <c r="E87" s="9" t="s">
        <v>1347</v>
      </c>
      <c r="F87" s="9">
        <v>32101</v>
      </c>
      <c r="G87" s="9" t="s">
        <v>23</v>
      </c>
      <c r="H87" s="9" t="s">
        <v>18</v>
      </c>
      <c r="J87" s="9" t="s">
        <v>24</v>
      </c>
      <c r="K87" s="9" t="s">
        <v>25</v>
      </c>
      <c r="L87" s="9" t="s">
        <v>1369</v>
      </c>
      <c r="M87" s="9" t="s">
        <v>1370</v>
      </c>
      <c r="N87" s="9" t="str">
        <f t="shared" si="1"/>
        <v>JUNIO COSTA</v>
      </c>
    </row>
    <row r="88" spans="1:14" x14ac:dyDescent="0.3">
      <c r="A88" s="9">
        <v>705978</v>
      </c>
      <c r="B88" s="9" t="s">
        <v>1647</v>
      </c>
      <c r="C88" s="10" t="s">
        <v>15</v>
      </c>
      <c r="D88" s="11">
        <v>46119</v>
      </c>
      <c r="E88" s="9" t="s">
        <v>77</v>
      </c>
      <c r="F88" s="9">
        <v>38107</v>
      </c>
      <c r="G88" s="9" t="s">
        <v>1503</v>
      </c>
      <c r="H88" s="9" t="s">
        <v>18</v>
      </c>
      <c r="J88" s="9" t="s">
        <v>78</v>
      </c>
      <c r="K88" s="9" t="s">
        <v>1372</v>
      </c>
      <c r="N88" s="9" t="str">
        <f t="shared" si="1"/>
        <v xml:space="preserve">LEIDJANE MARTINS </v>
      </c>
    </row>
    <row r="89" spans="1:14" x14ac:dyDescent="0.3">
      <c r="A89" s="9">
        <v>703054</v>
      </c>
      <c r="B89" s="9" t="s">
        <v>178</v>
      </c>
      <c r="C89" s="10" t="s">
        <v>15</v>
      </c>
      <c r="D89" s="11">
        <v>44699</v>
      </c>
      <c r="E89" s="9" t="s">
        <v>179</v>
      </c>
      <c r="F89" s="9">
        <v>32101</v>
      </c>
      <c r="G89" s="9" t="s">
        <v>23</v>
      </c>
      <c r="H89" s="9" t="s">
        <v>18</v>
      </c>
      <c r="J89" s="9" t="s">
        <v>24</v>
      </c>
      <c r="K89" s="9" t="s">
        <v>25</v>
      </c>
      <c r="L89" s="9" t="s">
        <v>1369</v>
      </c>
      <c r="M89" s="9" t="s">
        <v>1370</v>
      </c>
      <c r="N89" s="9" t="str">
        <f t="shared" si="1"/>
        <v>JUNIO COSTA</v>
      </c>
    </row>
    <row r="90" spans="1:14" x14ac:dyDescent="0.3">
      <c r="A90" s="9">
        <v>702900</v>
      </c>
      <c r="B90" s="9" t="s">
        <v>180</v>
      </c>
      <c r="C90" s="10" t="s">
        <v>15</v>
      </c>
      <c r="D90" s="11">
        <v>44642</v>
      </c>
      <c r="E90" s="9" t="s">
        <v>83</v>
      </c>
      <c r="F90" s="9">
        <v>34201</v>
      </c>
      <c r="G90" s="9" t="s">
        <v>84</v>
      </c>
      <c r="H90" s="9" t="s">
        <v>18</v>
      </c>
      <c r="J90" s="9" t="s">
        <v>85</v>
      </c>
      <c r="K90" s="9" t="s">
        <v>1371</v>
      </c>
      <c r="L90" s="9" t="s">
        <v>1380</v>
      </c>
      <c r="M90" s="9" t="s">
        <v>1380</v>
      </c>
      <c r="N90" s="9" t="str">
        <f t="shared" si="1"/>
        <v xml:space="preserve">LEONARDO SANTOS </v>
      </c>
    </row>
    <row r="91" spans="1:14" x14ac:dyDescent="0.3">
      <c r="A91" s="9">
        <v>703926</v>
      </c>
      <c r="B91" s="9" t="s">
        <v>181</v>
      </c>
      <c r="C91" s="10" t="s">
        <v>15</v>
      </c>
      <c r="D91" s="11">
        <v>45083</v>
      </c>
      <c r="E91" s="9" t="s">
        <v>16</v>
      </c>
      <c r="F91" s="9">
        <v>22102</v>
      </c>
      <c r="G91" s="9" t="s">
        <v>68</v>
      </c>
      <c r="H91" s="9" t="s">
        <v>18</v>
      </c>
      <c r="J91" s="9" t="s">
        <v>94</v>
      </c>
      <c r="K91" s="9" t="s">
        <v>1371</v>
      </c>
      <c r="L91" s="9" t="s">
        <v>1378</v>
      </c>
      <c r="M91" s="9" t="s">
        <v>95</v>
      </c>
      <c r="N91" s="9" t="str">
        <f t="shared" si="1"/>
        <v>LUAN ABADIA</v>
      </c>
    </row>
    <row r="92" spans="1:14" x14ac:dyDescent="0.3">
      <c r="A92" s="9">
        <v>705484</v>
      </c>
      <c r="B92" s="9" t="s">
        <v>1304</v>
      </c>
      <c r="C92" s="10" t="s">
        <v>15</v>
      </c>
      <c r="D92" s="11">
        <v>45839</v>
      </c>
      <c r="E92" s="9" t="s">
        <v>31</v>
      </c>
      <c r="F92" s="9">
        <v>22102</v>
      </c>
      <c r="G92" s="9" t="s">
        <v>68</v>
      </c>
      <c r="H92" s="9" t="s">
        <v>18</v>
      </c>
      <c r="J92" s="9" t="s">
        <v>81</v>
      </c>
      <c r="K92" s="9" t="s">
        <v>1371</v>
      </c>
      <c r="L92" s="9" t="s">
        <v>1509</v>
      </c>
      <c r="M92" s="9" t="s">
        <v>1379</v>
      </c>
      <c r="N92" s="9" t="str">
        <f t="shared" si="1"/>
        <v xml:space="preserve">EDSON/MARCELO LIMA </v>
      </c>
    </row>
    <row r="93" spans="1:14" x14ac:dyDescent="0.3">
      <c r="A93" s="9">
        <v>705121</v>
      </c>
      <c r="B93" s="9" t="s">
        <v>747</v>
      </c>
      <c r="C93" s="10" t="s">
        <v>15</v>
      </c>
      <c r="D93" s="11">
        <v>45678</v>
      </c>
      <c r="E93" s="9" t="s">
        <v>1086</v>
      </c>
      <c r="F93" s="9">
        <v>31104</v>
      </c>
      <c r="G93" s="9" t="s">
        <v>130</v>
      </c>
      <c r="H93" s="9" t="s">
        <v>18</v>
      </c>
      <c r="J93" s="9" t="s">
        <v>131</v>
      </c>
      <c r="K93" s="9" t="s">
        <v>1381</v>
      </c>
      <c r="N93" s="9" t="str">
        <f t="shared" si="1"/>
        <v>MARCOS OLIVEIRA</v>
      </c>
    </row>
    <row r="94" spans="1:14" x14ac:dyDescent="0.3">
      <c r="A94" s="9">
        <v>704701</v>
      </c>
      <c r="B94" s="9" t="s">
        <v>182</v>
      </c>
      <c r="C94" s="10" t="s">
        <v>15</v>
      </c>
      <c r="D94" s="11">
        <v>45509</v>
      </c>
      <c r="E94" s="9" t="s">
        <v>22</v>
      </c>
      <c r="F94" s="9">
        <v>34101</v>
      </c>
      <c r="G94" s="9" t="s">
        <v>43</v>
      </c>
      <c r="H94" s="9" t="s">
        <v>18</v>
      </c>
      <c r="J94" s="9" t="s">
        <v>65</v>
      </c>
      <c r="K94" s="9" t="s">
        <v>25</v>
      </c>
      <c r="L94" s="9" t="s">
        <v>1375</v>
      </c>
      <c r="N94" s="9" t="str">
        <f t="shared" si="1"/>
        <v>ANDRÉ CUBA</v>
      </c>
    </row>
    <row r="95" spans="1:14" x14ac:dyDescent="0.3">
      <c r="A95" s="9">
        <v>701723</v>
      </c>
      <c r="B95" s="9" t="s">
        <v>183</v>
      </c>
      <c r="C95" s="10" t="s">
        <v>15</v>
      </c>
      <c r="D95" s="11">
        <v>44025</v>
      </c>
      <c r="E95" s="9" t="s">
        <v>127</v>
      </c>
      <c r="F95" s="9">
        <v>22102</v>
      </c>
      <c r="G95" s="9" t="s">
        <v>68</v>
      </c>
      <c r="H95" s="9" t="s">
        <v>18</v>
      </c>
      <c r="J95" s="9" t="s">
        <v>94</v>
      </c>
      <c r="K95" s="9" t="s">
        <v>1371</v>
      </c>
      <c r="L95" s="9" t="s">
        <v>1378</v>
      </c>
      <c r="M95" s="9" t="s">
        <v>95</v>
      </c>
      <c r="N95" s="9" t="str">
        <f t="shared" si="1"/>
        <v>LUAN ABADIA</v>
      </c>
    </row>
    <row r="96" spans="1:14" x14ac:dyDescent="0.3">
      <c r="A96" s="9">
        <v>704917</v>
      </c>
      <c r="B96" s="9" t="s">
        <v>750</v>
      </c>
      <c r="C96" s="10" t="s">
        <v>15</v>
      </c>
      <c r="D96" s="11">
        <v>45601</v>
      </c>
      <c r="E96" s="9" t="s">
        <v>93</v>
      </c>
      <c r="F96" s="9">
        <v>22102</v>
      </c>
      <c r="G96" s="9" t="s">
        <v>68</v>
      </c>
      <c r="H96" s="9" t="s">
        <v>18</v>
      </c>
      <c r="J96" s="9" t="s">
        <v>94</v>
      </c>
      <c r="K96" s="9" t="s">
        <v>1371</v>
      </c>
      <c r="L96" s="9" t="s">
        <v>1378</v>
      </c>
      <c r="M96" s="9" t="s">
        <v>95</v>
      </c>
      <c r="N96" s="9" t="str">
        <f t="shared" si="1"/>
        <v>LUAN ABADIA</v>
      </c>
    </row>
    <row r="97" spans="1:14" x14ac:dyDescent="0.3">
      <c r="A97" s="9">
        <v>705756</v>
      </c>
      <c r="B97" s="9" t="s">
        <v>1478</v>
      </c>
      <c r="C97" s="10" t="s">
        <v>15</v>
      </c>
      <c r="D97" s="11">
        <v>45993</v>
      </c>
      <c r="E97" s="9" t="s">
        <v>31</v>
      </c>
      <c r="F97" s="9">
        <v>51219</v>
      </c>
      <c r="G97" s="9" t="s">
        <v>61</v>
      </c>
      <c r="H97" s="9" t="s">
        <v>18</v>
      </c>
      <c r="J97" s="9" t="s">
        <v>19</v>
      </c>
      <c r="K97" s="9" t="s">
        <v>1368</v>
      </c>
      <c r="L97" s="9" t="s">
        <v>20</v>
      </c>
      <c r="M97" s="9" t="s">
        <v>1632</v>
      </c>
      <c r="N97" s="9" t="str">
        <f t="shared" si="1"/>
        <v>THIAGO MARCOS</v>
      </c>
    </row>
    <row r="98" spans="1:14" x14ac:dyDescent="0.3">
      <c r="A98" s="9">
        <v>700218</v>
      </c>
      <c r="B98" s="9" t="s">
        <v>184</v>
      </c>
      <c r="C98" s="10" t="s">
        <v>15</v>
      </c>
      <c r="D98" s="11">
        <v>43255</v>
      </c>
      <c r="E98" s="9" t="s">
        <v>185</v>
      </c>
      <c r="F98" s="9">
        <v>33101</v>
      </c>
      <c r="G98" s="9" t="s">
        <v>186</v>
      </c>
      <c r="H98" s="9" t="s">
        <v>18</v>
      </c>
      <c r="J98" s="9" t="s">
        <v>44</v>
      </c>
      <c r="K98" s="9" t="s">
        <v>25</v>
      </c>
      <c r="L98" s="9" t="s">
        <v>1385</v>
      </c>
      <c r="N98" s="9" t="str">
        <f t="shared" si="1"/>
        <v>TALLES RYAN</v>
      </c>
    </row>
    <row r="99" spans="1:14" x14ac:dyDescent="0.3">
      <c r="A99" s="9">
        <v>705330</v>
      </c>
      <c r="B99" s="9" t="s">
        <v>1242</v>
      </c>
      <c r="C99" s="10" t="s">
        <v>15</v>
      </c>
      <c r="D99" s="11">
        <v>45784</v>
      </c>
      <c r="E99" s="9" t="s">
        <v>93</v>
      </c>
      <c r="F99" s="9">
        <v>34201</v>
      </c>
      <c r="G99" s="9" t="s">
        <v>84</v>
      </c>
      <c r="H99" s="9" t="s">
        <v>18</v>
      </c>
      <c r="J99" s="9" t="s">
        <v>94</v>
      </c>
      <c r="K99" s="9" t="s">
        <v>1371</v>
      </c>
      <c r="L99" s="9" t="s">
        <v>1378</v>
      </c>
      <c r="M99" s="9" t="s">
        <v>95</v>
      </c>
      <c r="N99" s="9" t="str">
        <f t="shared" si="1"/>
        <v>LUAN ABADIA</v>
      </c>
    </row>
    <row r="100" spans="1:14" x14ac:dyDescent="0.3">
      <c r="A100" s="9">
        <v>703535</v>
      </c>
      <c r="B100" s="9" t="s">
        <v>187</v>
      </c>
      <c r="C100" s="10" t="s">
        <v>15</v>
      </c>
      <c r="D100" s="11">
        <v>44907</v>
      </c>
      <c r="E100" s="9" t="s">
        <v>188</v>
      </c>
      <c r="F100" s="9">
        <v>22102</v>
      </c>
      <c r="G100" s="9" t="s">
        <v>68</v>
      </c>
      <c r="H100" s="9" t="s">
        <v>18</v>
      </c>
      <c r="J100" s="9" t="s">
        <v>94</v>
      </c>
      <c r="K100" s="9" t="s">
        <v>1371</v>
      </c>
      <c r="L100" s="9" t="s">
        <v>1378</v>
      </c>
      <c r="M100" s="9" t="s">
        <v>95</v>
      </c>
      <c r="N100" s="9" t="str">
        <f t="shared" si="1"/>
        <v>LUAN ABADIA</v>
      </c>
    </row>
    <row r="101" spans="1:14" x14ac:dyDescent="0.3">
      <c r="A101" s="9">
        <v>703492</v>
      </c>
      <c r="B101" s="9" t="s">
        <v>189</v>
      </c>
      <c r="C101" s="10" t="s">
        <v>15</v>
      </c>
      <c r="D101" s="11">
        <v>44887</v>
      </c>
      <c r="E101" s="9" t="s">
        <v>138</v>
      </c>
      <c r="F101" s="9">
        <v>22102</v>
      </c>
      <c r="G101" s="9" t="s">
        <v>68</v>
      </c>
      <c r="H101" s="9" t="s">
        <v>18</v>
      </c>
      <c r="J101" s="9" t="s">
        <v>69</v>
      </c>
      <c r="K101" s="9" t="s">
        <v>1371</v>
      </c>
      <c r="L101" s="9" t="s">
        <v>1378</v>
      </c>
      <c r="N101" s="9" t="str">
        <f t="shared" si="1"/>
        <v xml:space="preserve">JOÃO KOMURA </v>
      </c>
    </row>
    <row r="102" spans="1:14" x14ac:dyDescent="0.3">
      <c r="A102" s="9">
        <v>701012</v>
      </c>
      <c r="B102" s="9" t="s">
        <v>190</v>
      </c>
      <c r="C102" s="10" t="s">
        <v>15</v>
      </c>
      <c r="D102" s="11">
        <v>43598</v>
      </c>
      <c r="E102" s="9" t="s">
        <v>83</v>
      </c>
      <c r="F102" s="9">
        <v>34201</v>
      </c>
      <c r="G102" s="9" t="s">
        <v>84</v>
      </c>
      <c r="H102" s="9" t="s">
        <v>18</v>
      </c>
      <c r="J102" s="9" t="s">
        <v>85</v>
      </c>
      <c r="K102" s="9" t="s">
        <v>1371</v>
      </c>
      <c r="L102" s="9" t="s">
        <v>1380</v>
      </c>
      <c r="M102" s="9" t="s">
        <v>1380</v>
      </c>
      <c r="N102" s="9" t="str">
        <f t="shared" si="1"/>
        <v xml:space="preserve">LEONARDO SANTOS </v>
      </c>
    </row>
    <row r="103" spans="1:14" x14ac:dyDescent="0.3">
      <c r="A103" s="9">
        <v>703294</v>
      </c>
      <c r="B103" s="9" t="s">
        <v>191</v>
      </c>
      <c r="C103" s="10" t="s">
        <v>15</v>
      </c>
      <c r="D103" s="11">
        <v>44810</v>
      </c>
      <c r="E103" s="9" t="s">
        <v>80</v>
      </c>
      <c r="F103" s="9">
        <v>22102</v>
      </c>
      <c r="G103" s="9" t="s">
        <v>68</v>
      </c>
      <c r="H103" s="9" t="s">
        <v>18</v>
      </c>
      <c r="J103" s="9" t="s">
        <v>81</v>
      </c>
      <c r="K103" s="9" t="s">
        <v>1371</v>
      </c>
      <c r="L103" s="9" t="s">
        <v>1509</v>
      </c>
      <c r="M103" s="9" t="s">
        <v>1379</v>
      </c>
      <c r="N103" s="9" t="str">
        <f t="shared" si="1"/>
        <v xml:space="preserve">EDSON/MARCELO LIMA </v>
      </c>
    </row>
    <row r="104" spans="1:14" x14ac:dyDescent="0.3">
      <c r="A104" s="9">
        <v>705042</v>
      </c>
      <c r="B104" s="9" t="s">
        <v>192</v>
      </c>
      <c r="C104" s="10" t="s">
        <v>15</v>
      </c>
      <c r="D104" s="11">
        <v>45635</v>
      </c>
      <c r="E104" s="9" t="s">
        <v>31</v>
      </c>
      <c r="F104" s="9">
        <v>52104</v>
      </c>
      <c r="G104" s="9" t="s">
        <v>17</v>
      </c>
      <c r="H104" s="9" t="s">
        <v>18</v>
      </c>
      <c r="J104" s="9" t="s">
        <v>19</v>
      </c>
      <c r="K104" s="9" t="s">
        <v>1368</v>
      </c>
      <c r="L104" s="9" t="s">
        <v>20</v>
      </c>
      <c r="M104" s="9" t="s">
        <v>1632</v>
      </c>
      <c r="N104" s="9" t="str">
        <f t="shared" si="1"/>
        <v>THIAGO MARCOS</v>
      </c>
    </row>
    <row r="105" spans="1:14" x14ac:dyDescent="0.3">
      <c r="A105" s="9">
        <v>702160</v>
      </c>
      <c r="B105" s="9" t="s">
        <v>193</v>
      </c>
      <c r="C105" s="10" t="s">
        <v>15</v>
      </c>
      <c r="D105" s="11">
        <v>44299</v>
      </c>
      <c r="E105" s="9" t="s">
        <v>83</v>
      </c>
      <c r="F105" s="9">
        <v>34201</v>
      </c>
      <c r="G105" s="9" t="s">
        <v>84</v>
      </c>
      <c r="H105" s="9" t="s">
        <v>18</v>
      </c>
      <c r="J105" s="9" t="s">
        <v>85</v>
      </c>
      <c r="K105" s="9" t="s">
        <v>1371</v>
      </c>
      <c r="L105" s="9" t="s">
        <v>1380</v>
      </c>
      <c r="M105" s="9" t="s">
        <v>1380</v>
      </c>
      <c r="N105" s="9" t="str">
        <f t="shared" si="1"/>
        <v xml:space="preserve">LEONARDO SANTOS </v>
      </c>
    </row>
    <row r="106" spans="1:14" x14ac:dyDescent="0.3">
      <c r="A106" s="9">
        <v>704200</v>
      </c>
      <c r="B106" s="9" t="s">
        <v>194</v>
      </c>
      <c r="C106" s="10" t="s">
        <v>15</v>
      </c>
      <c r="D106" s="11">
        <v>45300</v>
      </c>
      <c r="E106" s="9" t="s">
        <v>138</v>
      </c>
      <c r="F106" s="9">
        <v>22102</v>
      </c>
      <c r="G106" s="9" t="s">
        <v>68</v>
      </c>
      <c r="H106" s="9" t="s">
        <v>18</v>
      </c>
      <c r="J106" s="9" t="s">
        <v>81</v>
      </c>
      <c r="K106" s="9" t="s">
        <v>1371</v>
      </c>
      <c r="L106" s="9" t="s">
        <v>1509</v>
      </c>
      <c r="M106" s="9" t="s">
        <v>1379</v>
      </c>
      <c r="N106" s="9" t="str">
        <f t="shared" si="1"/>
        <v xml:space="preserve">EDSON/MARCELO LIMA </v>
      </c>
    </row>
    <row r="107" spans="1:14" x14ac:dyDescent="0.3">
      <c r="A107" s="9">
        <v>703636</v>
      </c>
      <c r="B107" s="9" t="s">
        <v>757</v>
      </c>
      <c r="C107" s="10" t="s">
        <v>15</v>
      </c>
      <c r="D107" s="11">
        <v>44998</v>
      </c>
      <c r="E107" s="9" t="s">
        <v>152</v>
      </c>
      <c r="F107" s="9">
        <v>39201</v>
      </c>
      <c r="G107" s="9" t="s">
        <v>153</v>
      </c>
      <c r="H107" s="9" t="s">
        <v>18</v>
      </c>
      <c r="J107" s="9" t="s">
        <v>154</v>
      </c>
      <c r="K107" s="9" t="s">
        <v>50</v>
      </c>
      <c r="L107" s="9" t="s">
        <v>1382</v>
      </c>
      <c r="M107" s="9" t="s">
        <v>1382</v>
      </c>
      <c r="N107" s="9" t="str">
        <f t="shared" si="1"/>
        <v>ADENILTON RODRIGUES</v>
      </c>
    </row>
    <row r="108" spans="1:14" x14ac:dyDescent="0.3">
      <c r="A108" s="9">
        <v>705463</v>
      </c>
      <c r="B108" s="9" t="s">
        <v>1274</v>
      </c>
      <c r="C108" s="10" t="s">
        <v>15</v>
      </c>
      <c r="D108" s="11">
        <v>45812</v>
      </c>
      <c r="E108" s="9" t="s">
        <v>31</v>
      </c>
      <c r="F108" s="9">
        <v>51219</v>
      </c>
      <c r="G108" s="9" t="s">
        <v>61</v>
      </c>
      <c r="H108" s="9" t="s">
        <v>18</v>
      </c>
      <c r="J108" s="9" t="s">
        <v>19</v>
      </c>
      <c r="K108" s="9" t="s">
        <v>1368</v>
      </c>
      <c r="L108" s="9" t="s">
        <v>20</v>
      </c>
      <c r="M108" s="9" t="s">
        <v>1632</v>
      </c>
      <c r="N108" s="9" t="str">
        <f t="shared" si="1"/>
        <v>THIAGO MARCOS</v>
      </c>
    </row>
    <row r="109" spans="1:14" x14ac:dyDescent="0.3">
      <c r="A109" s="9">
        <v>701946</v>
      </c>
      <c r="B109" s="9" t="s">
        <v>198</v>
      </c>
      <c r="C109" s="10" t="s">
        <v>15</v>
      </c>
      <c r="D109" s="11">
        <v>44151</v>
      </c>
      <c r="E109" s="9" t="s">
        <v>457</v>
      </c>
      <c r="F109" s="9">
        <v>22102</v>
      </c>
      <c r="G109" s="9" t="s">
        <v>68</v>
      </c>
      <c r="H109" s="9" t="s">
        <v>18</v>
      </c>
      <c r="J109" s="9" t="s">
        <v>1648</v>
      </c>
      <c r="K109" s="9" t="s">
        <v>1371</v>
      </c>
      <c r="L109" s="9" t="s">
        <v>1509</v>
      </c>
      <c r="N109" s="9" t="str">
        <f t="shared" si="1"/>
        <v>MAURICIO SANTOS</v>
      </c>
    </row>
    <row r="110" spans="1:14" x14ac:dyDescent="0.3">
      <c r="A110" s="9">
        <v>704794</v>
      </c>
      <c r="B110" s="9" t="s">
        <v>200</v>
      </c>
      <c r="C110" s="10" t="s">
        <v>15</v>
      </c>
      <c r="D110" s="11">
        <v>45566</v>
      </c>
      <c r="E110" s="9" t="s">
        <v>336</v>
      </c>
      <c r="F110" s="9">
        <v>52104</v>
      </c>
      <c r="G110" s="9" t="s">
        <v>17</v>
      </c>
      <c r="H110" s="9" t="s">
        <v>18</v>
      </c>
      <c r="J110" s="9" t="s">
        <v>19</v>
      </c>
      <c r="K110" s="9" t="s">
        <v>1368</v>
      </c>
      <c r="L110" s="9" t="s">
        <v>20</v>
      </c>
      <c r="M110" s="9" t="s">
        <v>1632</v>
      </c>
      <c r="N110" s="9" t="str">
        <f t="shared" si="1"/>
        <v>THIAGO MARCOS</v>
      </c>
    </row>
    <row r="111" spans="1:14" x14ac:dyDescent="0.3">
      <c r="A111" s="9">
        <v>703935</v>
      </c>
      <c r="B111" s="9" t="s">
        <v>201</v>
      </c>
      <c r="C111" s="10" t="s">
        <v>15</v>
      </c>
      <c r="D111" s="11">
        <v>45089</v>
      </c>
      <c r="E111" s="9" t="s">
        <v>31</v>
      </c>
      <c r="F111" s="9">
        <v>51219</v>
      </c>
      <c r="G111" s="9" t="s">
        <v>61</v>
      </c>
      <c r="H111" s="9" t="s">
        <v>18</v>
      </c>
      <c r="J111" s="9" t="s">
        <v>19</v>
      </c>
      <c r="K111" s="9" t="s">
        <v>1368</v>
      </c>
      <c r="L111" s="9" t="s">
        <v>20</v>
      </c>
      <c r="M111" s="9" t="s">
        <v>1632</v>
      </c>
      <c r="N111" s="9" t="str">
        <f t="shared" si="1"/>
        <v>THIAGO MARCOS</v>
      </c>
    </row>
    <row r="112" spans="1:14" x14ac:dyDescent="0.3">
      <c r="A112" s="9">
        <v>705888</v>
      </c>
      <c r="B112" s="9" t="s">
        <v>1537</v>
      </c>
      <c r="C112" s="10" t="s">
        <v>15</v>
      </c>
      <c r="D112" s="11">
        <v>46063</v>
      </c>
      <c r="E112" s="9" t="s">
        <v>31</v>
      </c>
      <c r="F112" s="9">
        <v>51219</v>
      </c>
      <c r="G112" s="9" t="s">
        <v>61</v>
      </c>
      <c r="H112" s="9" t="s">
        <v>18</v>
      </c>
      <c r="J112" s="9" t="s">
        <v>19</v>
      </c>
      <c r="K112" s="9" t="s">
        <v>1368</v>
      </c>
      <c r="L112" s="9" t="s">
        <v>20</v>
      </c>
      <c r="M112" s="9" t="s">
        <v>1632</v>
      </c>
      <c r="N112" s="9" t="str">
        <f t="shared" si="1"/>
        <v>THIAGO MARCOS</v>
      </c>
    </row>
    <row r="113" spans="1:14" x14ac:dyDescent="0.3">
      <c r="A113" s="9">
        <v>705745</v>
      </c>
      <c r="B113" s="9" t="s">
        <v>202</v>
      </c>
      <c r="C113" s="10" t="s">
        <v>15</v>
      </c>
      <c r="D113" s="11">
        <v>45993</v>
      </c>
      <c r="E113" s="9" t="s">
        <v>31</v>
      </c>
      <c r="F113" s="9">
        <v>22102</v>
      </c>
      <c r="G113" s="9" t="s">
        <v>68</v>
      </c>
      <c r="H113" s="9" t="s">
        <v>18</v>
      </c>
      <c r="J113" s="9" t="s">
        <v>81</v>
      </c>
      <c r="K113" s="9" t="s">
        <v>1371</v>
      </c>
      <c r="L113" s="9" t="s">
        <v>1509</v>
      </c>
      <c r="M113" s="9" t="s">
        <v>1379</v>
      </c>
      <c r="N113" s="9" t="str">
        <f t="shared" si="1"/>
        <v xml:space="preserve">EDSON/MARCELO LIMA </v>
      </c>
    </row>
    <row r="114" spans="1:14" x14ac:dyDescent="0.3">
      <c r="A114" s="9">
        <v>705910</v>
      </c>
      <c r="B114" s="9" t="s">
        <v>1605</v>
      </c>
      <c r="C114" s="10" t="s">
        <v>15</v>
      </c>
      <c r="D114" s="11">
        <v>46091</v>
      </c>
      <c r="E114" s="9" t="s">
        <v>31</v>
      </c>
      <c r="F114" s="9">
        <v>52104</v>
      </c>
      <c r="G114" s="9" t="s">
        <v>17</v>
      </c>
      <c r="H114" s="9" t="s">
        <v>18</v>
      </c>
      <c r="J114" s="9" t="s">
        <v>19</v>
      </c>
      <c r="K114" s="9" t="s">
        <v>1368</v>
      </c>
      <c r="L114" s="9" t="s">
        <v>20</v>
      </c>
      <c r="M114" s="9" t="s">
        <v>1632</v>
      </c>
      <c r="N114" s="9" t="str">
        <f t="shared" si="1"/>
        <v>THIAGO MARCOS</v>
      </c>
    </row>
    <row r="115" spans="1:14" x14ac:dyDescent="0.3">
      <c r="A115" s="9">
        <v>704263</v>
      </c>
      <c r="B115" s="9" t="s">
        <v>203</v>
      </c>
      <c r="C115" s="10" t="s">
        <v>15</v>
      </c>
      <c r="D115" s="11">
        <v>45342</v>
      </c>
      <c r="E115" s="9" t="s">
        <v>138</v>
      </c>
      <c r="F115" s="9">
        <v>22102</v>
      </c>
      <c r="G115" s="9" t="s">
        <v>68</v>
      </c>
      <c r="H115" s="9" t="s">
        <v>18</v>
      </c>
      <c r="J115" s="9" t="s">
        <v>81</v>
      </c>
      <c r="K115" s="9" t="s">
        <v>1371</v>
      </c>
      <c r="L115" s="9" t="s">
        <v>1509</v>
      </c>
      <c r="M115" s="9" t="s">
        <v>1379</v>
      </c>
      <c r="N115" s="9" t="str">
        <f t="shared" si="1"/>
        <v xml:space="preserve">EDSON/MARCELO LIMA </v>
      </c>
    </row>
    <row r="116" spans="1:14" x14ac:dyDescent="0.3">
      <c r="A116" s="9">
        <v>705516</v>
      </c>
      <c r="B116" s="9" t="s">
        <v>1290</v>
      </c>
      <c r="C116" s="10" t="s">
        <v>15</v>
      </c>
      <c r="D116" s="11">
        <v>45847</v>
      </c>
      <c r="E116" s="9" t="s">
        <v>31</v>
      </c>
      <c r="F116" s="9">
        <v>22102</v>
      </c>
      <c r="G116" s="9" t="s">
        <v>68</v>
      </c>
      <c r="H116" s="9" t="s">
        <v>18</v>
      </c>
      <c r="J116" s="9" t="s">
        <v>142</v>
      </c>
      <c r="K116" s="9" t="s">
        <v>1371</v>
      </c>
      <c r="L116" s="9" t="s">
        <v>1509</v>
      </c>
      <c r="M116" s="9" t="s">
        <v>1633</v>
      </c>
      <c r="N116" s="9" t="str">
        <f t="shared" si="1"/>
        <v>CRISTIANO BARBOSA</v>
      </c>
    </row>
    <row r="117" spans="1:14" x14ac:dyDescent="0.3">
      <c r="A117" s="9">
        <v>705636</v>
      </c>
      <c r="B117" s="9" t="s">
        <v>1398</v>
      </c>
      <c r="C117" s="10" t="s">
        <v>15</v>
      </c>
      <c r="D117" s="11">
        <v>45937</v>
      </c>
      <c r="E117" s="9" t="s">
        <v>31</v>
      </c>
      <c r="F117" s="9">
        <v>51219</v>
      </c>
      <c r="G117" s="9" t="s">
        <v>61</v>
      </c>
      <c r="H117" s="9" t="s">
        <v>18</v>
      </c>
      <c r="J117" s="9" t="s">
        <v>19</v>
      </c>
      <c r="K117" s="9" t="s">
        <v>1368</v>
      </c>
      <c r="L117" s="9" t="s">
        <v>20</v>
      </c>
      <c r="M117" s="9" t="s">
        <v>1632</v>
      </c>
      <c r="N117" s="9" t="str">
        <f t="shared" si="1"/>
        <v>THIAGO MARCOS</v>
      </c>
    </row>
    <row r="118" spans="1:14" x14ac:dyDescent="0.3">
      <c r="A118" s="9">
        <v>702814</v>
      </c>
      <c r="B118" s="9" t="s">
        <v>204</v>
      </c>
      <c r="C118" s="10" t="s">
        <v>15</v>
      </c>
      <c r="D118" s="11">
        <v>44613</v>
      </c>
      <c r="E118" s="9" t="s">
        <v>138</v>
      </c>
      <c r="F118" s="9">
        <v>51219</v>
      </c>
      <c r="G118" s="9" t="s">
        <v>61</v>
      </c>
      <c r="H118" s="9" t="s">
        <v>18</v>
      </c>
      <c r="J118" s="9" t="s">
        <v>19</v>
      </c>
      <c r="K118" s="9" t="s">
        <v>1368</v>
      </c>
      <c r="L118" s="9" t="s">
        <v>20</v>
      </c>
      <c r="M118" s="9" t="s">
        <v>1632</v>
      </c>
      <c r="N118" s="9" t="str">
        <f t="shared" si="1"/>
        <v>THIAGO MARCOS</v>
      </c>
    </row>
    <row r="119" spans="1:14" x14ac:dyDescent="0.3">
      <c r="A119" s="9">
        <v>704371</v>
      </c>
      <c r="B119" s="9" t="s">
        <v>768</v>
      </c>
      <c r="C119" s="10" t="s">
        <v>15</v>
      </c>
      <c r="D119" s="11">
        <v>45384</v>
      </c>
      <c r="E119" s="9" t="s">
        <v>16</v>
      </c>
      <c r="F119" s="9">
        <v>38101</v>
      </c>
      <c r="G119" s="9" t="s">
        <v>35</v>
      </c>
      <c r="H119" s="9" t="s">
        <v>18</v>
      </c>
      <c r="J119" s="9" t="s">
        <v>36</v>
      </c>
      <c r="K119" s="9" t="s">
        <v>1372</v>
      </c>
      <c r="L119" s="9" t="s">
        <v>1373</v>
      </c>
      <c r="M119" s="9" t="s">
        <v>1373</v>
      </c>
      <c r="N119" s="9" t="str">
        <f t="shared" si="1"/>
        <v>DENIS ACASSIO</v>
      </c>
    </row>
    <row r="120" spans="1:14" x14ac:dyDescent="0.3">
      <c r="A120" s="9">
        <v>705380</v>
      </c>
      <c r="B120" s="9" t="s">
        <v>1213</v>
      </c>
      <c r="C120" s="10" t="s">
        <v>92</v>
      </c>
      <c r="D120" s="11">
        <v>45784</v>
      </c>
      <c r="E120" s="9" t="s">
        <v>286</v>
      </c>
      <c r="F120" s="9">
        <v>32101</v>
      </c>
      <c r="G120" s="9" t="s">
        <v>23</v>
      </c>
      <c r="H120" s="9" t="s">
        <v>18</v>
      </c>
      <c r="I120" s="11">
        <v>46114</v>
      </c>
      <c r="J120" s="9" t="s">
        <v>24</v>
      </c>
      <c r="K120" s="9" t="s">
        <v>25</v>
      </c>
      <c r="L120" s="9" t="s">
        <v>1369</v>
      </c>
      <c r="M120" s="9" t="s">
        <v>1370</v>
      </c>
      <c r="N120" s="9" t="str">
        <f t="shared" si="1"/>
        <v>JUNIO COSTA</v>
      </c>
    </row>
    <row r="121" spans="1:14" x14ac:dyDescent="0.3">
      <c r="A121" s="9">
        <v>705497</v>
      </c>
      <c r="B121" s="9" t="s">
        <v>1649</v>
      </c>
      <c r="C121" s="10" t="s">
        <v>15</v>
      </c>
      <c r="D121" s="11">
        <v>45839</v>
      </c>
      <c r="E121" s="9" t="s">
        <v>31</v>
      </c>
      <c r="F121" s="9">
        <v>25201</v>
      </c>
      <c r="G121" s="9" t="s">
        <v>89</v>
      </c>
      <c r="H121" s="9" t="s">
        <v>18</v>
      </c>
      <c r="J121" s="9" t="s">
        <v>19</v>
      </c>
      <c r="K121" s="9" t="s">
        <v>1368</v>
      </c>
      <c r="L121" s="9" t="s">
        <v>20</v>
      </c>
      <c r="M121" s="9" t="s">
        <v>1632</v>
      </c>
      <c r="N121" s="9" t="str">
        <f t="shared" si="1"/>
        <v>THIAGO MARCOS</v>
      </c>
    </row>
    <row r="122" spans="1:14" x14ac:dyDescent="0.3">
      <c r="A122" s="9">
        <v>100791</v>
      </c>
      <c r="B122" s="9" t="s">
        <v>205</v>
      </c>
      <c r="C122" s="10" t="s">
        <v>15</v>
      </c>
      <c r="D122" s="11">
        <v>42261</v>
      </c>
      <c r="E122" s="9" t="s">
        <v>206</v>
      </c>
      <c r="F122" s="9">
        <v>38101</v>
      </c>
      <c r="G122" s="9" t="s">
        <v>35</v>
      </c>
      <c r="H122" s="9" t="s">
        <v>18</v>
      </c>
      <c r="J122" s="9" t="s">
        <v>278</v>
      </c>
      <c r="K122" s="9" t="s">
        <v>1372</v>
      </c>
      <c r="N122" s="9" t="str">
        <f t="shared" si="1"/>
        <v xml:space="preserve">LEIDJANE MARTINS </v>
      </c>
    </row>
    <row r="123" spans="1:14" x14ac:dyDescent="0.3">
      <c r="A123" s="9">
        <v>705799</v>
      </c>
      <c r="B123" s="9" t="s">
        <v>1515</v>
      </c>
      <c r="C123" s="10" t="s">
        <v>15</v>
      </c>
      <c r="D123" s="11">
        <v>46029</v>
      </c>
      <c r="E123" s="9" t="s">
        <v>31</v>
      </c>
      <c r="F123" s="9">
        <v>52202</v>
      </c>
      <c r="G123" s="9" t="s">
        <v>32</v>
      </c>
      <c r="H123" s="9" t="s">
        <v>18</v>
      </c>
      <c r="J123" s="9" t="s">
        <v>33</v>
      </c>
      <c r="K123" s="9" t="s">
        <v>1368</v>
      </c>
      <c r="L123" s="9" t="s">
        <v>20</v>
      </c>
      <c r="M123" s="9" t="s">
        <v>1634</v>
      </c>
      <c r="N123" s="9" t="str">
        <f t="shared" si="1"/>
        <v>IRON SANTOS</v>
      </c>
    </row>
    <row r="124" spans="1:14" x14ac:dyDescent="0.3">
      <c r="A124" s="9">
        <v>702668</v>
      </c>
      <c r="B124" s="9" t="s">
        <v>207</v>
      </c>
      <c r="C124" s="10" t="s">
        <v>15</v>
      </c>
      <c r="D124" s="11">
        <v>44510</v>
      </c>
      <c r="E124" s="9" t="s">
        <v>208</v>
      </c>
      <c r="F124" s="9">
        <v>38101</v>
      </c>
      <c r="G124" s="9" t="s">
        <v>35</v>
      </c>
      <c r="H124" s="9" t="s">
        <v>18</v>
      </c>
      <c r="J124" s="9" t="s">
        <v>36</v>
      </c>
      <c r="K124" s="9" t="s">
        <v>1372</v>
      </c>
      <c r="L124" s="9" t="s">
        <v>1373</v>
      </c>
      <c r="M124" s="9" t="s">
        <v>1373</v>
      </c>
      <c r="N124" s="9" t="str">
        <f t="shared" si="1"/>
        <v>DENIS ACASSIO</v>
      </c>
    </row>
    <row r="125" spans="1:14" x14ac:dyDescent="0.3">
      <c r="A125" s="9">
        <v>705684</v>
      </c>
      <c r="B125" s="9" t="s">
        <v>1399</v>
      </c>
      <c r="C125" s="10" t="s">
        <v>15</v>
      </c>
      <c r="D125" s="11">
        <v>45944</v>
      </c>
      <c r="E125" s="9" t="s">
        <v>31</v>
      </c>
      <c r="F125" s="9">
        <v>51219</v>
      </c>
      <c r="G125" s="9" t="s">
        <v>61</v>
      </c>
      <c r="H125" s="9" t="s">
        <v>18</v>
      </c>
      <c r="J125" s="9" t="s">
        <v>29</v>
      </c>
      <c r="K125" s="9" t="s">
        <v>1368</v>
      </c>
      <c r="L125" s="9" t="s">
        <v>20</v>
      </c>
      <c r="M125" s="9" t="s">
        <v>1634</v>
      </c>
      <c r="N125" s="9" t="str">
        <f t="shared" si="1"/>
        <v>IRON SANTOS</v>
      </c>
    </row>
    <row r="126" spans="1:14" x14ac:dyDescent="0.3">
      <c r="A126" s="9">
        <v>702120</v>
      </c>
      <c r="B126" s="9" t="s">
        <v>209</v>
      </c>
      <c r="C126" s="10" t="s">
        <v>15</v>
      </c>
      <c r="D126" s="11">
        <v>44298</v>
      </c>
      <c r="E126" s="9" t="s">
        <v>138</v>
      </c>
      <c r="F126" s="9">
        <v>51219</v>
      </c>
      <c r="G126" s="9" t="s">
        <v>61</v>
      </c>
      <c r="H126" s="9" t="s">
        <v>18</v>
      </c>
      <c r="J126" s="9" t="s">
        <v>37</v>
      </c>
      <c r="K126" s="9" t="s">
        <v>1368</v>
      </c>
      <c r="L126" s="9" t="s">
        <v>20</v>
      </c>
      <c r="M126" s="9" t="s">
        <v>1634</v>
      </c>
      <c r="N126" s="9" t="str">
        <f t="shared" si="1"/>
        <v>IRON SANTOS</v>
      </c>
    </row>
    <row r="127" spans="1:14" x14ac:dyDescent="0.3">
      <c r="A127" s="9">
        <v>704665</v>
      </c>
      <c r="B127" s="9" t="s">
        <v>210</v>
      </c>
      <c r="C127" s="10" t="s">
        <v>15</v>
      </c>
      <c r="D127" s="11">
        <v>45482</v>
      </c>
      <c r="E127" s="9" t="s">
        <v>27</v>
      </c>
      <c r="F127" s="9">
        <v>39501</v>
      </c>
      <c r="G127" s="9" t="s">
        <v>28</v>
      </c>
      <c r="H127" s="9" t="s">
        <v>18</v>
      </c>
      <c r="J127" s="9" t="s">
        <v>29</v>
      </c>
      <c r="K127" s="9" t="s">
        <v>1368</v>
      </c>
      <c r="L127" s="9" t="s">
        <v>20</v>
      </c>
      <c r="M127" s="9" t="s">
        <v>1634</v>
      </c>
      <c r="N127" s="9" t="str">
        <f t="shared" si="1"/>
        <v>IRON SANTOS</v>
      </c>
    </row>
    <row r="128" spans="1:14" x14ac:dyDescent="0.3">
      <c r="A128" s="9">
        <v>702390</v>
      </c>
      <c r="B128" s="9" t="s">
        <v>211</v>
      </c>
      <c r="C128" s="10" t="s">
        <v>15</v>
      </c>
      <c r="D128" s="11">
        <v>44369</v>
      </c>
      <c r="E128" s="9" t="s">
        <v>166</v>
      </c>
      <c r="F128" s="9">
        <v>22102</v>
      </c>
      <c r="G128" s="9" t="s">
        <v>68</v>
      </c>
      <c r="H128" s="9" t="s">
        <v>18</v>
      </c>
      <c r="J128" s="9" t="s">
        <v>167</v>
      </c>
      <c r="K128" s="9" t="s">
        <v>1371</v>
      </c>
      <c r="L128" s="9" t="s">
        <v>1509</v>
      </c>
      <c r="M128" s="9" t="s">
        <v>1636</v>
      </c>
      <c r="N128" s="9" t="str">
        <f t="shared" si="1"/>
        <v>FABIANO DIAS</v>
      </c>
    </row>
    <row r="129" spans="1:14" x14ac:dyDescent="0.3">
      <c r="A129" s="9">
        <v>101249</v>
      </c>
      <c r="B129" s="9" t="s">
        <v>218</v>
      </c>
      <c r="C129" s="10" t="s">
        <v>15</v>
      </c>
      <c r="D129" s="11">
        <v>42786</v>
      </c>
      <c r="E129" s="9" t="s">
        <v>219</v>
      </c>
      <c r="F129" s="9">
        <v>32101</v>
      </c>
      <c r="G129" s="9" t="s">
        <v>23</v>
      </c>
      <c r="H129" s="9" t="s">
        <v>18</v>
      </c>
      <c r="J129" s="9" t="s">
        <v>24</v>
      </c>
      <c r="K129" s="9" t="s">
        <v>25</v>
      </c>
      <c r="L129" s="9" t="s">
        <v>1369</v>
      </c>
      <c r="M129" s="9" t="s">
        <v>1370</v>
      </c>
      <c r="N129" s="9" t="str">
        <f t="shared" si="1"/>
        <v>JUNIO COSTA</v>
      </c>
    </row>
    <row r="130" spans="1:14" x14ac:dyDescent="0.3">
      <c r="A130" s="9">
        <v>704754</v>
      </c>
      <c r="B130" s="9" t="s">
        <v>220</v>
      </c>
      <c r="C130" s="10" t="s">
        <v>15</v>
      </c>
      <c r="D130" s="11">
        <v>45545</v>
      </c>
      <c r="E130" s="9" t="s">
        <v>27</v>
      </c>
      <c r="F130" s="9">
        <v>39304</v>
      </c>
      <c r="G130" s="9" t="s">
        <v>56</v>
      </c>
      <c r="H130" s="9" t="s">
        <v>18</v>
      </c>
      <c r="J130" s="9" t="s">
        <v>57</v>
      </c>
      <c r="K130" s="9" t="s">
        <v>1371</v>
      </c>
      <c r="L130" s="9" t="s">
        <v>1376</v>
      </c>
      <c r="M130" s="9" t="s">
        <v>1635</v>
      </c>
      <c r="N130" s="9" t="str">
        <f t="shared" si="1"/>
        <v>WARLEY RIBEIRO / EUDES FERNANDES</v>
      </c>
    </row>
    <row r="131" spans="1:14" x14ac:dyDescent="0.3">
      <c r="A131" s="9">
        <v>100883</v>
      </c>
      <c r="B131" s="9" t="s">
        <v>221</v>
      </c>
      <c r="C131" s="10" t="s">
        <v>15</v>
      </c>
      <c r="D131" s="11">
        <v>42445</v>
      </c>
      <c r="E131" s="9" t="s">
        <v>16</v>
      </c>
      <c r="F131" s="9">
        <v>11101</v>
      </c>
      <c r="G131" s="9" t="s">
        <v>595</v>
      </c>
      <c r="H131" s="9" t="s">
        <v>18</v>
      </c>
      <c r="J131" s="9" t="s">
        <v>36</v>
      </c>
      <c r="K131" s="9" t="s">
        <v>1372</v>
      </c>
      <c r="L131" s="9" t="s">
        <v>1373</v>
      </c>
      <c r="M131" s="9" t="s">
        <v>1373</v>
      </c>
      <c r="N131" s="9" t="str">
        <f t="shared" ref="N131:N194" si="2">IF(M131&lt;&gt;"", M131, IF(L131&lt;&gt;"", L131, K131))</f>
        <v>DENIS ACASSIO</v>
      </c>
    </row>
    <row r="132" spans="1:14" x14ac:dyDescent="0.3">
      <c r="A132" s="9">
        <v>702312</v>
      </c>
      <c r="B132" s="9" t="s">
        <v>223</v>
      </c>
      <c r="C132" s="10" t="s">
        <v>15</v>
      </c>
      <c r="D132" s="11">
        <v>44334</v>
      </c>
      <c r="E132" s="9" t="s">
        <v>185</v>
      </c>
      <c r="F132" s="9">
        <v>33101</v>
      </c>
      <c r="G132" s="9" t="s">
        <v>186</v>
      </c>
      <c r="H132" s="9" t="s">
        <v>18</v>
      </c>
      <c r="J132" s="9" t="s">
        <v>44</v>
      </c>
      <c r="K132" s="9" t="s">
        <v>25</v>
      </c>
      <c r="L132" s="9" t="s">
        <v>1385</v>
      </c>
      <c r="N132" s="9" t="str">
        <f t="shared" si="2"/>
        <v>TALLES RYAN</v>
      </c>
    </row>
    <row r="133" spans="1:14" x14ac:dyDescent="0.3">
      <c r="A133" s="9">
        <v>705897</v>
      </c>
      <c r="B133" s="9" t="s">
        <v>1606</v>
      </c>
      <c r="C133" s="10" t="s">
        <v>15</v>
      </c>
      <c r="D133" s="11">
        <v>46091</v>
      </c>
      <c r="E133" s="9" t="s">
        <v>146</v>
      </c>
      <c r="F133" s="9">
        <v>52104</v>
      </c>
      <c r="G133" s="9" t="s">
        <v>17</v>
      </c>
      <c r="H133" s="9" t="s">
        <v>18</v>
      </c>
      <c r="J133" s="9" t="s">
        <v>19</v>
      </c>
      <c r="K133" s="9" t="s">
        <v>1368</v>
      </c>
      <c r="L133" s="9" t="s">
        <v>20</v>
      </c>
      <c r="M133" s="9" t="s">
        <v>1632</v>
      </c>
      <c r="N133" s="9" t="str">
        <f t="shared" si="2"/>
        <v>THIAGO MARCOS</v>
      </c>
    </row>
    <row r="134" spans="1:14" x14ac:dyDescent="0.3">
      <c r="A134" s="9">
        <v>705535</v>
      </c>
      <c r="B134" s="9" t="s">
        <v>1293</v>
      </c>
      <c r="C134" s="10" t="s">
        <v>15</v>
      </c>
      <c r="D134" s="11">
        <v>45847</v>
      </c>
      <c r="E134" s="9" t="s">
        <v>91</v>
      </c>
      <c r="F134" s="9">
        <v>34201</v>
      </c>
      <c r="G134" s="9" t="s">
        <v>84</v>
      </c>
      <c r="H134" s="9" t="s">
        <v>18</v>
      </c>
      <c r="J134" s="9" t="s">
        <v>85</v>
      </c>
      <c r="K134" s="9" t="s">
        <v>1371</v>
      </c>
      <c r="L134" s="9" t="s">
        <v>1380</v>
      </c>
      <c r="M134" s="9" t="s">
        <v>1380</v>
      </c>
      <c r="N134" s="9" t="str">
        <f t="shared" si="2"/>
        <v xml:space="preserve">LEONARDO SANTOS </v>
      </c>
    </row>
    <row r="135" spans="1:14" x14ac:dyDescent="0.3">
      <c r="A135" s="9">
        <v>705827</v>
      </c>
      <c r="B135" s="9" t="s">
        <v>1538</v>
      </c>
      <c r="C135" s="10" t="s">
        <v>15</v>
      </c>
      <c r="D135" s="11">
        <v>46063</v>
      </c>
      <c r="E135" s="9" t="s">
        <v>109</v>
      </c>
      <c r="F135" s="9">
        <v>32101</v>
      </c>
      <c r="G135" s="9" t="s">
        <v>23</v>
      </c>
      <c r="H135" s="9" t="s">
        <v>18</v>
      </c>
      <c r="J135" s="9" t="s">
        <v>24</v>
      </c>
      <c r="K135" s="9" t="s">
        <v>25</v>
      </c>
      <c r="L135" s="9" t="s">
        <v>1369</v>
      </c>
      <c r="M135" s="9" t="s">
        <v>1370</v>
      </c>
      <c r="N135" s="9" t="str">
        <f t="shared" si="2"/>
        <v>JUNIO COSTA</v>
      </c>
    </row>
    <row r="136" spans="1:14" x14ac:dyDescent="0.3">
      <c r="A136" s="9">
        <v>101208</v>
      </c>
      <c r="B136" s="9" t="s">
        <v>224</v>
      </c>
      <c r="C136" s="10" t="s">
        <v>15</v>
      </c>
      <c r="D136" s="11">
        <v>42772</v>
      </c>
      <c r="E136" s="9" t="s">
        <v>105</v>
      </c>
      <c r="F136" s="9">
        <v>22102</v>
      </c>
      <c r="G136" s="9" t="s">
        <v>68</v>
      </c>
      <c r="H136" s="9" t="s">
        <v>18</v>
      </c>
      <c r="J136" s="9" t="s">
        <v>142</v>
      </c>
      <c r="K136" s="9" t="s">
        <v>1371</v>
      </c>
      <c r="L136" s="9" t="s">
        <v>1509</v>
      </c>
      <c r="M136" s="9" t="s">
        <v>1633</v>
      </c>
      <c r="N136" s="9" t="str">
        <f t="shared" si="2"/>
        <v>CRISTIANO BARBOSA</v>
      </c>
    </row>
    <row r="137" spans="1:14" x14ac:dyDescent="0.3">
      <c r="A137" s="9">
        <v>705623</v>
      </c>
      <c r="B137" s="9" t="s">
        <v>1400</v>
      </c>
      <c r="C137" s="10" t="s">
        <v>15</v>
      </c>
      <c r="D137" s="11">
        <v>45937</v>
      </c>
      <c r="E137" s="9" t="s">
        <v>152</v>
      </c>
      <c r="F137" s="9">
        <v>39201</v>
      </c>
      <c r="G137" s="9" t="s">
        <v>153</v>
      </c>
      <c r="H137" s="9" t="s">
        <v>18</v>
      </c>
      <c r="J137" s="9" t="s">
        <v>154</v>
      </c>
      <c r="K137" s="9" t="s">
        <v>50</v>
      </c>
      <c r="L137" s="9" t="s">
        <v>1382</v>
      </c>
      <c r="M137" s="9" t="s">
        <v>1382</v>
      </c>
      <c r="N137" s="9" t="str">
        <f t="shared" si="2"/>
        <v>ADENILTON RODRIGUES</v>
      </c>
    </row>
    <row r="138" spans="1:14" x14ac:dyDescent="0.3">
      <c r="A138" s="9">
        <v>705091</v>
      </c>
      <c r="B138" s="9" t="s">
        <v>225</v>
      </c>
      <c r="C138" s="10" t="s">
        <v>15</v>
      </c>
      <c r="D138" s="11">
        <v>45670</v>
      </c>
      <c r="E138" s="9" t="s">
        <v>175</v>
      </c>
      <c r="F138" s="9">
        <v>31102</v>
      </c>
      <c r="G138" s="9" t="s">
        <v>135</v>
      </c>
      <c r="H138" s="9" t="s">
        <v>18</v>
      </c>
      <c r="J138" s="9" t="s">
        <v>136</v>
      </c>
      <c r="K138" s="9" t="s">
        <v>50</v>
      </c>
      <c r="L138" s="9" t="s">
        <v>1382</v>
      </c>
      <c r="M138" s="9" t="s">
        <v>1382</v>
      </c>
      <c r="N138" s="9" t="str">
        <f t="shared" si="2"/>
        <v>ADENILTON RODRIGUES</v>
      </c>
    </row>
    <row r="139" spans="1:14" x14ac:dyDescent="0.3">
      <c r="A139" s="9">
        <v>702358</v>
      </c>
      <c r="B139" s="9" t="s">
        <v>226</v>
      </c>
      <c r="C139" s="10" t="s">
        <v>15</v>
      </c>
      <c r="D139" s="11">
        <v>44362</v>
      </c>
      <c r="E139" s="9" t="s">
        <v>105</v>
      </c>
      <c r="F139" s="9">
        <v>22102</v>
      </c>
      <c r="G139" s="9" t="s">
        <v>68</v>
      </c>
      <c r="H139" s="9" t="s">
        <v>18</v>
      </c>
      <c r="J139" s="9" t="s">
        <v>142</v>
      </c>
      <c r="K139" s="9" t="s">
        <v>1371</v>
      </c>
      <c r="L139" s="9" t="s">
        <v>1509</v>
      </c>
      <c r="M139" s="9" t="s">
        <v>1633</v>
      </c>
      <c r="N139" s="9" t="str">
        <f t="shared" si="2"/>
        <v>CRISTIANO BARBOSA</v>
      </c>
    </row>
    <row r="140" spans="1:14" x14ac:dyDescent="0.3">
      <c r="A140" s="9">
        <v>702689</v>
      </c>
      <c r="B140" s="9" t="s">
        <v>227</v>
      </c>
      <c r="C140" s="10" t="s">
        <v>15</v>
      </c>
      <c r="D140" s="11">
        <v>44522</v>
      </c>
      <c r="E140" s="9" t="s">
        <v>31</v>
      </c>
      <c r="F140" s="9">
        <v>39304</v>
      </c>
      <c r="G140" s="9" t="s">
        <v>56</v>
      </c>
      <c r="H140" s="9" t="s">
        <v>18</v>
      </c>
      <c r="J140" s="9" t="s">
        <v>57</v>
      </c>
      <c r="K140" s="9" t="s">
        <v>1371</v>
      </c>
      <c r="L140" s="9" t="s">
        <v>1376</v>
      </c>
      <c r="M140" s="9" t="s">
        <v>1635</v>
      </c>
      <c r="N140" s="9" t="str">
        <f t="shared" si="2"/>
        <v>WARLEY RIBEIRO / EUDES FERNANDES</v>
      </c>
    </row>
    <row r="141" spans="1:14" x14ac:dyDescent="0.3">
      <c r="A141" s="9">
        <v>703312</v>
      </c>
      <c r="B141" s="9" t="s">
        <v>228</v>
      </c>
      <c r="C141" s="10" t="s">
        <v>15</v>
      </c>
      <c r="D141" s="11">
        <v>44823</v>
      </c>
      <c r="E141" s="9" t="s">
        <v>83</v>
      </c>
      <c r="F141" s="9">
        <v>34201</v>
      </c>
      <c r="G141" s="9" t="s">
        <v>84</v>
      </c>
      <c r="H141" s="9" t="s">
        <v>18</v>
      </c>
      <c r="J141" s="9" t="s">
        <v>85</v>
      </c>
      <c r="K141" s="9" t="s">
        <v>1371</v>
      </c>
      <c r="L141" s="9" t="s">
        <v>1380</v>
      </c>
      <c r="M141" s="9" t="s">
        <v>1380</v>
      </c>
      <c r="N141" s="9" t="str">
        <f t="shared" si="2"/>
        <v xml:space="preserve">LEONARDO SANTOS </v>
      </c>
    </row>
    <row r="142" spans="1:14" x14ac:dyDescent="0.3">
      <c r="A142" s="9">
        <v>705759</v>
      </c>
      <c r="B142" s="9" t="s">
        <v>1479</v>
      </c>
      <c r="C142" s="10" t="s">
        <v>15</v>
      </c>
      <c r="D142" s="11">
        <v>45993</v>
      </c>
      <c r="E142" s="9" t="s">
        <v>31</v>
      </c>
      <c r="F142" s="9">
        <v>51219</v>
      </c>
      <c r="G142" s="9" t="s">
        <v>61</v>
      </c>
      <c r="H142" s="9" t="s">
        <v>18</v>
      </c>
      <c r="J142" s="9" t="s">
        <v>19</v>
      </c>
      <c r="K142" s="9" t="s">
        <v>1368</v>
      </c>
      <c r="L142" s="9" t="s">
        <v>20</v>
      </c>
      <c r="M142" s="9" t="s">
        <v>1632</v>
      </c>
      <c r="N142" s="9" t="str">
        <f t="shared" si="2"/>
        <v>THIAGO MARCOS</v>
      </c>
    </row>
    <row r="143" spans="1:14" x14ac:dyDescent="0.3">
      <c r="A143" s="9">
        <v>704445</v>
      </c>
      <c r="B143" s="9" t="s">
        <v>229</v>
      </c>
      <c r="C143" s="10" t="s">
        <v>15</v>
      </c>
      <c r="D143" s="11">
        <v>45419</v>
      </c>
      <c r="E143" s="9" t="s">
        <v>230</v>
      </c>
      <c r="F143" s="9">
        <v>38101</v>
      </c>
      <c r="G143" s="9" t="s">
        <v>35</v>
      </c>
      <c r="H143" s="9" t="s">
        <v>18</v>
      </c>
      <c r="J143" s="9" t="s">
        <v>36</v>
      </c>
      <c r="K143" s="9" t="s">
        <v>1372</v>
      </c>
      <c r="L143" s="9" t="s">
        <v>1373</v>
      </c>
      <c r="M143" s="9" t="s">
        <v>1373</v>
      </c>
      <c r="N143" s="9" t="str">
        <f t="shared" si="2"/>
        <v>DENIS ACASSIO</v>
      </c>
    </row>
    <row r="144" spans="1:14" x14ac:dyDescent="0.3">
      <c r="A144" s="9">
        <v>701776</v>
      </c>
      <c r="B144" s="9" t="s">
        <v>231</v>
      </c>
      <c r="C144" s="10" t="s">
        <v>15</v>
      </c>
      <c r="D144" s="11">
        <v>44060</v>
      </c>
      <c r="E144" s="9" t="s">
        <v>457</v>
      </c>
      <c r="F144" s="9">
        <v>22102</v>
      </c>
      <c r="G144" s="9" t="s">
        <v>68</v>
      </c>
      <c r="H144" s="9" t="s">
        <v>18</v>
      </c>
      <c r="J144" s="9" t="s">
        <v>1648</v>
      </c>
      <c r="K144" s="9" t="s">
        <v>1371</v>
      </c>
      <c r="L144" s="9" t="s">
        <v>1509</v>
      </c>
      <c r="N144" s="9" t="str">
        <f t="shared" si="2"/>
        <v>MAURICIO SANTOS</v>
      </c>
    </row>
    <row r="145" spans="1:14" x14ac:dyDescent="0.3">
      <c r="A145" s="9">
        <v>701492</v>
      </c>
      <c r="B145" s="9" t="s">
        <v>232</v>
      </c>
      <c r="C145" s="10" t="s">
        <v>15</v>
      </c>
      <c r="D145" s="11">
        <v>43878</v>
      </c>
      <c r="E145" s="9" t="s">
        <v>138</v>
      </c>
      <c r="F145" s="9">
        <v>51219</v>
      </c>
      <c r="G145" s="9" t="s">
        <v>61</v>
      </c>
      <c r="H145" s="9" t="s">
        <v>18</v>
      </c>
      <c r="J145" s="9" t="s">
        <v>37</v>
      </c>
      <c r="K145" s="9" t="s">
        <v>1368</v>
      </c>
      <c r="L145" s="9" t="s">
        <v>20</v>
      </c>
      <c r="M145" s="9" t="s">
        <v>1634</v>
      </c>
      <c r="N145" s="9" t="str">
        <f t="shared" si="2"/>
        <v>IRON SANTOS</v>
      </c>
    </row>
    <row r="146" spans="1:14" x14ac:dyDescent="0.3">
      <c r="A146" s="9">
        <v>704693</v>
      </c>
      <c r="B146" s="9" t="s">
        <v>234</v>
      </c>
      <c r="C146" s="10" t="s">
        <v>15</v>
      </c>
      <c r="D146" s="11">
        <v>45510</v>
      </c>
      <c r="E146" s="9" t="s">
        <v>27</v>
      </c>
      <c r="F146" s="9">
        <v>39302</v>
      </c>
      <c r="G146" s="9" t="s">
        <v>102</v>
      </c>
      <c r="H146" s="9" t="s">
        <v>18</v>
      </c>
      <c r="J146" s="9" t="s">
        <v>57</v>
      </c>
      <c r="K146" s="9" t="s">
        <v>1371</v>
      </c>
      <c r="L146" s="9" t="s">
        <v>1376</v>
      </c>
      <c r="M146" s="9" t="s">
        <v>1635</v>
      </c>
      <c r="N146" s="9" t="str">
        <f t="shared" si="2"/>
        <v>WARLEY RIBEIRO / EUDES FERNANDES</v>
      </c>
    </row>
    <row r="147" spans="1:14" x14ac:dyDescent="0.3">
      <c r="A147" s="9">
        <v>101454</v>
      </c>
      <c r="B147" s="9" t="s">
        <v>235</v>
      </c>
      <c r="C147" s="10" t="s">
        <v>15</v>
      </c>
      <c r="D147" s="11">
        <v>42962</v>
      </c>
      <c r="E147" s="9" t="s">
        <v>199</v>
      </c>
      <c r="F147" s="9">
        <v>22102</v>
      </c>
      <c r="G147" s="9" t="s">
        <v>68</v>
      </c>
      <c r="H147" s="9" t="s">
        <v>18</v>
      </c>
      <c r="J147" s="9" t="s">
        <v>1648</v>
      </c>
      <c r="K147" s="9" t="s">
        <v>1371</v>
      </c>
      <c r="L147" s="9" t="s">
        <v>1509</v>
      </c>
      <c r="N147" s="9" t="str">
        <f t="shared" si="2"/>
        <v>MAURICIO SANTOS</v>
      </c>
    </row>
    <row r="148" spans="1:14" x14ac:dyDescent="0.3">
      <c r="A148" s="9">
        <v>1773</v>
      </c>
      <c r="B148" s="9" t="s">
        <v>236</v>
      </c>
      <c r="C148" s="10" t="s">
        <v>15</v>
      </c>
      <c r="D148" s="11">
        <v>40589</v>
      </c>
      <c r="E148" s="9" t="s">
        <v>1214</v>
      </c>
      <c r="F148" s="9">
        <v>34101</v>
      </c>
      <c r="G148" s="9" t="s">
        <v>43</v>
      </c>
      <c r="H148" s="9" t="s">
        <v>18</v>
      </c>
      <c r="J148" s="9" t="s">
        <v>237</v>
      </c>
      <c r="K148" s="9" t="s">
        <v>25</v>
      </c>
      <c r="L148" s="9" t="s">
        <v>1384</v>
      </c>
      <c r="N148" s="9" t="str">
        <f t="shared" si="2"/>
        <v xml:space="preserve">MARCOS VINICIUS </v>
      </c>
    </row>
    <row r="149" spans="1:14" x14ac:dyDescent="0.3">
      <c r="A149" s="9">
        <v>705186</v>
      </c>
      <c r="B149" s="9" t="s">
        <v>1155</v>
      </c>
      <c r="C149" s="10" t="s">
        <v>15</v>
      </c>
      <c r="D149" s="11">
        <v>45726</v>
      </c>
      <c r="E149" s="9" t="s">
        <v>138</v>
      </c>
      <c r="F149" s="9">
        <v>52104</v>
      </c>
      <c r="G149" s="9" t="s">
        <v>17</v>
      </c>
      <c r="H149" s="9" t="s">
        <v>18</v>
      </c>
      <c r="J149" s="9" t="s">
        <v>19</v>
      </c>
      <c r="K149" s="9" t="s">
        <v>1368</v>
      </c>
      <c r="L149" s="9" t="s">
        <v>20</v>
      </c>
      <c r="M149" s="9" t="s">
        <v>1632</v>
      </c>
      <c r="N149" s="9" t="str">
        <f t="shared" si="2"/>
        <v>THIAGO MARCOS</v>
      </c>
    </row>
    <row r="150" spans="1:14" x14ac:dyDescent="0.3">
      <c r="A150" s="9">
        <v>705942</v>
      </c>
      <c r="B150" s="9" t="s">
        <v>1650</v>
      </c>
      <c r="C150" s="10" t="s">
        <v>15</v>
      </c>
      <c r="D150" s="11">
        <v>46119</v>
      </c>
      <c r="E150" s="9" t="s">
        <v>77</v>
      </c>
      <c r="F150" s="9">
        <v>38107</v>
      </c>
      <c r="G150" s="9" t="s">
        <v>1503</v>
      </c>
      <c r="H150" s="9" t="s">
        <v>18</v>
      </c>
      <c r="J150" s="9" t="s">
        <v>78</v>
      </c>
      <c r="K150" s="9" t="s">
        <v>1372</v>
      </c>
      <c r="N150" s="9" t="str">
        <f t="shared" si="2"/>
        <v xml:space="preserve">LEIDJANE MARTINS </v>
      </c>
    </row>
    <row r="151" spans="1:14" x14ac:dyDescent="0.3">
      <c r="A151" s="9">
        <v>701469</v>
      </c>
      <c r="B151" s="9" t="s">
        <v>797</v>
      </c>
      <c r="C151" s="10" t="s">
        <v>15</v>
      </c>
      <c r="D151" s="11">
        <v>43795</v>
      </c>
      <c r="E151" s="9" t="s">
        <v>179</v>
      </c>
      <c r="F151" s="9">
        <v>32101</v>
      </c>
      <c r="G151" s="9" t="s">
        <v>23</v>
      </c>
      <c r="H151" s="9" t="s">
        <v>18</v>
      </c>
      <c r="J151" s="9" t="s">
        <v>24</v>
      </c>
      <c r="K151" s="9" t="s">
        <v>25</v>
      </c>
      <c r="L151" s="9" t="s">
        <v>1369</v>
      </c>
      <c r="M151" s="9" t="s">
        <v>1370</v>
      </c>
      <c r="N151" s="9" t="str">
        <f t="shared" si="2"/>
        <v>JUNIO COSTA</v>
      </c>
    </row>
    <row r="152" spans="1:14" x14ac:dyDescent="0.3">
      <c r="A152" s="9">
        <v>705960</v>
      </c>
      <c r="B152" s="9" t="s">
        <v>1651</v>
      </c>
      <c r="C152" s="10" t="s">
        <v>15</v>
      </c>
      <c r="D152" s="11">
        <v>46119</v>
      </c>
      <c r="E152" s="9" t="s">
        <v>77</v>
      </c>
      <c r="F152" s="9">
        <v>38107</v>
      </c>
      <c r="G152" s="9" t="s">
        <v>1503</v>
      </c>
      <c r="H152" s="9" t="s">
        <v>18</v>
      </c>
      <c r="J152" s="9" t="s">
        <v>78</v>
      </c>
      <c r="K152" s="9" t="s">
        <v>1372</v>
      </c>
      <c r="N152" s="9" t="str">
        <f t="shared" si="2"/>
        <v xml:space="preserve">LEIDJANE MARTINS </v>
      </c>
    </row>
    <row r="153" spans="1:14" x14ac:dyDescent="0.3">
      <c r="A153" s="9">
        <v>704386</v>
      </c>
      <c r="B153" s="9" t="s">
        <v>242</v>
      </c>
      <c r="C153" s="10" t="s">
        <v>15</v>
      </c>
      <c r="D153" s="11">
        <v>45390</v>
      </c>
      <c r="E153" s="9" t="s">
        <v>77</v>
      </c>
      <c r="F153" s="9">
        <v>38107</v>
      </c>
      <c r="G153" s="9" t="s">
        <v>1503</v>
      </c>
      <c r="H153" s="9" t="s">
        <v>18</v>
      </c>
      <c r="J153" s="9" t="s">
        <v>78</v>
      </c>
      <c r="K153" s="9" t="s">
        <v>1372</v>
      </c>
      <c r="N153" s="9" t="str">
        <f t="shared" si="2"/>
        <v xml:space="preserve">LEIDJANE MARTINS </v>
      </c>
    </row>
    <row r="154" spans="1:14" x14ac:dyDescent="0.3">
      <c r="A154" s="9">
        <v>705814</v>
      </c>
      <c r="B154" s="9" t="s">
        <v>1516</v>
      </c>
      <c r="C154" s="10" t="s">
        <v>15</v>
      </c>
      <c r="D154" s="11">
        <v>46035</v>
      </c>
      <c r="E154" s="9" t="s">
        <v>31</v>
      </c>
      <c r="F154" s="9">
        <v>51219</v>
      </c>
      <c r="G154" s="9" t="s">
        <v>61</v>
      </c>
      <c r="H154" s="9" t="s">
        <v>18</v>
      </c>
      <c r="J154" s="9" t="s">
        <v>19</v>
      </c>
      <c r="K154" s="9" t="s">
        <v>1368</v>
      </c>
      <c r="L154" s="9" t="s">
        <v>20</v>
      </c>
      <c r="M154" s="9" t="s">
        <v>1632</v>
      </c>
      <c r="N154" s="9" t="str">
        <f t="shared" si="2"/>
        <v>THIAGO MARCOS</v>
      </c>
    </row>
    <row r="155" spans="1:14" x14ac:dyDescent="0.3">
      <c r="A155" s="9">
        <v>704728</v>
      </c>
      <c r="B155" s="9" t="s">
        <v>803</v>
      </c>
      <c r="C155" s="10" t="s">
        <v>15</v>
      </c>
      <c r="D155" s="11">
        <v>45518</v>
      </c>
      <c r="E155" s="9" t="s">
        <v>93</v>
      </c>
      <c r="F155" s="9">
        <v>22102</v>
      </c>
      <c r="G155" s="9" t="s">
        <v>68</v>
      </c>
      <c r="H155" s="9" t="s">
        <v>18</v>
      </c>
      <c r="J155" s="9" t="s">
        <v>69</v>
      </c>
      <c r="K155" s="9" t="s">
        <v>1371</v>
      </c>
      <c r="L155" s="9" t="s">
        <v>1378</v>
      </c>
      <c r="N155" s="9" t="str">
        <f t="shared" si="2"/>
        <v xml:space="preserve">JOÃO KOMURA </v>
      </c>
    </row>
    <row r="156" spans="1:14" x14ac:dyDescent="0.3">
      <c r="A156" s="9">
        <v>702996</v>
      </c>
      <c r="B156" s="9" t="s">
        <v>243</v>
      </c>
      <c r="C156" s="10" t="s">
        <v>15</v>
      </c>
      <c r="D156" s="11">
        <v>44691</v>
      </c>
      <c r="E156" s="9" t="s">
        <v>230</v>
      </c>
      <c r="F156" s="9">
        <v>38101</v>
      </c>
      <c r="G156" s="9" t="s">
        <v>35</v>
      </c>
      <c r="H156" s="9" t="s">
        <v>18</v>
      </c>
      <c r="J156" s="9" t="s">
        <v>36</v>
      </c>
      <c r="K156" s="9" t="s">
        <v>1372</v>
      </c>
      <c r="L156" s="9" t="s">
        <v>1373</v>
      </c>
      <c r="M156" s="9" t="s">
        <v>1373</v>
      </c>
      <c r="N156" s="9" t="str">
        <f t="shared" si="2"/>
        <v>DENIS ACASSIO</v>
      </c>
    </row>
    <row r="157" spans="1:14" x14ac:dyDescent="0.3">
      <c r="A157" s="9">
        <v>702285</v>
      </c>
      <c r="B157" s="9" t="s">
        <v>244</v>
      </c>
      <c r="C157" s="10" t="s">
        <v>15</v>
      </c>
      <c r="D157" s="11">
        <v>44334</v>
      </c>
      <c r="E157" s="9" t="s">
        <v>245</v>
      </c>
      <c r="F157" s="9">
        <v>37101</v>
      </c>
      <c r="G157" s="9" t="s">
        <v>214</v>
      </c>
      <c r="H157" s="9" t="s">
        <v>18</v>
      </c>
      <c r="J157" s="9" t="s">
        <v>215</v>
      </c>
      <c r="K157" s="9" t="s">
        <v>216</v>
      </c>
      <c r="N157" s="9" t="str">
        <f t="shared" si="2"/>
        <v>CARSON NEVES</v>
      </c>
    </row>
    <row r="158" spans="1:14" x14ac:dyDescent="0.3">
      <c r="A158" s="9">
        <v>703619</v>
      </c>
      <c r="B158" s="9" t="s">
        <v>246</v>
      </c>
      <c r="C158" s="10" t="s">
        <v>15</v>
      </c>
      <c r="D158" s="11">
        <v>44991</v>
      </c>
      <c r="E158" s="9" t="s">
        <v>149</v>
      </c>
      <c r="F158" s="9">
        <v>39302</v>
      </c>
      <c r="G158" s="9" t="s">
        <v>102</v>
      </c>
      <c r="H158" s="9" t="s">
        <v>18</v>
      </c>
      <c r="J158" s="9" t="s">
        <v>57</v>
      </c>
      <c r="K158" s="9" t="s">
        <v>1371</v>
      </c>
      <c r="L158" s="9" t="s">
        <v>1376</v>
      </c>
      <c r="M158" s="9" t="s">
        <v>1635</v>
      </c>
      <c r="N158" s="9" t="str">
        <f t="shared" si="2"/>
        <v>WARLEY RIBEIRO / EUDES FERNANDES</v>
      </c>
    </row>
    <row r="159" spans="1:14" x14ac:dyDescent="0.3">
      <c r="A159" s="9">
        <v>705784</v>
      </c>
      <c r="B159" s="9" t="s">
        <v>1517</v>
      </c>
      <c r="C159" s="10" t="s">
        <v>15</v>
      </c>
      <c r="D159" s="11">
        <v>46035</v>
      </c>
      <c r="E159" s="9" t="s">
        <v>31</v>
      </c>
      <c r="F159" s="9">
        <v>25201</v>
      </c>
      <c r="G159" s="9" t="s">
        <v>89</v>
      </c>
      <c r="H159" s="9" t="s">
        <v>18</v>
      </c>
      <c r="J159" s="9" t="s">
        <v>19</v>
      </c>
      <c r="K159" s="9" t="s">
        <v>1368</v>
      </c>
      <c r="L159" s="9" t="s">
        <v>20</v>
      </c>
      <c r="M159" s="9" t="s">
        <v>1632</v>
      </c>
      <c r="N159" s="9" t="str">
        <f t="shared" si="2"/>
        <v>THIAGO MARCOS</v>
      </c>
    </row>
    <row r="160" spans="1:14" x14ac:dyDescent="0.3">
      <c r="A160" s="9">
        <v>705750</v>
      </c>
      <c r="B160" s="9" t="s">
        <v>806</v>
      </c>
      <c r="C160" s="10" t="s">
        <v>15</v>
      </c>
      <c r="D160" s="11">
        <v>45993</v>
      </c>
      <c r="E160" s="9" t="s">
        <v>31</v>
      </c>
      <c r="F160" s="9">
        <v>25201</v>
      </c>
      <c r="G160" s="9" t="s">
        <v>89</v>
      </c>
      <c r="H160" s="9" t="s">
        <v>18</v>
      </c>
      <c r="J160" s="9" t="s">
        <v>19</v>
      </c>
      <c r="K160" s="9" t="s">
        <v>1368</v>
      </c>
      <c r="L160" s="9" t="s">
        <v>20</v>
      </c>
      <c r="M160" s="9" t="s">
        <v>1632</v>
      </c>
      <c r="N160" s="9" t="str">
        <f t="shared" si="2"/>
        <v>THIAGO MARCOS</v>
      </c>
    </row>
    <row r="161" spans="1:14" x14ac:dyDescent="0.3">
      <c r="A161" s="9">
        <v>105406</v>
      </c>
      <c r="B161" s="9" t="s">
        <v>247</v>
      </c>
      <c r="C161" s="10" t="s">
        <v>15</v>
      </c>
      <c r="D161" s="11">
        <v>42842</v>
      </c>
      <c r="E161" s="9" t="s">
        <v>141</v>
      </c>
      <c r="F161" s="9">
        <v>34101</v>
      </c>
      <c r="G161" s="9" t="s">
        <v>43</v>
      </c>
      <c r="H161" s="9" t="s">
        <v>18</v>
      </c>
      <c r="J161" s="9" t="s">
        <v>65</v>
      </c>
      <c r="K161" s="9" t="s">
        <v>25</v>
      </c>
      <c r="L161" s="9" t="s">
        <v>1375</v>
      </c>
      <c r="N161" s="9" t="str">
        <f t="shared" si="2"/>
        <v>ANDRÉ CUBA</v>
      </c>
    </row>
    <row r="162" spans="1:14" x14ac:dyDescent="0.3">
      <c r="A162" s="9">
        <v>705728</v>
      </c>
      <c r="B162" s="9" t="s">
        <v>1446</v>
      </c>
      <c r="C162" s="10" t="s">
        <v>15</v>
      </c>
      <c r="D162" s="11">
        <v>45972</v>
      </c>
      <c r="E162" s="9" t="s">
        <v>31</v>
      </c>
      <c r="F162" s="9">
        <v>51219</v>
      </c>
      <c r="G162" s="9" t="s">
        <v>61</v>
      </c>
      <c r="H162" s="9" t="s">
        <v>18</v>
      </c>
      <c r="J162" s="9" t="s">
        <v>19</v>
      </c>
      <c r="K162" s="9" t="s">
        <v>1368</v>
      </c>
      <c r="L162" s="9" t="s">
        <v>20</v>
      </c>
      <c r="M162" s="9" t="s">
        <v>1632</v>
      </c>
      <c r="N162" s="9" t="str">
        <f t="shared" si="2"/>
        <v>THIAGO MARCOS</v>
      </c>
    </row>
    <row r="163" spans="1:14" x14ac:dyDescent="0.3">
      <c r="A163" s="9">
        <v>100221</v>
      </c>
      <c r="B163" s="9" t="s">
        <v>248</v>
      </c>
      <c r="C163" s="10" t="s">
        <v>15</v>
      </c>
      <c r="D163" s="11">
        <v>41557</v>
      </c>
      <c r="E163" s="9" t="s">
        <v>245</v>
      </c>
      <c r="F163" s="9">
        <v>37101</v>
      </c>
      <c r="G163" s="9" t="s">
        <v>214</v>
      </c>
      <c r="H163" s="9" t="s">
        <v>18</v>
      </c>
      <c r="J163" s="9" t="s">
        <v>215</v>
      </c>
      <c r="K163" s="9" t="s">
        <v>216</v>
      </c>
      <c r="N163" s="9" t="str">
        <f t="shared" si="2"/>
        <v>CARSON NEVES</v>
      </c>
    </row>
    <row r="164" spans="1:14" x14ac:dyDescent="0.3">
      <c r="A164" s="9">
        <v>705227</v>
      </c>
      <c r="B164" s="9" t="s">
        <v>1158</v>
      </c>
      <c r="C164" s="10" t="s">
        <v>15</v>
      </c>
      <c r="D164" s="11">
        <v>45734</v>
      </c>
      <c r="E164" s="9" t="s">
        <v>31</v>
      </c>
      <c r="F164" s="9">
        <v>22102</v>
      </c>
      <c r="G164" s="9" t="s">
        <v>68</v>
      </c>
      <c r="H164" s="9" t="s">
        <v>18</v>
      </c>
      <c r="J164" s="9" t="s">
        <v>167</v>
      </c>
      <c r="K164" s="9" t="s">
        <v>1371</v>
      </c>
      <c r="L164" s="9" t="s">
        <v>1509</v>
      </c>
      <c r="M164" s="9" t="s">
        <v>1636</v>
      </c>
      <c r="N164" s="9" t="str">
        <f t="shared" si="2"/>
        <v>FABIANO DIAS</v>
      </c>
    </row>
    <row r="165" spans="1:14" x14ac:dyDescent="0.3">
      <c r="A165" s="9">
        <v>705729</v>
      </c>
      <c r="B165" s="9" t="s">
        <v>1448</v>
      </c>
      <c r="C165" s="10" t="s">
        <v>15</v>
      </c>
      <c r="D165" s="11">
        <v>45972</v>
      </c>
      <c r="E165" s="9" t="s">
        <v>31</v>
      </c>
      <c r="F165" s="9">
        <v>51219</v>
      </c>
      <c r="G165" s="9" t="s">
        <v>61</v>
      </c>
      <c r="H165" s="9" t="s">
        <v>18</v>
      </c>
      <c r="J165" s="9" t="s">
        <v>19</v>
      </c>
      <c r="K165" s="9" t="s">
        <v>1368</v>
      </c>
      <c r="L165" s="9" t="s">
        <v>20</v>
      </c>
      <c r="M165" s="9" t="s">
        <v>1632</v>
      </c>
      <c r="N165" s="9" t="str">
        <f t="shared" si="2"/>
        <v>THIAGO MARCOS</v>
      </c>
    </row>
    <row r="166" spans="1:14" x14ac:dyDescent="0.3">
      <c r="A166" s="9">
        <v>701487</v>
      </c>
      <c r="B166" s="9" t="s">
        <v>250</v>
      </c>
      <c r="C166" s="10" t="s">
        <v>15</v>
      </c>
      <c r="D166" s="11">
        <v>43873</v>
      </c>
      <c r="E166" s="9" t="s">
        <v>251</v>
      </c>
      <c r="F166" s="9">
        <v>39302</v>
      </c>
      <c r="G166" s="9" t="s">
        <v>102</v>
      </c>
      <c r="H166" s="9" t="s">
        <v>18</v>
      </c>
      <c r="J166" s="9" t="s">
        <v>1652</v>
      </c>
      <c r="K166" s="9" t="s">
        <v>1371</v>
      </c>
      <c r="L166" s="9" t="s">
        <v>1376</v>
      </c>
      <c r="N166" s="9" t="str">
        <f t="shared" si="2"/>
        <v>ALDAIR BORGES</v>
      </c>
    </row>
    <row r="167" spans="1:14" x14ac:dyDescent="0.3">
      <c r="A167" s="9">
        <v>705765</v>
      </c>
      <c r="B167" s="9" t="s">
        <v>1480</v>
      </c>
      <c r="C167" s="10" t="s">
        <v>15</v>
      </c>
      <c r="D167" s="11">
        <v>45993</v>
      </c>
      <c r="E167" s="9" t="s">
        <v>31</v>
      </c>
      <c r="F167" s="9">
        <v>51219</v>
      </c>
      <c r="G167" s="9" t="s">
        <v>61</v>
      </c>
      <c r="H167" s="9" t="s">
        <v>18</v>
      </c>
      <c r="J167" s="9" t="s">
        <v>19</v>
      </c>
      <c r="K167" s="9" t="s">
        <v>1368</v>
      </c>
      <c r="L167" s="9" t="s">
        <v>20</v>
      </c>
      <c r="M167" s="9" t="s">
        <v>1632</v>
      </c>
      <c r="N167" s="9" t="str">
        <f t="shared" si="2"/>
        <v>THIAGO MARCOS</v>
      </c>
    </row>
    <row r="168" spans="1:14" x14ac:dyDescent="0.3">
      <c r="A168" s="9">
        <v>704117</v>
      </c>
      <c r="B168" s="9" t="s">
        <v>252</v>
      </c>
      <c r="C168" s="10" t="s">
        <v>15</v>
      </c>
      <c r="D168" s="11">
        <v>45238</v>
      </c>
      <c r="E168" s="9" t="s">
        <v>31</v>
      </c>
      <c r="F168" s="9">
        <v>51219</v>
      </c>
      <c r="G168" s="9" t="s">
        <v>61</v>
      </c>
      <c r="H168" s="9" t="s">
        <v>18</v>
      </c>
      <c r="J168" s="9" t="s">
        <v>19</v>
      </c>
      <c r="K168" s="9" t="s">
        <v>1368</v>
      </c>
      <c r="L168" s="9" t="s">
        <v>20</v>
      </c>
      <c r="M168" s="9" t="s">
        <v>1632</v>
      </c>
      <c r="N168" s="9" t="str">
        <f t="shared" si="2"/>
        <v>THIAGO MARCOS</v>
      </c>
    </row>
    <row r="169" spans="1:14" x14ac:dyDescent="0.3">
      <c r="A169" s="9">
        <v>105584</v>
      </c>
      <c r="B169" s="9" t="s">
        <v>253</v>
      </c>
      <c r="C169" s="10" t="s">
        <v>15</v>
      </c>
      <c r="D169" s="11">
        <v>42926</v>
      </c>
      <c r="E169" s="9" t="s">
        <v>97</v>
      </c>
      <c r="F169" s="9">
        <v>32101</v>
      </c>
      <c r="G169" s="9" t="s">
        <v>23</v>
      </c>
      <c r="H169" s="9" t="s">
        <v>18</v>
      </c>
      <c r="J169" s="9" t="s">
        <v>24</v>
      </c>
      <c r="K169" s="9" t="s">
        <v>25</v>
      </c>
      <c r="L169" s="9" t="s">
        <v>1369</v>
      </c>
      <c r="M169" s="9" t="s">
        <v>1370</v>
      </c>
      <c r="N169" s="9" t="str">
        <f t="shared" si="2"/>
        <v>JUNIO COSTA</v>
      </c>
    </row>
    <row r="170" spans="1:14" x14ac:dyDescent="0.3">
      <c r="A170" s="9">
        <v>704119</v>
      </c>
      <c r="B170" s="9" t="s">
        <v>254</v>
      </c>
      <c r="C170" s="10" t="s">
        <v>15</v>
      </c>
      <c r="D170" s="11">
        <v>45238</v>
      </c>
      <c r="E170" s="9" t="s">
        <v>1346</v>
      </c>
      <c r="F170" s="9">
        <v>39201</v>
      </c>
      <c r="G170" s="9" t="s">
        <v>153</v>
      </c>
      <c r="H170" s="9" t="s">
        <v>18</v>
      </c>
      <c r="J170" s="9" t="s">
        <v>154</v>
      </c>
      <c r="K170" s="9" t="s">
        <v>50</v>
      </c>
      <c r="L170" s="9" t="s">
        <v>1382</v>
      </c>
      <c r="M170" s="9" t="s">
        <v>1382</v>
      </c>
      <c r="N170" s="9" t="str">
        <f t="shared" si="2"/>
        <v>ADENILTON RODRIGUES</v>
      </c>
    </row>
    <row r="171" spans="1:14" x14ac:dyDescent="0.3">
      <c r="A171" s="9">
        <v>705047</v>
      </c>
      <c r="B171" s="9" t="s">
        <v>819</v>
      </c>
      <c r="C171" s="10" t="s">
        <v>15</v>
      </c>
      <c r="D171" s="11">
        <v>45644</v>
      </c>
      <c r="E171" s="9" t="s">
        <v>31</v>
      </c>
      <c r="F171" s="9">
        <v>22102</v>
      </c>
      <c r="G171" s="9" t="s">
        <v>68</v>
      </c>
      <c r="H171" s="9" t="s">
        <v>18</v>
      </c>
      <c r="J171" s="9" t="s">
        <v>81</v>
      </c>
      <c r="K171" s="9" t="s">
        <v>1371</v>
      </c>
      <c r="L171" s="9" t="s">
        <v>1509</v>
      </c>
      <c r="M171" s="9" t="s">
        <v>1379</v>
      </c>
      <c r="N171" s="9" t="str">
        <f t="shared" si="2"/>
        <v xml:space="preserve">EDSON/MARCELO LIMA </v>
      </c>
    </row>
    <row r="172" spans="1:14" x14ac:dyDescent="0.3">
      <c r="A172" s="9">
        <v>702601</v>
      </c>
      <c r="B172" s="9" t="s">
        <v>259</v>
      </c>
      <c r="C172" s="10" t="s">
        <v>15</v>
      </c>
      <c r="D172" s="11">
        <v>44482</v>
      </c>
      <c r="E172" s="9" t="s">
        <v>260</v>
      </c>
      <c r="F172" s="9">
        <v>22102</v>
      </c>
      <c r="G172" s="9" t="s">
        <v>68</v>
      </c>
      <c r="H172" s="9" t="s">
        <v>18</v>
      </c>
      <c r="J172" s="9" t="s">
        <v>1648</v>
      </c>
      <c r="K172" s="9" t="s">
        <v>1371</v>
      </c>
      <c r="L172" s="9" t="s">
        <v>1509</v>
      </c>
      <c r="N172" s="9" t="str">
        <f t="shared" si="2"/>
        <v>MAURICIO SANTOS</v>
      </c>
    </row>
    <row r="173" spans="1:14" x14ac:dyDescent="0.3">
      <c r="A173" s="9">
        <v>705635</v>
      </c>
      <c r="B173" s="9" t="s">
        <v>1401</v>
      </c>
      <c r="C173" s="10" t="s">
        <v>15</v>
      </c>
      <c r="D173" s="11">
        <v>45937</v>
      </c>
      <c r="E173" s="9" t="s">
        <v>31</v>
      </c>
      <c r="F173" s="9">
        <v>38101</v>
      </c>
      <c r="G173" s="9" t="s">
        <v>35</v>
      </c>
      <c r="H173" s="9" t="s">
        <v>18</v>
      </c>
      <c r="J173" s="9" t="s">
        <v>36</v>
      </c>
      <c r="K173" s="9" t="s">
        <v>1372</v>
      </c>
      <c r="L173" s="9" t="s">
        <v>1373</v>
      </c>
      <c r="M173" s="9" t="s">
        <v>1373</v>
      </c>
      <c r="N173" s="9" t="str">
        <f t="shared" si="2"/>
        <v>DENIS ACASSIO</v>
      </c>
    </row>
    <row r="174" spans="1:14" x14ac:dyDescent="0.3">
      <c r="A174" s="9">
        <v>702661</v>
      </c>
      <c r="B174" s="9" t="s">
        <v>261</v>
      </c>
      <c r="C174" s="10" t="s">
        <v>15</v>
      </c>
      <c r="D174" s="11">
        <v>44509</v>
      </c>
      <c r="E174" s="9" t="s">
        <v>105</v>
      </c>
      <c r="F174" s="9">
        <v>22102</v>
      </c>
      <c r="G174" s="9" t="s">
        <v>68</v>
      </c>
      <c r="H174" s="9" t="s">
        <v>18</v>
      </c>
      <c r="J174" s="9" t="s">
        <v>167</v>
      </c>
      <c r="K174" s="9" t="s">
        <v>1371</v>
      </c>
      <c r="L174" s="9" t="s">
        <v>1509</v>
      </c>
      <c r="M174" s="9" t="s">
        <v>1636</v>
      </c>
      <c r="N174" s="9" t="str">
        <f t="shared" si="2"/>
        <v>FABIANO DIAS</v>
      </c>
    </row>
    <row r="175" spans="1:14" x14ac:dyDescent="0.3">
      <c r="A175" s="9">
        <v>700671</v>
      </c>
      <c r="B175" s="9" t="s">
        <v>262</v>
      </c>
      <c r="C175" s="10" t="s">
        <v>15</v>
      </c>
      <c r="D175" s="11">
        <v>43381</v>
      </c>
      <c r="E175" s="9" t="s">
        <v>80</v>
      </c>
      <c r="F175" s="9">
        <v>22102</v>
      </c>
      <c r="G175" s="9" t="s">
        <v>68</v>
      </c>
      <c r="H175" s="9" t="s">
        <v>18</v>
      </c>
      <c r="J175" s="9" t="s">
        <v>81</v>
      </c>
      <c r="K175" s="9" t="s">
        <v>1371</v>
      </c>
      <c r="L175" s="9" t="s">
        <v>1509</v>
      </c>
      <c r="M175" s="9" t="s">
        <v>1379</v>
      </c>
      <c r="N175" s="9" t="str">
        <f t="shared" si="2"/>
        <v xml:space="preserve">EDSON/MARCELO LIMA </v>
      </c>
    </row>
    <row r="176" spans="1:14" x14ac:dyDescent="0.3">
      <c r="A176" s="9">
        <v>705140</v>
      </c>
      <c r="B176" s="9" t="s">
        <v>1141</v>
      </c>
      <c r="C176" s="10" t="s">
        <v>15</v>
      </c>
      <c r="D176" s="11">
        <v>45698</v>
      </c>
      <c r="E176" s="9" t="s">
        <v>31</v>
      </c>
      <c r="F176" s="9">
        <v>52104</v>
      </c>
      <c r="G176" s="9" t="s">
        <v>17</v>
      </c>
      <c r="H176" s="9" t="s">
        <v>18</v>
      </c>
      <c r="J176" s="9" t="s">
        <v>19</v>
      </c>
      <c r="K176" s="9" t="s">
        <v>1368</v>
      </c>
      <c r="L176" s="9" t="s">
        <v>20</v>
      </c>
      <c r="M176" s="9" t="s">
        <v>1632</v>
      </c>
      <c r="N176" s="9" t="str">
        <f t="shared" si="2"/>
        <v>THIAGO MARCOS</v>
      </c>
    </row>
    <row r="177" spans="1:14" x14ac:dyDescent="0.3">
      <c r="A177" s="9">
        <v>702331</v>
      </c>
      <c r="B177" s="9" t="s">
        <v>263</v>
      </c>
      <c r="C177" s="10" t="s">
        <v>15</v>
      </c>
      <c r="D177" s="11">
        <v>44355</v>
      </c>
      <c r="E177" s="9" t="s">
        <v>105</v>
      </c>
      <c r="F177" s="9">
        <v>22102</v>
      </c>
      <c r="G177" s="9" t="s">
        <v>68</v>
      </c>
      <c r="H177" s="9" t="s">
        <v>18</v>
      </c>
      <c r="J177" s="9" t="s">
        <v>142</v>
      </c>
      <c r="K177" s="9" t="s">
        <v>1371</v>
      </c>
      <c r="L177" s="9" t="s">
        <v>1509</v>
      </c>
      <c r="M177" s="9" t="s">
        <v>1633</v>
      </c>
      <c r="N177" s="9" t="str">
        <f t="shared" si="2"/>
        <v>CRISTIANO BARBOSA</v>
      </c>
    </row>
    <row r="178" spans="1:14" x14ac:dyDescent="0.3">
      <c r="A178" s="9">
        <v>704146</v>
      </c>
      <c r="B178" s="9" t="s">
        <v>264</v>
      </c>
      <c r="C178" s="10" t="s">
        <v>15</v>
      </c>
      <c r="D178" s="11">
        <v>45264</v>
      </c>
      <c r="E178" s="9" t="s">
        <v>138</v>
      </c>
      <c r="F178" s="9">
        <v>22102</v>
      </c>
      <c r="G178" s="9" t="s">
        <v>68</v>
      </c>
      <c r="H178" s="9" t="s">
        <v>18</v>
      </c>
      <c r="J178" s="9" t="s">
        <v>81</v>
      </c>
      <c r="K178" s="9" t="s">
        <v>1371</v>
      </c>
      <c r="L178" s="9" t="s">
        <v>1509</v>
      </c>
      <c r="M178" s="9" t="s">
        <v>1379</v>
      </c>
      <c r="N178" s="9" t="str">
        <f t="shared" si="2"/>
        <v xml:space="preserve">EDSON/MARCELO LIMA </v>
      </c>
    </row>
    <row r="179" spans="1:14" x14ac:dyDescent="0.3">
      <c r="A179" s="9">
        <v>705881</v>
      </c>
      <c r="B179" s="9" t="s">
        <v>1543</v>
      </c>
      <c r="C179" s="10" t="s">
        <v>15</v>
      </c>
      <c r="D179" s="11">
        <v>46063</v>
      </c>
      <c r="E179" s="9" t="s">
        <v>138</v>
      </c>
      <c r="F179" s="9">
        <v>52104</v>
      </c>
      <c r="G179" s="9" t="s">
        <v>17</v>
      </c>
      <c r="H179" s="9" t="s">
        <v>18</v>
      </c>
      <c r="J179" s="9" t="s">
        <v>19</v>
      </c>
      <c r="K179" s="9" t="s">
        <v>1368</v>
      </c>
      <c r="L179" s="9" t="s">
        <v>20</v>
      </c>
      <c r="M179" s="9" t="s">
        <v>1632</v>
      </c>
      <c r="N179" s="9" t="str">
        <f t="shared" si="2"/>
        <v>THIAGO MARCOS</v>
      </c>
    </row>
    <row r="180" spans="1:14" x14ac:dyDescent="0.3">
      <c r="A180" s="9">
        <v>704143</v>
      </c>
      <c r="B180" s="9" t="s">
        <v>265</v>
      </c>
      <c r="C180" s="10" t="s">
        <v>15</v>
      </c>
      <c r="D180" s="11">
        <v>45264</v>
      </c>
      <c r="E180" s="9" t="s">
        <v>31</v>
      </c>
      <c r="F180" s="9">
        <v>22102</v>
      </c>
      <c r="G180" s="9" t="s">
        <v>68</v>
      </c>
      <c r="H180" s="9" t="s">
        <v>18</v>
      </c>
      <c r="J180" s="9" t="s">
        <v>81</v>
      </c>
      <c r="K180" s="9" t="s">
        <v>1371</v>
      </c>
      <c r="L180" s="9" t="s">
        <v>1509</v>
      </c>
      <c r="M180" s="9" t="s">
        <v>1379</v>
      </c>
      <c r="N180" s="9" t="str">
        <f t="shared" si="2"/>
        <v xml:space="preserve">EDSON/MARCELO LIMA </v>
      </c>
    </row>
    <row r="181" spans="1:14" x14ac:dyDescent="0.3">
      <c r="A181" s="9">
        <v>705957</v>
      </c>
      <c r="B181" s="9" t="s">
        <v>1653</v>
      </c>
      <c r="C181" s="10" t="s">
        <v>15</v>
      </c>
      <c r="D181" s="11">
        <v>46119</v>
      </c>
      <c r="E181" s="9" t="s">
        <v>77</v>
      </c>
      <c r="F181" s="9">
        <v>38107</v>
      </c>
      <c r="G181" s="9" t="s">
        <v>1503</v>
      </c>
      <c r="H181" s="9" t="s">
        <v>18</v>
      </c>
      <c r="J181" s="9" t="s">
        <v>78</v>
      </c>
      <c r="K181" s="9" t="s">
        <v>1372</v>
      </c>
      <c r="N181" s="9" t="str">
        <f t="shared" si="2"/>
        <v xml:space="preserve">LEIDJANE MARTINS </v>
      </c>
    </row>
    <row r="182" spans="1:14" x14ac:dyDescent="0.3">
      <c r="A182" s="9">
        <v>702700</v>
      </c>
      <c r="B182" s="9" t="s">
        <v>266</v>
      </c>
      <c r="C182" s="10" t="s">
        <v>15</v>
      </c>
      <c r="D182" s="11">
        <v>44572</v>
      </c>
      <c r="E182" s="9" t="s">
        <v>60</v>
      </c>
      <c r="F182" s="9">
        <v>22102</v>
      </c>
      <c r="G182" s="9" t="s">
        <v>68</v>
      </c>
      <c r="H182" s="9" t="s">
        <v>18</v>
      </c>
      <c r="J182" s="9" t="s">
        <v>69</v>
      </c>
      <c r="K182" s="9" t="s">
        <v>1371</v>
      </c>
      <c r="L182" s="9" t="s">
        <v>1378</v>
      </c>
      <c r="N182" s="9" t="str">
        <f t="shared" si="2"/>
        <v xml:space="preserve">JOÃO KOMURA </v>
      </c>
    </row>
    <row r="183" spans="1:14" x14ac:dyDescent="0.3">
      <c r="A183" s="9">
        <v>705156</v>
      </c>
      <c r="B183" s="9" t="s">
        <v>1159</v>
      </c>
      <c r="C183" s="10" t="s">
        <v>15</v>
      </c>
      <c r="D183" s="11">
        <v>45720</v>
      </c>
      <c r="E183" s="9" t="s">
        <v>91</v>
      </c>
      <c r="F183" s="9">
        <v>34201</v>
      </c>
      <c r="G183" s="9" t="s">
        <v>84</v>
      </c>
      <c r="H183" s="9" t="s">
        <v>18</v>
      </c>
      <c r="J183" s="9" t="s">
        <v>85</v>
      </c>
      <c r="K183" s="9" t="s">
        <v>1371</v>
      </c>
      <c r="L183" s="9" t="s">
        <v>1380</v>
      </c>
      <c r="M183" s="9" t="s">
        <v>1380</v>
      </c>
      <c r="N183" s="9" t="str">
        <f t="shared" si="2"/>
        <v xml:space="preserve">LEONARDO SANTOS </v>
      </c>
    </row>
    <row r="184" spans="1:14" x14ac:dyDescent="0.3">
      <c r="A184" s="9">
        <v>703110</v>
      </c>
      <c r="B184" s="9" t="s">
        <v>267</v>
      </c>
      <c r="C184" s="10" t="s">
        <v>15</v>
      </c>
      <c r="D184" s="11">
        <v>44713</v>
      </c>
      <c r="E184" s="9" t="s">
        <v>1215</v>
      </c>
      <c r="F184" s="9">
        <v>33101</v>
      </c>
      <c r="G184" s="9" t="s">
        <v>186</v>
      </c>
      <c r="H184" s="9" t="s">
        <v>18</v>
      </c>
      <c r="J184" s="9" t="s">
        <v>44</v>
      </c>
      <c r="K184" s="9" t="s">
        <v>25</v>
      </c>
      <c r="L184" s="9" t="s">
        <v>1385</v>
      </c>
      <c r="N184" s="9" t="str">
        <f t="shared" si="2"/>
        <v>TALLES RYAN</v>
      </c>
    </row>
    <row r="185" spans="1:14" x14ac:dyDescent="0.3">
      <c r="A185" s="9">
        <v>705540</v>
      </c>
      <c r="B185" s="9" t="s">
        <v>1294</v>
      </c>
      <c r="C185" s="10" t="s">
        <v>15</v>
      </c>
      <c r="D185" s="11">
        <v>45847</v>
      </c>
      <c r="E185" s="9" t="s">
        <v>1295</v>
      </c>
      <c r="F185" s="9">
        <v>32101</v>
      </c>
      <c r="G185" s="9" t="s">
        <v>23</v>
      </c>
      <c r="H185" s="9" t="s">
        <v>18</v>
      </c>
      <c r="J185" s="9" t="s">
        <v>1642</v>
      </c>
      <c r="K185" s="9" t="s">
        <v>25</v>
      </c>
      <c r="N185" s="9" t="str">
        <f t="shared" si="2"/>
        <v>RAFAEL XAVIER</v>
      </c>
    </row>
    <row r="186" spans="1:14" x14ac:dyDescent="0.3">
      <c r="A186" s="9">
        <v>705032</v>
      </c>
      <c r="B186" s="9" t="s">
        <v>826</v>
      </c>
      <c r="C186" s="10" t="s">
        <v>15</v>
      </c>
      <c r="D186" s="11">
        <v>45636</v>
      </c>
      <c r="E186" s="9" t="s">
        <v>22</v>
      </c>
      <c r="F186" s="9">
        <v>32101</v>
      </c>
      <c r="G186" s="9" t="s">
        <v>23</v>
      </c>
      <c r="H186" s="9" t="s">
        <v>18</v>
      </c>
      <c r="J186" s="9" t="s">
        <v>24</v>
      </c>
      <c r="K186" s="9" t="s">
        <v>25</v>
      </c>
      <c r="L186" s="9" t="s">
        <v>1369</v>
      </c>
      <c r="M186" s="9" t="s">
        <v>1370</v>
      </c>
      <c r="N186" s="9" t="str">
        <f t="shared" si="2"/>
        <v>JUNIO COSTA</v>
      </c>
    </row>
    <row r="187" spans="1:14" x14ac:dyDescent="0.3">
      <c r="A187" s="9">
        <v>704532</v>
      </c>
      <c r="B187" s="9" t="s">
        <v>269</v>
      </c>
      <c r="C187" s="10" t="s">
        <v>15</v>
      </c>
      <c r="D187" s="11">
        <v>45426</v>
      </c>
      <c r="E187" s="9" t="s">
        <v>270</v>
      </c>
      <c r="F187" s="9">
        <v>39302</v>
      </c>
      <c r="G187" s="9" t="s">
        <v>102</v>
      </c>
      <c r="H187" s="9" t="s">
        <v>18</v>
      </c>
      <c r="J187" s="9" t="s">
        <v>57</v>
      </c>
      <c r="K187" s="9" t="s">
        <v>1371</v>
      </c>
      <c r="L187" s="9" t="s">
        <v>1376</v>
      </c>
      <c r="M187" s="9" t="s">
        <v>1635</v>
      </c>
      <c r="N187" s="9" t="str">
        <f t="shared" si="2"/>
        <v>WARLEY RIBEIRO / EUDES FERNANDES</v>
      </c>
    </row>
    <row r="188" spans="1:14" x14ac:dyDescent="0.3">
      <c r="A188" s="9">
        <v>705739</v>
      </c>
      <c r="B188" s="9" t="s">
        <v>1481</v>
      </c>
      <c r="C188" s="10" t="s">
        <v>15</v>
      </c>
      <c r="D188" s="11">
        <v>45993</v>
      </c>
      <c r="E188" s="9" t="s">
        <v>166</v>
      </c>
      <c r="F188" s="9">
        <v>22102</v>
      </c>
      <c r="G188" s="9" t="s">
        <v>68</v>
      </c>
      <c r="H188" s="9" t="s">
        <v>18</v>
      </c>
      <c r="J188" s="9" t="s">
        <v>94</v>
      </c>
      <c r="K188" s="9" t="s">
        <v>1371</v>
      </c>
      <c r="L188" s="9" t="s">
        <v>1378</v>
      </c>
      <c r="M188" s="9" t="s">
        <v>95</v>
      </c>
      <c r="N188" s="9" t="str">
        <f t="shared" si="2"/>
        <v>LUAN ABADIA</v>
      </c>
    </row>
    <row r="189" spans="1:14" x14ac:dyDescent="0.3">
      <c r="A189" s="9">
        <v>100885</v>
      </c>
      <c r="B189" s="9" t="s">
        <v>272</v>
      </c>
      <c r="C189" s="10" t="s">
        <v>15</v>
      </c>
      <c r="D189" s="11">
        <v>42450</v>
      </c>
      <c r="E189" s="9" t="s">
        <v>16</v>
      </c>
      <c r="F189" s="9">
        <v>38101</v>
      </c>
      <c r="G189" s="9" t="s">
        <v>35</v>
      </c>
      <c r="H189" s="9" t="s">
        <v>18</v>
      </c>
      <c r="J189" s="9" t="s">
        <v>36</v>
      </c>
      <c r="K189" s="9" t="s">
        <v>1372</v>
      </c>
      <c r="L189" s="9" t="s">
        <v>1373</v>
      </c>
      <c r="M189" s="9" t="s">
        <v>1373</v>
      </c>
      <c r="N189" s="9" t="str">
        <f t="shared" si="2"/>
        <v>DENIS ACASSIO</v>
      </c>
    </row>
    <row r="190" spans="1:14" x14ac:dyDescent="0.3">
      <c r="A190" s="9">
        <v>702751</v>
      </c>
      <c r="B190" s="9" t="s">
        <v>125</v>
      </c>
      <c r="C190" s="10" t="s">
        <v>15</v>
      </c>
      <c r="D190" s="11">
        <v>44601</v>
      </c>
      <c r="E190" s="9" t="s">
        <v>422</v>
      </c>
      <c r="F190" s="9">
        <v>22101</v>
      </c>
      <c r="G190" s="9" t="s">
        <v>122</v>
      </c>
      <c r="H190" s="9" t="s">
        <v>18</v>
      </c>
      <c r="J190" s="9" t="s">
        <v>273</v>
      </c>
      <c r="K190" s="9" t="s">
        <v>124</v>
      </c>
      <c r="N190" s="9" t="str">
        <f t="shared" si="2"/>
        <v>MATHEUS FERNANDES</v>
      </c>
    </row>
    <row r="191" spans="1:14" x14ac:dyDescent="0.3">
      <c r="A191" s="9">
        <v>700334</v>
      </c>
      <c r="B191" s="9" t="s">
        <v>274</v>
      </c>
      <c r="C191" s="10" t="s">
        <v>15</v>
      </c>
      <c r="D191" s="11">
        <v>43292</v>
      </c>
      <c r="E191" s="9" t="s">
        <v>109</v>
      </c>
      <c r="F191" s="9">
        <v>32101</v>
      </c>
      <c r="G191" s="9" t="s">
        <v>23</v>
      </c>
      <c r="H191" s="9" t="s">
        <v>18</v>
      </c>
      <c r="J191" s="9" t="s">
        <v>24</v>
      </c>
      <c r="K191" s="9" t="s">
        <v>25</v>
      </c>
      <c r="L191" s="9" t="s">
        <v>1369</v>
      </c>
      <c r="M191" s="9" t="s">
        <v>1370</v>
      </c>
      <c r="N191" s="9" t="str">
        <f t="shared" si="2"/>
        <v>JUNIO COSTA</v>
      </c>
    </row>
    <row r="192" spans="1:14" x14ac:dyDescent="0.3">
      <c r="A192" s="9">
        <v>702334</v>
      </c>
      <c r="B192" s="9" t="s">
        <v>275</v>
      </c>
      <c r="C192" s="10" t="s">
        <v>15</v>
      </c>
      <c r="D192" s="11">
        <v>44354</v>
      </c>
      <c r="E192" s="9" t="s">
        <v>60</v>
      </c>
      <c r="F192" s="9">
        <v>22102</v>
      </c>
      <c r="G192" s="9" t="s">
        <v>68</v>
      </c>
      <c r="H192" s="9" t="s">
        <v>18</v>
      </c>
      <c r="J192" s="9" t="s">
        <v>167</v>
      </c>
      <c r="K192" s="9" t="s">
        <v>1371</v>
      </c>
      <c r="L192" s="9" t="s">
        <v>1509</v>
      </c>
      <c r="M192" s="9" t="s">
        <v>1636</v>
      </c>
      <c r="N192" s="9" t="str">
        <f t="shared" si="2"/>
        <v>FABIANO DIAS</v>
      </c>
    </row>
    <row r="193" spans="1:14" x14ac:dyDescent="0.3">
      <c r="A193" s="9">
        <v>703257</v>
      </c>
      <c r="B193" s="9" t="s">
        <v>279</v>
      </c>
      <c r="C193" s="10" t="s">
        <v>15</v>
      </c>
      <c r="D193" s="11">
        <v>44781</v>
      </c>
      <c r="E193" s="9" t="s">
        <v>164</v>
      </c>
      <c r="F193" s="9">
        <v>39301</v>
      </c>
      <c r="G193" s="9" t="s">
        <v>73</v>
      </c>
      <c r="H193" s="9" t="s">
        <v>18</v>
      </c>
      <c r="J193" s="9" t="s">
        <v>74</v>
      </c>
      <c r="K193" s="9" t="s">
        <v>1371</v>
      </c>
      <c r="L193" s="9" t="s">
        <v>1376</v>
      </c>
      <c r="M193" s="9" t="s">
        <v>75</v>
      </c>
      <c r="N193" s="9" t="str">
        <f t="shared" si="2"/>
        <v>ISAC NONATO</v>
      </c>
    </row>
    <row r="194" spans="1:14" x14ac:dyDescent="0.3">
      <c r="A194" s="9">
        <v>705317</v>
      </c>
      <c r="B194" s="9" t="s">
        <v>1216</v>
      </c>
      <c r="C194" s="10" t="s">
        <v>15</v>
      </c>
      <c r="D194" s="11">
        <v>45784</v>
      </c>
      <c r="E194" s="9" t="s">
        <v>31</v>
      </c>
      <c r="F194" s="9">
        <v>52104</v>
      </c>
      <c r="G194" s="9" t="s">
        <v>17</v>
      </c>
      <c r="H194" s="9" t="s">
        <v>18</v>
      </c>
      <c r="J194" s="9" t="s">
        <v>19</v>
      </c>
      <c r="K194" s="9" t="s">
        <v>1368</v>
      </c>
      <c r="L194" s="9" t="s">
        <v>20</v>
      </c>
      <c r="M194" s="9" t="s">
        <v>1632</v>
      </c>
      <c r="N194" s="9" t="str">
        <f t="shared" si="2"/>
        <v>THIAGO MARCOS</v>
      </c>
    </row>
    <row r="195" spans="1:14" x14ac:dyDescent="0.3">
      <c r="A195" s="9">
        <v>705755</v>
      </c>
      <c r="B195" s="9" t="s">
        <v>1482</v>
      </c>
      <c r="C195" s="10" t="s">
        <v>15</v>
      </c>
      <c r="D195" s="11">
        <v>45993</v>
      </c>
      <c r="E195" s="9" t="s">
        <v>31</v>
      </c>
      <c r="F195" s="9">
        <v>52104</v>
      </c>
      <c r="G195" s="9" t="s">
        <v>17</v>
      </c>
      <c r="H195" s="9" t="s">
        <v>18</v>
      </c>
      <c r="J195" s="9" t="s">
        <v>19</v>
      </c>
      <c r="K195" s="9" t="s">
        <v>1368</v>
      </c>
      <c r="L195" s="9" t="s">
        <v>20</v>
      </c>
      <c r="M195" s="9" t="s">
        <v>1632</v>
      </c>
      <c r="N195" s="9" t="str">
        <f t="shared" ref="N195:N258" si="3">IF(M195&lt;&gt;"", M195, IF(L195&lt;&gt;"", L195, K195))</f>
        <v>THIAGO MARCOS</v>
      </c>
    </row>
    <row r="196" spans="1:14" x14ac:dyDescent="0.3">
      <c r="A196" s="9">
        <v>705468</v>
      </c>
      <c r="B196" s="9" t="s">
        <v>1276</v>
      </c>
      <c r="C196" s="10" t="s">
        <v>15</v>
      </c>
      <c r="D196" s="11">
        <v>45812</v>
      </c>
      <c r="E196" s="9" t="s">
        <v>31</v>
      </c>
      <c r="F196" s="9">
        <v>39301</v>
      </c>
      <c r="G196" s="9" t="s">
        <v>73</v>
      </c>
      <c r="H196" s="9" t="s">
        <v>18</v>
      </c>
      <c r="J196" s="9" t="s">
        <v>74</v>
      </c>
      <c r="K196" s="9" t="s">
        <v>1371</v>
      </c>
      <c r="L196" s="9" t="s">
        <v>1376</v>
      </c>
      <c r="M196" s="9" t="s">
        <v>75</v>
      </c>
      <c r="N196" s="9" t="str">
        <f t="shared" si="3"/>
        <v>ISAC NONATO</v>
      </c>
    </row>
    <row r="197" spans="1:14" x14ac:dyDescent="0.3">
      <c r="A197" s="9">
        <v>704176</v>
      </c>
      <c r="B197" s="9" t="s">
        <v>280</v>
      </c>
      <c r="C197" s="10" t="s">
        <v>15</v>
      </c>
      <c r="D197" s="11">
        <v>45272</v>
      </c>
      <c r="E197" s="9" t="s">
        <v>141</v>
      </c>
      <c r="F197" s="9">
        <v>22102</v>
      </c>
      <c r="G197" s="9" t="s">
        <v>68</v>
      </c>
      <c r="H197" s="9" t="s">
        <v>18</v>
      </c>
      <c r="J197" s="9" t="s">
        <v>81</v>
      </c>
      <c r="K197" s="9" t="s">
        <v>1371</v>
      </c>
      <c r="L197" s="9" t="s">
        <v>1509</v>
      </c>
      <c r="M197" s="9" t="s">
        <v>1379</v>
      </c>
      <c r="N197" s="9" t="str">
        <f t="shared" si="3"/>
        <v xml:space="preserve">EDSON/MARCELO LIMA </v>
      </c>
    </row>
    <row r="198" spans="1:14" x14ac:dyDescent="0.3">
      <c r="A198" s="9">
        <v>705906</v>
      </c>
      <c r="B198" s="9" t="s">
        <v>1607</v>
      </c>
      <c r="C198" s="10" t="s">
        <v>15</v>
      </c>
      <c r="D198" s="11">
        <v>46091</v>
      </c>
      <c r="E198" s="9" t="s">
        <v>31</v>
      </c>
      <c r="F198" s="9">
        <v>25201</v>
      </c>
      <c r="G198" s="9" t="s">
        <v>89</v>
      </c>
      <c r="H198" s="9" t="s">
        <v>18</v>
      </c>
      <c r="J198" s="9" t="s">
        <v>19</v>
      </c>
      <c r="K198" s="9" t="s">
        <v>1368</v>
      </c>
      <c r="L198" s="9" t="s">
        <v>20</v>
      </c>
      <c r="M198" s="9" t="s">
        <v>1632</v>
      </c>
      <c r="N198" s="9" t="str">
        <f t="shared" si="3"/>
        <v>THIAGO MARCOS</v>
      </c>
    </row>
    <row r="199" spans="1:14" x14ac:dyDescent="0.3">
      <c r="A199" s="9">
        <v>705563</v>
      </c>
      <c r="B199" s="9" t="s">
        <v>1313</v>
      </c>
      <c r="C199" s="10" t="s">
        <v>15</v>
      </c>
      <c r="D199" s="11">
        <v>45881</v>
      </c>
      <c r="E199" s="9" t="s">
        <v>31</v>
      </c>
      <c r="F199" s="9">
        <v>52104</v>
      </c>
      <c r="G199" s="9" t="s">
        <v>17</v>
      </c>
      <c r="H199" s="9" t="s">
        <v>18</v>
      </c>
      <c r="J199" s="9" t="s">
        <v>19</v>
      </c>
      <c r="K199" s="9" t="s">
        <v>1368</v>
      </c>
      <c r="L199" s="9" t="s">
        <v>20</v>
      </c>
      <c r="M199" s="9" t="s">
        <v>1632</v>
      </c>
      <c r="N199" s="9" t="str">
        <f t="shared" si="3"/>
        <v>THIAGO MARCOS</v>
      </c>
    </row>
    <row r="200" spans="1:14" x14ac:dyDescent="0.3">
      <c r="A200" s="9">
        <v>102082</v>
      </c>
      <c r="B200" s="9" t="s">
        <v>281</v>
      </c>
      <c r="C200" s="10" t="s">
        <v>15</v>
      </c>
      <c r="D200" s="11">
        <v>41646</v>
      </c>
      <c r="E200" s="9" t="s">
        <v>40</v>
      </c>
      <c r="F200" s="9">
        <v>52104</v>
      </c>
      <c r="G200" s="9" t="s">
        <v>17</v>
      </c>
      <c r="H200" s="9" t="s">
        <v>18</v>
      </c>
      <c r="J200" s="9" t="s">
        <v>37</v>
      </c>
      <c r="K200" s="9" t="s">
        <v>1368</v>
      </c>
      <c r="L200" s="9" t="s">
        <v>20</v>
      </c>
      <c r="M200" s="9" t="s">
        <v>1634</v>
      </c>
      <c r="N200" s="9" t="str">
        <f t="shared" si="3"/>
        <v>IRON SANTOS</v>
      </c>
    </row>
    <row r="201" spans="1:14" x14ac:dyDescent="0.3">
      <c r="A201" s="9">
        <v>703579</v>
      </c>
      <c r="B201" s="9" t="s">
        <v>283</v>
      </c>
      <c r="C201" s="10" t="s">
        <v>15</v>
      </c>
      <c r="D201" s="11">
        <v>44970</v>
      </c>
      <c r="E201" s="9" t="s">
        <v>97</v>
      </c>
      <c r="F201" s="9">
        <v>32101</v>
      </c>
      <c r="G201" s="9" t="s">
        <v>23</v>
      </c>
      <c r="H201" s="9" t="s">
        <v>18</v>
      </c>
      <c r="J201" s="9" t="s">
        <v>24</v>
      </c>
      <c r="K201" s="9" t="s">
        <v>25</v>
      </c>
      <c r="L201" s="9" t="s">
        <v>1369</v>
      </c>
      <c r="M201" s="9" t="s">
        <v>1370</v>
      </c>
      <c r="N201" s="9" t="str">
        <f t="shared" si="3"/>
        <v>JUNIO COSTA</v>
      </c>
    </row>
    <row r="202" spans="1:14" x14ac:dyDescent="0.3">
      <c r="A202" s="9">
        <v>705597</v>
      </c>
      <c r="B202" s="9" t="s">
        <v>1314</v>
      </c>
      <c r="C202" s="10" t="s">
        <v>15</v>
      </c>
      <c r="D202" s="11">
        <v>45888</v>
      </c>
      <c r="E202" s="9" t="s">
        <v>213</v>
      </c>
      <c r="F202" s="9">
        <v>41504</v>
      </c>
      <c r="G202" s="9" t="s">
        <v>1275</v>
      </c>
      <c r="H202" s="9" t="s">
        <v>18</v>
      </c>
      <c r="J202" s="9" t="s">
        <v>19</v>
      </c>
      <c r="K202" s="9" t="s">
        <v>1368</v>
      </c>
      <c r="L202" s="9" t="s">
        <v>20</v>
      </c>
      <c r="M202" s="9" t="s">
        <v>1632</v>
      </c>
      <c r="N202" s="9" t="str">
        <f t="shared" si="3"/>
        <v>THIAGO MARCOS</v>
      </c>
    </row>
    <row r="203" spans="1:14" x14ac:dyDescent="0.3">
      <c r="A203" s="9">
        <v>705963</v>
      </c>
      <c r="B203" s="9" t="s">
        <v>1654</v>
      </c>
      <c r="C203" s="10" t="s">
        <v>15</v>
      </c>
      <c r="D203" s="11">
        <v>46119</v>
      </c>
      <c r="E203" s="9" t="s">
        <v>77</v>
      </c>
      <c r="F203" s="9">
        <v>38107</v>
      </c>
      <c r="G203" s="9" t="s">
        <v>1503</v>
      </c>
      <c r="H203" s="9" t="s">
        <v>18</v>
      </c>
      <c r="J203" s="9" t="s">
        <v>78</v>
      </c>
      <c r="K203" s="9" t="s">
        <v>1372</v>
      </c>
      <c r="N203" s="9" t="str">
        <f t="shared" si="3"/>
        <v xml:space="preserve">LEIDJANE MARTINS </v>
      </c>
    </row>
    <row r="204" spans="1:14" x14ac:dyDescent="0.3">
      <c r="A204" s="9">
        <v>703722</v>
      </c>
      <c r="B204" s="9" t="s">
        <v>284</v>
      </c>
      <c r="C204" s="10" t="s">
        <v>15</v>
      </c>
      <c r="D204" s="11">
        <v>45026</v>
      </c>
      <c r="E204" s="9" t="s">
        <v>16</v>
      </c>
      <c r="F204" s="9">
        <v>22102</v>
      </c>
      <c r="G204" s="9" t="s">
        <v>68</v>
      </c>
      <c r="H204" s="9" t="s">
        <v>18</v>
      </c>
      <c r="J204" s="9" t="s">
        <v>69</v>
      </c>
      <c r="K204" s="9" t="s">
        <v>1371</v>
      </c>
      <c r="L204" s="9" t="s">
        <v>1378</v>
      </c>
      <c r="N204" s="9" t="str">
        <f t="shared" si="3"/>
        <v xml:space="preserve">JOÃO KOMURA </v>
      </c>
    </row>
    <row r="205" spans="1:14" x14ac:dyDescent="0.3">
      <c r="A205" s="9">
        <v>703463</v>
      </c>
      <c r="B205" s="9" t="s">
        <v>285</v>
      </c>
      <c r="C205" s="10" t="s">
        <v>15</v>
      </c>
      <c r="D205" s="11">
        <v>44881</v>
      </c>
      <c r="E205" s="9" t="s">
        <v>156</v>
      </c>
      <c r="F205" s="9">
        <v>38101</v>
      </c>
      <c r="G205" s="9" t="s">
        <v>35</v>
      </c>
      <c r="H205" s="9" t="s">
        <v>18</v>
      </c>
      <c r="J205" s="9" t="s">
        <v>36</v>
      </c>
      <c r="K205" s="9" t="s">
        <v>1372</v>
      </c>
      <c r="L205" s="9" t="s">
        <v>1373</v>
      </c>
      <c r="M205" s="9" t="s">
        <v>1373</v>
      </c>
      <c r="N205" s="9" t="str">
        <f t="shared" si="3"/>
        <v>DENIS ACASSIO</v>
      </c>
    </row>
    <row r="206" spans="1:14" x14ac:dyDescent="0.3">
      <c r="A206" s="9">
        <v>705691</v>
      </c>
      <c r="B206" s="9" t="s">
        <v>1449</v>
      </c>
      <c r="C206" s="10" t="s">
        <v>15</v>
      </c>
      <c r="D206" s="11">
        <v>45971</v>
      </c>
      <c r="E206" s="9" t="s">
        <v>474</v>
      </c>
      <c r="F206" s="9">
        <v>32101</v>
      </c>
      <c r="G206" s="9" t="s">
        <v>23</v>
      </c>
      <c r="H206" s="9" t="s">
        <v>18</v>
      </c>
      <c r="J206" s="9" t="s">
        <v>24</v>
      </c>
      <c r="K206" s="9" t="s">
        <v>25</v>
      </c>
      <c r="L206" s="9" t="s">
        <v>1369</v>
      </c>
      <c r="M206" s="9" t="s">
        <v>1370</v>
      </c>
      <c r="N206" s="9" t="str">
        <f t="shared" si="3"/>
        <v>JUNIO COSTA</v>
      </c>
    </row>
    <row r="207" spans="1:14" x14ac:dyDescent="0.3">
      <c r="A207" s="9">
        <v>705357</v>
      </c>
      <c r="B207" s="9" t="s">
        <v>1217</v>
      </c>
      <c r="C207" s="10" t="s">
        <v>15</v>
      </c>
      <c r="D207" s="11">
        <v>45784</v>
      </c>
      <c r="E207" s="9" t="s">
        <v>31</v>
      </c>
      <c r="F207" s="9">
        <v>39304</v>
      </c>
      <c r="G207" s="9" t="s">
        <v>56</v>
      </c>
      <c r="H207" s="9" t="s">
        <v>18</v>
      </c>
      <c r="J207" s="9" t="s">
        <v>57</v>
      </c>
      <c r="K207" s="9" t="s">
        <v>1371</v>
      </c>
      <c r="L207" s="9" t="s">
        <v>1376</v>
      </c>
      <c r="M207" s="9" t="s">
        <v>1635</v>
      </c>
      <c r="N207" s="9" t="str">
        <f t="shared" si="3"/>
        <v>WARLEY RIBEIRO / EUDES FERNANDES</v>
      </c>
    </row>
    <row r="208" spans="1:14" x14ac:dyDescent="0.3">
      <c r="A208" s="9">
        <v>702912</v>
      </c>
      <c r="B208" s="9" t="s">
        <v>287</v>
      </c>
      <c r="C208" s="10" t="s">
        <v>15</v>
      </c>
      <c r="D208" s="11">
        <v>44656</v>
      </c>
      <c r="E208" s="9" t="s">
        <v>105</v>
      </c>
      <c r="F208" s="9">
        <v>22102</v>
      </c>
      <c r="G208" s="9" t="s">
        <v>68</v>
      </c>
      <c r="H208" s="9" t="s">
        <v>18</v>
      </c>
      <c r="J208" s="9" t="s">
        <v>142</v>
      </c>
      <c r="K208" s="9" t="s">
        <v>1371</v>
      </c>
      <c r="L208" s="9" t="s">
        <v>1509</v>
      </c>
      <c r="M208" s="9" t="s">
        <v>1633</v>
      </c>
      <c r="N208" s="9" t="str">
        <f t="shared" si="3"/>
        <v>CRISTIANO BARBOSA</v>
      </c>
    </row>
    <row r="209" spans="1:14" x14ac:dyDescent="0.3">
      <c r="A209" s="9">
        <v>100691</v>
      </c>
      <c r="B209" s="9" t="s">
        <v>288</v>
      </c>
      <c r="C209" s="10" t="s">
        <v>15</v>
      </c>
      <c r="D209" s="11">
        <v>42010</v>
      </c>
      <c r="E209" s="9" t="s">
        <v>1214</v>
      </c>
      <c r="F209" s="9">
        <v>34101</v>
      </c>
      <c r="G209" s="9" t="s">
        <v>43</v>
      </c>
      <c r="H209" s="9" t="s">
        <v>18</v>
      </c>
      <c r="J209" s="9" t="s">
        <v>237</v>
      </c>
      <c r="K209" s="9" t="s">
        <v>25</v>
      </c>
      <c r="L209" s="9" t="s">
        <v>1384</v>
      </c>
      <c r="N209" s="9" t="str">
        <f t="shared" si="3"/>
        <v xml:space="preserve">MARCOS VINICIUS </v>
      </c>
    </row>
    <row r="210" spans="1:14" x14ac:dyDescent="0.3">
      <c r="A210" s="9">
        <v>704740</v>
      </c>
      <c r="B210" s="9" t="s">
        <v>289</v>
      </c>
      <c r="C210" s="10" t="s">
        <v>15</v>
      </c>
      <c r="D210" s="11">
        <v>45538</v>
      </c>
      <c r="E210" s="9" t="s">
        <v>1218</v>
      </c>
      <c r="F210" s="9">
        <v>33301</v>
      </c>
      <c r="G210" s="9" t="s">
        <v>64</v>
      </c>
      <c r="H210" s="9" t="s">
        <v>18</v>
      </c>
      <c r="J210" s="9" t="s">
        <v>65</v>
      </c>
      <c r="K210" s="9" t="s">
        <v>25</v>
      </c>
      <c r="L210" s="9" t="s">
        <v>1375</v>
      </c>
      <c r="N210" s="9" t="str">
        <f t="shared" si="3"/>
        <v>ANDRÉ CUBA</v>
      </c>
    </row>
    <row r="211" spans="1:14" x14ac:dyDescent="0.3">
      <c r="A211" s="9">
        <v>101016</v>
      </c>
      <c r="B211" s="9" t="s">
        <v>290</v>
      </c>
      <c r="C211" s="10" t="s">
        <v>15</v>
      </c>
      <c r="D211" s="11">
        <v>42632</v>
      </c>
      <c r="E211" s="9" t="s">
        <v>291</v>
      </c>
      <c r="F211" s="9">
        <v>34201</v>
      </c>
      <c r="G211" s="9" t="s">
        <v>84</v>
      </c>
      <c r="H211" s="9" t="s">
        <v>18</v>
      </c>
      <c r="J211" s="9" t="s">
        <v>85</v>
      </c>
      <c r="K211" s="9" t="s">
        <v>1371</v>
      </c>
      <c r="L211" s="9" t="s">
        <v>1380</v>
      </c>
      <c r="M211" s="9" t="s">
        <v>1380</v>
      </c>
      <c r="N211" s="9" t="str">
        <f t="shared" si="3"/>
        <v xml:space="preserve">LEONARDO SANTOS </v>
      </c>
    </row>
    <row r="212" spans="1:14" x14ac:dyDescent="0.3">
      <c r="A212" s="9">
        <v>705961</v>
      </c>
      <c r="B212" s="9" t="s">
        <v>1655</v>
      </c>
      <c r="C212" s="10" t="s">
        <v>15</v>
      </c>
      <c r="D212" s="11">
        <v>46119</v>
      </c>
      <c r="E212" s="9" t="s">
        <v>77</v>
      </c>
      <c r="F212" s="9">
        <v>38107</v>
      </c>
      <c r="G212" s="9" t="s">
        <v>1503</v>
      </c>
      <c r="H212" s="9" t="s">
        <v>18</v>
      </c>
      <c r="J212" s="9" t="s">
        <v>78</v>
      </c>
      <c r="K212" s="9" t="s">
        <v>1372</v>
      </c>
      <c r="N212" s="9" t="str">
        <f t="shared" si="3"/>
        <v xml:space="preserve">LEIDJANE MARTINS </v>
      </c>
    </row>
    <row r="213" spans="1:14" x14ac:dyDescent="0.3">
      <c r="A213" s="9">
        <v>705801</v>
      </c>
      <c r="B213" s="9" t="s">
        <v>1519</v>
      </c>
      <c r="C213" s="10" t="s">
        <v>15</v>
      </c>
      <c r="D213" s="11">
        <v>46029</v>
      </c>
      <c r="E213" s="9" t="s">
        <v>67</v>
      </c>
      <c r="F213" s="9">
        <v>22101</v>
      </c>
      <c r="G213" s="9" t="s">
        <v>122</v>
      </c>
      <c r="H213" s="9" t="s">
        <v>18</v>
      </c>
      <c r="J213" s="9" t="s">
        <v>123</v>
      </c>
      <c r="K213" s="9" t="s">
        <v>124</v>
      </c>
      <c r="N213" s="9" t="str">
        <f t="shared" si="3"/>
        <v>MATHEUS FERNANDES</v>
      </c>
    </row>
    <row r="214" spans="1:14" x14ac:dyDescent="0.3">
      <c r="A214" s="9">
        <v>704004</v>
      </c>
      <c r="B214" s="9" t="s">
        <v>293</v>
      </c>
      <c r="C214" s="10" t="s">
        <v>15</v>
      </c>
      <c r="D214" s="11">
        <v>45118</v>
      </c>
      <c r="E214" s="9" t="s">
        <v>294</v>
      </c>
      <c r="F214" s="9">
        <v>22101</v>
      </c>
      <c r="G214" s="9" t="s">
        <v>122</v>
      </c>
      <c r="H214" s="9" t="s">
        <v>18</v>
      </c>
      <c r="J214" s="9" t="s">
        <v>123</v>
      </c>
      <c r="K214" s="9" t="s">
        <v>124</v>
      </c>
      <c r="N214" s="9" t="str">
        <f t="shared" si="3"/>
        <v>MATHEUS FERNANDES</v>
      </c>
    </row>
    <row r="215" spans="1:14" x14ac:dyDescent="0.3">
      <c r="A215" s="9">
        <v>705433</v>
      </c>
      <c r="B215" s="9" t="s">
        <v>1255</v>
      </c>
      <c r="C215" s="10" t="s">
        <v>15</v>
      </c>
      <c r="D215" s="11">
        <v>45797</v>
      </c>
      <c r="E215" s="9" t="s">
        <v>31</v>
      </c>
      <c r="F215" s="9">
        <v>22102</v>
      </c>
      <c r="G215" s="9" t="s">
        <v>68</v>
      </c>
      <c r="H215" s="9" t="s">
        <v>18</v>
      </c>
      <c r="J215" s="9" t="s">
        <v>81</v>
      </c>
      <c r="K215" s="9" t="s">
        <v>1371</v>
      </c>
      <c r="L215" s="9" t="s">
        <v>1509</v>
      </c>
      <c r="M215" s="9" t="s">
        <v>1379</v>
      </c>
      <c r="N215" s="9" t="str">
        <f t="shared" si="3"/>
        <v xml:space="preserve">EDSON/MARCELO LIMA </v>
      </c>
    </row>
    <row r="216" spans="1:14" x14ac:dyDescent="0.3">
      <c r="A216" s="9">
        <v>705768</v>
      </c>
      <c r="B216" s="9" t="s">
        <v>1499</v>
      </c>
      <c r="C216" s="10" t="s">
        <v>15</v>
      </c>
      <c r="D216" s="11">
        <v>45993</v>
      </c>
      <c r="E216" s="9" t="s">
        <v>31</v>
      </c>
      <c r="F216" s="9">
        <v>52104</v>
      </c>
      <c r="G216" s="9" t="s">
        <v>17</v>
      </c>
      <c r="H216" s="9" t="s">
        <v>18</v>
      </c>
      <c r="J216" s="9" t="s">
        <v>19</v>
      </c>
      <c r="K216" s="9" t="s">
        <v>1368</v>
      </c>
      <c r="L216" s="9" t="s">
        <v>20</v>
      </c>
      <c r="M216" s="9" t="s">
        <v>1632</v>
      </c>
      <c r="N216" s="9" t="str">
        <f t="shared" si="3"/>
        <v>THIAGO MARCOS</v>
      </c>
    </row>
    <row r="217" spans="1:14" x14ac:dyDescent="0.3">
      <c r="A217" s="9">
        <v>704262</v>
      </c>
      <c r="B217" s="9" t="s">
        <v>295</v>
      </c>
      <c r="C217" s="10" t="s">
        <v>15</v>
      </c>
      <c r="D217" s="11">
        <v>45342</v>
      </c>
      <c r="E217" s="9" t="s">
        <v>138</v>
      </c>
      <c r="F217" s="9">
        <v>22102</v>
      </c>
      <c r="G217" s="9" t="s">
        <v>68</v>
      </c>
      <c r="H217" s="9" t="s">
        <v>18</v>
      </c>
      <c r="J217" s="9" t="s">
        <v>81</v>
      </c>
      <c r="K217" s="9" t="s">
        <v>1371</v>
      </c>
      <c r="L217" s="9" t="s">
        <v>1509</v>
      </c>
      <c r="M217" s="9" t="s">
        <v>1379</v>
      </c>
      <c r="N217" s="9" t="str">
        <f t="shared" si="3"/>
        <v xml:space="preserve">EDSON/MARCELO LIMA </v>
      </c>
    </row>
    <row r="218" spans="1:14" x14ac:dyDescent="0.3">
      <c r="A218" s="9">
        <v>700820</v>
      </c>
      <c r="B218" s="9" t="s">
        <v>296</v>
      </c>
      <c r="C218" s="10" t="s">
        <v>15</v>
      </c>
      <c r="D218" s="11">
        <v>43437</v>
      </c>
      <c r="E218" s="9" t="s">
        <v>166</v>
      </c>
      <c r="F218" s="9">
        <v>22102</v>
      </c>
      <c r="G218" s="9" t="s">
        <v>68</v>
      </c>
      <c r="H218" s="9" t="s">
        <v>18</v>
      </c>
      <c r="J218" s="9" t="s">
        <v>167</v>
      </c>
      <c r="K218" s="9" t="s">
        <v>1371</v>
      </c>
      <c r="L218" s="9" t="s">
        <v>1509</v>
      </c>
      <c r="M218" s="9" t="s">
        <v>1636</v>
      </c>
      <c r="N218" s="9" t="str">
        <f t="shared" si="3"/>
        <v>FABIANO DIAS</v>
      </c>
    </row>
    <row r="219" spans="1:14" x14ac:dyDescent="0.3">
      <c r="A219" s="9">
        <v>702815</v>
      </c>
      <c r="B219" s="9" t="s">
        <v>297</v>
      </c>
      <c r="C219" s="10" t="s">
        <v>15</v>
      </c>
      <c r="D219" s="11">
        <v>44613</v>
      </c>
      <c r="E219" s="9" t="s">
        <v>60</v>
      </c>
      <c r="F219" s="9">
        <v>52104</v>
      </c>
      <c r="G219" s="9" t="s">
        <v>17</v>
      </c>
      <c r="H219" s="9" t="s">
        <v>18</v>
      </c>
      <c r="J219" s="9" t="s">
        <v>19</v>
      </c>
      <c r="K219" s="9" t="s">
        <v>1368</v>
      </c>
      <c r="L219" s="9" t="s">
        <v>20</v>
      </c>
      <c r="M219" s="9" t="s">
        <v>1632</v>
      </c>
      <c r="N219" s="9" t="str">
        <f t="shared" si="3"/>
        <v>THIAGO MARCOS</v>
      </c>
    </row>
    <row r="220" spans="1:14" x14ac:dyDescent="0.3">
      <c r="A220" s="9">
        <v>705067</v>
      </c>
      <c r="B220" s="9" t="s">
        <v>298</v>
      </c>
      <c r="C220" s="10" t="s">
        <v>15</v>
      </c>
      <c r="D220" s="11">
        <v>45670</v>
      </c>
      <c r="E220" s="9" t="s">
        <v>40</v>
      </c>
      <c r="F220" s="9">
        <v>51219</v>
      </c>
      <c r="G220" s="9" t="s">
        <v>61</v>
      </c>
      <c r="H220" s="9" t="s">
        <v>18</v>
      </c>
      <c r="J220" s="9" t="s">
        <v>37</v>
      </c>
      <c r="K220" s="9" t="s">
        <v>1368</v>
      </c>
      <c r="L220" s="9" t="s">
        <v>20</v>
      </c>
      <c r="M220" s="9" t="s">
        <v>1634</v>
      </c>
      <c r="N220" s="9" t="str">
        <f t="shared" si="3"/>
        <v>IRON SANTOS</v>
      </c>
    </row>
    <row r="221" spans="1:14" x14ac:dyDescent="0.3">
      <c r="A221" s="9">
        <v>702592</v>
      </c>
      <c r="B221" s="9" t="s">
        <v>300</v>
      </c>
      <c r="C221" s="10" t="s">
        <v>15</v>
      </c>
      <c r="D221" s="11">
        <v>44474</v>
      </c>
      <c r="E221" s="9" t="s">
        <v>173</v>
      </c>
      <c r="F221" s="9">
        <v>32101</v>
      </c>
      <c r="G221" s="9" t="s">
        <v>23</v>
      </c>
      <c r="H221" s="9" t="s">
        <v>18</v>
      </c>
      <c r="J221" s="9" t="s">
        <v>24</v>
      </c>
      <c r="K221" s="9" t="s">
        <v>25</v>
      </c>
      <c r="L221" s="9" t="s">
        <v>1369</v>
      </c>
      <c r="M221" s="9" t="s">
        <v>1370</v>
      </c>
      <c r="N221" s="9" t="str">
        <f t="shared" si="3"/>
        <v>JUNIO COSTA</v>
      </c>
    </row>
    <row r="222" spans="1:14" x14ac:dyDescent="0.3">
      <c r="A222" s="9">
        <v>705840</v>
      </c>
      <c r="B222" s="9" t="s">
        <v>1608</v>
      </c>
      <c r="C222" s="10" t="s">
        <v>15</v>
      </c>
      <c r="D222" s="11">
        <v>46091</v>
      </c>
      <c r="E222" s="9" t="s">
        <v>31</v>
      </c>
      <c r="F222" s="9">
        <v>52104</v>
      </c>
      <c r="G222" s="9" t="s">
        <v>17</v>
      </c>
      <c r="H222" s="9" t="s">
        <v>18</v>
      </c>
      <c r="J222" s="9" t="s">
        <v>19</v>
      </c>
      <c r="K222" s="9" t="s">
        <v>1368</v>
      </c>
      <c r="L222" s="9" t="s">
        <v>20</v>
      </c>
      <c r="M222" s="9" t="s">
        <v>1632</v>
      </c>
      <c r="N222" s="9" t="str">
        <f t="shared" si="3"/>
        <v>THIAGO MARCOS</v>
      </c>
    </row>
    <row r="223" spans="1:14" x14ac:dyDescent="0.3">
      <c r="A223" s="9">
        <v>101799</v>
      </c>
      <c r="B223" s="9" t="s">
        <v>301</v>
      </c>
      <c r="C223" s="10" t="s">
        <v>15</v>
      </c>
      <c r="D223" s="11">
        <v>43080</v>
      </c>
      <c r="E223" s="9" t="s">
        <v>71</v>
      </c>
      <c r="F223" s="9">
        <v>25201</v>
      </c>
      <c r="G223" s="9" t="s">
        <v>89</v>
      </c>
      <c r="H223" s="9" t="s">
        <v>18</v>
      </c>
      <c r="J223" s="9" t="s">
        <v>19</v>
      </c>
      <c r="K223" s="9" t="s">
        <v>1368</v>
      </c>
      <c r="L223" s="9" t="s">
        <v>20</v>
      </c>
      <c r="M223" s="9" t="s">
        <v>1632</v>
      </c>
      <c r="N223" s="9" t="str">
        <f t="shared" si="3"/>
        <v>THIAGO MARCOS</v>
      </c>
    </row>
    <row r="224" spans="1:14" x14ac:dyDescent="0.3">
      <c r="A224" s="9">
        <v>700672</v>
      </c>
      <c r="B224" s="9" t="s">
        <v>856</v>
      </c>
      <c r="C224" s="10" t="s">
        <v>15</v>
      </c>
      <c r="D224" s="11">
        <v>43381</v>
      </c>
      <c r="E224" s="9" t="s">
        <v>166</v>
      </c>
      <c r="F224" s="9">
        <v>22102</v>
      </c>
      <c r="G224" s="9" t="s">
        <v>68</v>
      </c>
      <c r="H224" s="9" t="s">
        <v>18</v>
      </c>
      <c r="J224" s="9" t="s">
        <v>81</v>
      </c>
      <c r="K224" s="9" t="s">
        <v>1371</v>
      </c>
      <c r="L224" s="9" t="s">
        <v>1509</v>
      </c>
      <c r="M224" s="9" t="s">
        <v>1379</v>
      </c>
      <c r="N224" s="9" t="str">
        <f t="shared" si="3"/>
        <v xml:space="preserve">EDSON/MARCELO LIMA </v>
      </c>
    </row>
    <row r="225" spans="1:14" x14ac:dyDescent="0.3">
      <c r="A225" s="9">
        <v>706049</v>
      </c>
      <c r="B225" s="9" t="s">
        <v>1656</v>
      </c>
      <c r="C225" s="10" t="s">
        <v>15</v>
      </c>
      <c r="D225" s="11">
        <v>46125</v>
      </c>
      <c r="E225" s="9" t="s">
        <v>77</v>
      </c>
      <c r="F225" s="9">
        <v>38107</v>
      </c>
      <c r="G225" s="9" t="s">
        <v>1503</v>
      </c>
      <c r="H225" s="9" t="s">
        <v>18</v>
      </c>
      <c r="J225" s="9" t="s">
        <v>78</v>
      </c>
      <c r="K225" s="9" t="s">
        <v>1372</v>
      </c>
      <c r="N225" s="9" t="str">
        <f t="shared" si="3"/>
        <v xml:space="preserve">LEIDJANE MARTINS </v>
      </c>
    </row>
    <row r="226" spans="1:14" x14ac:dyDescent="0.3">
      <c r="A226" s="9">
        <v>703664</v>
      </c>
      <c r="B226" s="9" t="s">
        <v>303</v>
      </c>
      <c r="C226" s="10" t="s">
        <v>15</v>
      </c>
      <c r="D226" s="11">
        <v>44998</v>
      </c>
      <c r="E226" s="9" t="s">
        <v>304</v>
      </c>
      <c r="F226" s="9">
        <v>39302</v>
      </c>
      <c r="G226" s="9" t="s">
        <v>102</v>
      </c>
      <c r="H226" s="9" t="s">
        <v>18</v>
      </c>
      <c r="J226" s="9" t="s">
        <v>57</v>
      </c>
      <c r="K226" s="9" t="s">
        <v>1371</v>
      </c>
      <c r="L226" s="9" t="s">
        <v>1376</v>
      </c>
      <c r="M226" s="9" t="s">
        <v>1635</v>
      </c>
      <c r="N226" s="9" t="str">
        <f t="shared" si="3"/>
        <v>WARLEY RIBEIRO / EUDES FERNANDES</v>
      </c>
    </row>
    <row r="227" spans="1:14" x14ac:dyDescent="0.3">
      <c r="A227" s="9">
        <v>704147</v>
      </c>
      <c r="B227" s="9" t="s">
        <v>305</v>
      </c>
      <c r="C227" s="10" t="s">
        <v>15</v>
      </c>
      <c r="D227" s="11">
        <v>45264</v>
      </c>
      <c r="E227" s="9" t="s">
        <v>138</v>
      </c>
      <c r="F227" s="9">
        <v>22102</v>
      </c>
      <c r="G227" s="9" t="s">
        <v>68</v>
      </c>
      <c r="H227" s="9" t="s">
        <v>18</v>
      </c>
      <c r="J227" s="9" t="s">
        <v>81</v>
      </c>
      <c r="K227" s="9" t="s">
        <v>1371</v>
      </c>
      <c r="L227" s="9" t="s">
        <v>1509</v>
      </c>
      <c r="M227" s="9" t="s">
        <v>1379</v>
      </c>
      <c r="N227" s="9" t="str">
        <f t="shared" si="3"/>
        <v xml:space="preserve">EDSON/MARCELO LIMA </v>
      </c>
    </row>
    <row r="228" spans="1:14" x14ac:dyDescent="0.3">
      <c r="A228" s="9">
        <v>706029</v>
      </c>
      <c r="B228" s="9" t="s">
        <v>1657</v>
      </c>
      <c r="C228" s="10" t="s">
        <v>15</v>
      </c>
      <c r="D228" s="11">
        <v>46126</v>
      </c>
      <c r="E228" s="9" t="s">
        <v>138</v>
      </c>
      <c r="F228" s="9">
        <v>52104</v>
      </c>
      <c r="G228" s="9" t="s">
        <v>17</v>
      </c>
      <c r="H228" s="9" t="s">
        <v>18</v>
      </c>
      <c r="J228" s="9" t="s">
        <v>19</v>
      </c>
      <c r="K228" s="9" t="s">
        <v>1368</v>
      </c>
      <c r="L228" s="9" t="s">
        <v>20</v>
      </c>
      <c r="M228" s="9" t="s">
        <v>1632</v>
      </c>
      <c r="N228" s="9" t="str">
        <f t="shared" si="3"/>
        <v>THIAGO MARCOS</v>
      </c>
    </row>
    <row r="229" spans="1:14" x14ac:dyDescent="0.3">
      <c r="A229" s="9">
        <v>703501</v>
      </c>
      <c r="B229" s="9" t="s">
        <v>306</v>
      </c>
      <c r="C229" s="10" t="s">
        <v>15</v>
      </c>
      <c r="D229" s="11">
        <v>44887</v>
      </c>
      <c r="E229" s="9" t="s">
        <v>141</v>
      </c>
      <c r="F229" s="9">
        <v>22102</v>
      </c>
      <c r="G229" s="9" t="s">
        <v>68</v>
      </c>
      <c r="H229" s="9" t="s">
        <v>18</v>
      </c>
      <c r="J229" s="9" t="s">
        <v>142</v>
      </c>
      <c r="K229" s="9" t="s">
        <v>1371</v>
      </c>
      <c r="L229" s="9" t="s">
        <v>1509</v>
      </c>
      <c r="M229" s="9" t="s">
        <v>1633</v>
      </c>
      <c r="N229" s="9" t="str">
        <f t="shared" si="3"/>
        <v>CRISTIANO BARBOSA</v>
      </c>
    </row>
    <row r="230" spans="1:14" x14ac:dyDescent="0.3">
      <c r="A230" s="9">
        <v>705822</v>
      </c>
      <c r="B230" s="9" t="s">
        <v>1520</v>
      </c>
      <c r="C230" s="10" t="s">
        <v>15</v>
      </c>
      <c r="D230" s="11">
        <v>46035</v>
      </c>
      <c r="E230" s="9" t="s">
        <v>31</v>
      </c>
      <c r="F230" s="9">
        <v>52104</v>
      </c>
      <c r="G230" s="9" t="s">
        <v>17</v>
      </c>
      <c r="H230" s="9" t="s">
        <v>18</v>
      </c>
      <c r="J230" s="9" t="s">
        <v>19</v>
      </c>
      <c r="K230" s="9" t="s">
        <v>1368</v>
      </c>
      <c r="L230" s="9" t="s">
        <v>20</v>
      </c>
      <c r="M230" s="9" t="s">
        <v>1632</v>
      </c>
      <c r="N230" s="9" t="str">
        <f t="shared" si="3"/>
        <v>THIAGO MARCOS</v>
      </c>
    </row>
    <row r="231" spans="1:14" x14ac:dyDescent="0.3">
      <c r="A231" s="9">
        <v>104107</v>
      </c>
      <c r="B231" s="9" t="s">
        <v>307</v>
      </c>
      <c r="C231" s="10" t="s">
        <v>15</v>
      </c>
      <c r="D231" s="11">
        <v>41753</v>
      </c>
      <c r="E231" s="9" t="s">
        <v>260</v>
      </c>
      <c r="F231" s="9">
        <v>52104</v>
      </c>
      <c r="G231" s="9" t="s">
        <v>17</v>
      </c>
      <c r="H231" s="9" t="s">
        <v>18</v>
      </c>
      <c r="J231" s="9" t="s">
        <v>1641</v>
      </c>
      <c r="K231" s="9" t="s">
        <v>1368</v>
      </c>
      <c r="N231" s="9" t="str">
        <f t="shared" si="3"/>
        <v>JOSÉ GOUVEA</v>
      </c>
    </row>
    <row r="232" spans="1:14" x14ac:dyDescent="0.3">
      <c r="A232" s="9">
        <v>701497</v>
      </c>
      <c r="B232" s="9" t="s">
        <v>308</v>
      </c>
      <c r="C232" s="10" t="s">
        <v>15</v>
      </c>
      <c r="D232" s="11">
        <v>43886</v>
      </c>
      <c r="E232" s="9" t="s">
        <v>251</v>
      </c>
      <c r="F232" s="9">
        <v>39301</v>
      </c>
      <c r="G232" s="9" t="s">
        <v>73</v>
      </c>
      <c r="H232" s="9" t="s">
        <v>18</v>
      </c>
      <c r="J232" s="9" t="s">
        <v>1652</v>
      </c>
      <c r="K232" s="9" t="s">
        <v>1371</v>
      </c>
      <c r="L232" s="9" t="s">
        <v>1376</v>
      </c>
      <c r="N232" s="9" t="str">
        <f t="shared" si="3"/>
        <v>ALDAIR BORGES</v>
      </c>
    </row>
    <row r="233" spans="1:14" x14ac:dyDescent="0.3">
      <c r="A233" s="9">
        <v>705511</v>
      </c>
      <c r="B233" s="9" t="s">
        <v>1296</v>
      </c>
      <c r="C233" s="10" t="s">
        <v>15</v>
      </c>
      <c r="D233" s="11">
        <v>45847</v>
      </c>
      <c r="E233" s="9" t="s">
        <v>31</v>
      </c>
      <c r="F233" s="9">
        <v>22102</v>
      </c>
      <c r="G233" s="9" t="s">
        <v>68</v>
      </c>
      <c r="H233" s="9" t="s">
        <v>18</v>
      </c>
      <c r="J233" s="9" t="s">
        <v>142</v>
      </c>
      <c r="K233" s="9" t="s">
        <v>1371</v>
      </c>
      <c r="L233" s="9" t="s">
        <v>1509</v>
      </c>
      <c r="M233" s="9" t="s">
        <v>1633</v>
      </c>
      <c r="N233" s="9" t="str">
        <f t="shared" si="3"/>
        <v>CRISTIANO BARBOSA</v>
      </c>
    </row>
    <row r="234" spans="1:14" x14ac:dyDescent="0.3">
      <c r="A234" s="9">
        <v>702033</v>
      </c>
      <c r="B234" s="9" t="s">
        <v>309</v>
      </c>
      <c r="C234" s="10" t="s">
        <v>15</v>
      </c>
      <c r="D234" s="11">
        <v>44250</v>
      </c>
      <c r="E234" s="9" t="s">
        <v>219</v>
      </c>
      <c r="F234" s="9">
        <v>32101</v>
      </c>
      <c r="G234" s="9" t="s">
        <v>23</v>
      </c>
      <c r="H234" s="9" t="s">
        <v>18</v>
      </c>
      <c r="J234" s="9" t="s">
        <v>24</v>
      </c>
      <c r="K234" s="9" t="s">
        <v>25</v>
      </c>
      <c r="L234" s="9" t="s">
        <v>1369</v>
      </c>
      <c r="M234" s="9" t="s">
        <v>1370</v>
      </c>
      <c r="N234" s="9" t="str">
        <f t="shared" si="3"/>
        <v>JUNIO COSTA</v>
      </c>
    </row>
    <row r="235" spans="1:14" x14ac:dyDescent="0.3">
      <c r="A235" s="9">
        <v>706033</v>
      </c>
      <c r="B235" s="9" t="s">
        <v>1658</v>
      </c>
      <c r="C235" s="10" t="s">
        <v>15</v>
      </c>
      <c r="D235" s="11">
        <v>46126</v>
      </c>
      <c r="E235" s="9" t="s">
        <v>138</v>
      </c>
      <c r="F235" s="9">
        <v>52104</v>
      </c>
      <c r="G235" s="9" t="s">
        <v>17</v>
      </c>
      <c r="H235" s="9" t="s">
        <v>18</v>
      </c>
      <c r="J235" s="9" t="s">
        <v>19</v>
      </c>
      <c r="K235" s="9" t="s">
        <v>1368</v>
      </c>
      <c r="L235" s="9" t="s">
        <v>20</v>
      </c>
      <c r="M235" s="9" t="s">
        <v>1632</v>
      </c>
      <c r="N235" s="9" t="str">
        <f t="shared" si="3"/>
        <v>THIAGO MARCOS</v>
      </c>
    </row>
    <row r="236" spans="1:14" x14ac:dyDescent="0.3">
      <c r="A236" s="9">
        <v>705134</v>
      </c>
      <c r="B236" s="9" t="s">
        <v>1142</v>
      </c>
      <c r="C236" s="10" t="s">
        <v>15</v>
      </c>
      <c r="D236" s="11">
        <v>45698</v>
      </c>
      <c r="E236" s="9" t="s">
        <v>67</v>
      </c>
      <c r="F236" s="9">
        <v>22102</v>
      </c>
      <c r="G236" s="9" t="s">
        <v>68</v>
      </c>
      <c r="H236" s="9" t="s">
        <v>18</v>
      </c>
      <c r="J236" s="9" t="s">
        <v>94</v>
      </c>
      <c r="K236" s="9" t="s">
        <v>1371</v>
      </c>
      <c r="L236" s="9" t="s">
        <v>1378</v>
      </c>
      <c r="M236" s="9" t="s">
        <v>95</v>
      </c>
      <c r="N236" s="9" t="str">
        <f t="shared" si="3"/>
        <v>LUAN ABADIA</v>
      </c>
    </row>
    <row r="237" spans="1:14" x14ac:dyDescent="0.3">
      <c r="A237" s="9">
        <v>705371</v>
      </c>
      <c r="B237" s="9" t="s">
        <v>1219</v>
      </c>
      <c r="C237" s="10" t="s">
        <v>15</v>
      </c>
      <c r="D237" s="11">
        <v>45784</v>
      </c>
      <c r="E237" s="9" t="s">
        <v>93</v>
      </c>
      <c r="F237" s="9">
        <v>22102</v>
      </c>
      <c r="G237" s="9" t="s">
        <v>68</v>
      </c>
      <c r="H237" s="9" t="s">
        <v>18</v>
      </c>
      <c r="J237" s="9" t="s">
        <v>81</v>
      </c>
      <c r="K237" s="9" t="s">
        <v>1371</v>
      </c>
      <c r="L237" s="9" t="s">
        <v>1509</v>
      </c>
      <c r="M237" s="9" t="s">
        <v>1379</v>
      </c>
      <c r="N237" s="9" t="str">
        <f t="shared" si="3"/>
        <v xml:space="preserve">EDSON/MARCELO LIMA </v>
      </c>
    </row>
    <row r="238" spans="1:14" x14ac:dyDescent="0.3">
      <c r="A238" s="9">
        <v>704184</v>
      </c>
      <c r="B238" s="9" t="s">
        <v>310</v>
      </c>
      <c r="C238" s="10" t="s">
        <v>15</v>
      </c>
      <c r="D238" s="11">
        <v>45300</v>
      </c>
      <c r="E238" s="9" t="s">
        <v>97</v>
      </c>
      <c r="F238" s="9">
        <v>32101</v>
      </c>
      <c r="G238" s="9" t="s">
        <v>23</v>
      </c>
      <c r="H238" s="9" t="s">
        <v>18</v>
      </c>
      <c r="J238" s="9" t="s">
        <v>24</v>
      </c>
      <c r="K238" s="9" t="s">
        <v>25</v>
      </c>
      <c r="L238" s="9" t="s">
        <v>1369</v>
      </c>
      <c r="M238" s="9" t="s">
        <v>1370</v>
      </c>
      <c r="N238" s="9" t="str">
        <f t="shared" si="3"/>
        <v>JUNIO COSTA</v>
      </c>
    </row>
    <row r="239" spans="1:14" x14ac:dyDescent="0.3">
      <c r="A239" s="9">
        <v>77013473</v>
      </c>
      <c r="B239" s="9" t="s">
        <v>1659</v>
      </c>
      <c r="C239" s="10" t="s">
        <v>15</v>
      </c>
      <c r="D239" s="11">
        <v>46119</v>
      </c>
      <c r="E239" s="9" t="s">
        <v>77</v>
      </c>
      <c r="F239" s="9">
        <v>38107</v>
      </c>
      <c r="G239" s="9" t="s">
        <v>1503</v>
      </c>
      <c r="H239" s="9" t="s">
        <v>18</v>
      </c>
      <c r="J239" s="9" t="s">
        <v>78</v>
      </c>
      <c r="K239" s="9" t="s">
        <v>1372</v>
      </c>
      <c r="N239" s="9" t="str">
        <f t="shared" si="3"/>
        <v xml:space="preserve">LEIDJANE MARTINS </v>
      </c>
    </row>
    <row r="240" spans="1:14" x14ac:dyDescent="0.3">
      <c r="A240" s="9">
        <v>705697</v>
      </c>
      <c r="B240" s="9" t="s">
        <v>1450</v>
      </c>
      <c r="C240" s="10" t="s">
        <v>15</v>
      </c>
      <c r="D240" s="11">
        <v>45971</v>
      </c>
      <c r="E240" s="9" t="s">
        <v>166</v>
      </c>
      <c r="F240" s="9">
        <v>22102</v>
      </c>
      <c r="G240" s="9" t="s">
        <v>68</v>
      </c>
      <c r="H240" s="9" t="s">
        <v>18</v>
      </c>
      <c r="J240" s="9" t="s">
        <v>94</v>
      </c>
      <c r="K240" s="9" t="s">
        <v>1371</v>
      </c>
      <c r="L240" s="9" t="s">
        <v>1378</v>
      </c>
      <c r="M240" s="9" t="s">
        <v>95</v>
      </c>
      <c r="N240" s="9" t="str">
        <f t="shared" si="3"/>
        <v>LUAN ABADIA</v>
      </c>
    </row>
    <row r="241" spans="1:14" x14ac:dyDescent="0.3">
      <c r="A241" s="9">
        <v>704573</v>
      </c>
      <c r="B241" s="9" t="s">
        <v>311</v>
      </c>
      <c r="C241" s="10" t="s">
        <v>15</v>
      </c>
      <c r="D241" s="11">
        <v>45448</v>
      </c>
      <c r="E241" s="9" t="s">
        <v>31</v>
      </c>
      <c r="F241" s="9">
        <v>25201</v>
      </c>
      <c r="G241" s="9" t="s">
        <v>89</v>
      </c>
      <c r="H241" s="9" t="s">
        <v>18</v>
      </c>
      <c r="J241" s="9" t="s">
        <v>19</v>
      </c>
      <c r="K241" s="9" t="s">
        <v>1368</v>
      </c>
      <c r="L241" s="9" t="s">
        <v>20</v>
      </c>
      <c r="M241" s="9" t="s">
        <v>1632</v>
      </c>
      <c r="N241" s="9" t="str">
        <f t="shared" si="3"/>
        <v>THIAGO MARCOS</v>
      </c>
    </row>
    <row r="242" spans="1:14" x14ac:dyDescent="0.3">
      <c r="A242" s="9">
        <v>702869</v>
      </c>
      <c r="B242" s="9" t="s">
        <v>312</v>
      </c>
      <c r="C242" s="10" t="s">
        <v>15</v>
      </c>
      <c r="D242" s="11">
        <v>44628</v>
      </c>
      <c r="E242" s="9" t="s">
        <v>138</v>
      </c>
      <c r="F242" s="9">
        <v>22102</v>
      </c>
      <c r="G242" s="9" t="s">
        <v>68</v>
      </c>
      <c r="H242" s="9" t="s">
        <v>18</v>
      </c>
      <c r="J242" s="9" t="s">
        <v>81</v>
      </c>
      <c r="K242" s="9" t="s">
        <v>1371</v>
      </c>
      <c r="L242" s="9" t="s">
        <v>1509</v>
      </c>
      <c r="M242" s="9" t="s">
        <v>1379</v>
      </c>
      <c r="N242" s="9" t="str">
        <f t="shared" si="3"/>
        <v xml:space="preserve">EDSON/MARCELO LIMA </v>
      </c>
    </row>
    <row r="243" spans="1:14" x14ac:dyDescent="0.3">
      <c r="A243" s="9">
        <v>705010</v>
      </c>
      <c r="B243" s="9" t="s">
        <v>314</v>
      </c>
      <c r="C243" s="10" t="s">
        <v>15</v>
      </c>
      <c r="D243" s="11">
        <v>45629</v>
      </c>
      <c r="E243" s="9" t="s">
        <v>31</v>
      </c>
      <c r="F243" s="9">
        <v>52104</v>
      </c>
      <c r="G243" s="9" t="s">
        <v>17</v>
      </c>
      <c r="H243" s="9" t="s">
        <v>18</v>
      </c>
      <c r="J243" s="9" t="s">
        <v>19</v>
      </c>
      <c r="K243" s="9" t="s">
        <v>1368</v>
      </c>
      <c r="L243" s="9" t="s">
        <v>20</v>
      </c>
      <c r="M243" s="9" t="s">
        <v>1632</v>
      </c>
      <c r="N243" s="9" t="str">
        <f t="shared" si="3"/>
        <v>THIAGO MARCOS</v>
      </c>
    </row>
    <row r="244" spans="1:14" x14ac:dyDescent="0.3">
      <c r="A244" s="9">
        <v>705811</v>
      </c>
      <c r="B244" s="9" t="s">
        <v>1521</v>
      </c>
      <c r="C244" s="10" t="s">
        <v>15</v>
      </c>
      <c r="D244" s="11">
        <v>46035</v>
      </c>
      <c r="E244" s="9" t="s">
        <v>31</v>
      </c>
      <c r="F244" s="9">
        <v>52104</v>
      </c>
      <c r="G244" s="9" t="s">
        <v>17</v>
      </c>
      <c r="H244" s="9" t="s">
        <v>18</v>
      </c>
      <c r="J244" s="9" t="s">
        <v>19</v>
      </c>
      <c r="K244" s="9" t="s">
        <v>1368</v>
      </c>
      <c r="L244" s="9" t="s">
        <v>20</v>
      </c>
      <c r="M244" s="9" t="s">
        <v>1632</v>
      </c>
      <c r="N244" s="9" t="str">
        <f t="shared" si="3"/>
        <v>THIAGO MARCOS</v>
      </c>
    </row>
    <row r="245" spans="1:14" x14ac:dyDescent="0.3">
      <c r="A245" s="9">
        <v>702701</v>
      </c>
      <c r="B245" s="9" t="s">
        <v>316</v>
      </c>
      <c r="C245" s="10" t="s">
        <v>15</v>
      </c>
      <c r="D245" s="11">
        <v>44572</v>
      </c>
      <c r="E245" s="9" t="s">
        <v>97</v>
      </c>
      <c r="F245" s="9">
        <v>32101</v>
      </c>
      <c r="G245" s="9" t="s">
        <v>23</v>
      </c>
      <c r="H245" s="9" t="s">
        <v>18</v>
      </c>
      <c r="J245" s="9" t="s">
        <v>24</v>
      </c>
      <c r="K245" s="9" t="s">
        <v>25</v>
      </c>
      <c r="L245" s="9" t="s">
        <v>1369</v>
      </c>
      <c r="M245" s="9" t="s">
        <v>1370</v>
      </c>
      <c r="N245" s="9" t="str">
        <f t="shared" si="3"/>
        <v>JUNIO COSTA</v>
      </c>
    </row>
    <row r="246" spans="1:14" x14ac:dyDescent="0.3">
      <c r="A246" s="9">
        <v>704837</v>
      </c>
      <c r="B246" s="9" t="s">
        <v>317</v>
      </c>
      <c r="C246" s="10" t="s">
        <v>15</v>
      </c>
      <c r="D246" s="11">
        <v>45566</v>
      </c>
      <c r="E246" s="9" t="s">
        <v>27</v>
      </c>
      <c r="F246" s="9">
        <v>39304</v>
      </c>
      <c r="G246" s="9" t="s">
        <v>56</v>
      </c>
      <c r="H246" s="9" t="s">
        <v>18</v>
      </c>
      <c r="J246" s="9" t="s">
        <v>57</v>
      </c>
      <c r="K246" s="9" t="s">
        <v>1371</v>
      </c>
      <c r="L246" s="9" t="s">
        <v>1376</v>
      </c>
      <c r="M246" s="9" t="s">
        <v>1635</v>
      </c>
      <c r="N246" s="9" t="str">
        <f t="shared" si="3"/>
        <v>WARLEY RIBEIRO / EUDES FERNANDES</v>
      </c>
    </row>
    <row r="247" spans="1:14" x14ac:dyDescent="0.3">
      <c r="A247" s="9">
        <v>702563</v>
      </c>
      <c r="B247" s="9" t="s">
        <v>318</v>
      </c>
      <c r="C247" s="10" t="s">
        <v>15</v>
      </c>
      <c r="D247" s="11">
        <v>44459</v>
      </c>
      <c r="E247" s="9" t="s">
        <v>60</v>
      </c>
      <c r="F247" s="9">
        <v>22102</v>
      </c>
      <c r="G247" s="9" t="s">
        <v>68</v>
      </c>
      <c r="H247" s="9" t="s">
        <v>18</v>
      </c>
      <c r="J247" s="9" t="s">
        <v>81</v>
      </c>
      <c r="K247" s="9" t="s">
        <v>1371</v>
      </c>
      <c r="L247" s="9" t="s">
        <v>1509</v>
      </c>
      <c r="M247" s="9" t="s">
        <v>1379</v>
      </c>
      <c r="N247" s="9" t="str">
        <f t="shared" si="3"/>
        <v xml:space="preserve">EDSON/MARCELO LIMA </v>
      </c>
    </row>
    <row r="248" spans="1:14" x14ac:dyDescent="0.3">
      <c r="A248" s="9">
        <v>105433</v>
      </c>
      <c r="B248" s="9" t="s">
        <v>319</v>
      </c>
      <c r="C248" s="10" t="s">
        <v>15</v>
      </c>
      <c r="D248" s="11">
        <v>42863</v>
      </c>
      <c r="E248" s="9" t="s">
        <v>179</v>
      </c>
      <c r="F248" s="9">
        <v>32101</v>
      </c>
      <c r="G248" s="9" t="s">
        <v>23</v>
      </c>
      <c r="H248" s="9" t="s">
        <v>18</v>
      </c>
      <c r="J248" s="9" t="s">
        <v>24</v>
      </c>
      <c r="K248" s="9" t="s">
        <v>25</v>
      </c>
      <c r="L248" s="9" t="s">
        <v>1369</v>
      </c>
      <c r="M248" s="9" t="s">
        <v>1370</v>
      </c>
      <c r="N248" s="9" t="str">
        <f t="shared" si="3"/>
        <v>JUNIO COSTA</v>
      </c>
    </row>
    <row r="249" spans="1:14" x14ac:dyDescent="0.3">
      <c r="A249" s="9">
        <v>703240</v>
      </c>
      <c r="B249" s="9" t="s">
        <v>320</v>
      </c>
      <c r="C249" s="10" t="s">
        <v>15</v>
      </c>
      <c r="D249" s="11">
        <v>44760</v>
      </c>
      <c r="E249" s="9" t="s">
        <v>1221</v>
      </c>
      <c r="F249" s="9">
        <v>34201</v>
      </c>
      <c r="G249" s="9" t="s">
        <v>84</v>
      </c>
      <c r="H249" s="9" t="s">
        <v>18</v>
      </c>
      <c r="J249" s="9" t="s">
        <v>85</v>
      </c>
      <c r="K249" s="9" t="s">
        <v>1371</v>
      </c>
      <c r="L249" s="9" t="s">
        <v>1380</v>
      </c>
      <c r="M249" s="9" t="s">
        <v>1380</v>
      </c>
      <c r="N249" s="9" t="str">
        <f t="shared" si="3"/>
        <v xml:space="preserve">LEONARDO SANTOS </v>
      </c>
    </row>
    <row r="250" spans="1:14" x14ac:dyDescent="0.3">
      <c r="A250" s="9">
        <v>701224</v>
      </c>
      <c r="B250" s="9" t="s">
        <v>321</v>
      </c>
      <c r="C250" s="10" t="s">
        <v>15</v>
      </c>
      <c r="D250" s="11">
        <v>42506</v>
      </c>
      <c r="E250" s="9" t="s">
        <v>160</v>
      </c>
      <c r="F250" s="9">
        <v>32101</v>
      </c>
      <c r="G250" s="9" t="s">
        <v>23</v>
      </c>
      <c r="H250" s="9" t="s">
        <v>18</v>
      </c>
      <c r="J250" s="9" t="s">
        <v>24</v>
      </c>
      <c r="K250" s="9" t="s">
        <v>25</v>
      </c>
      <c r="L250" s="9" t="s">
        <v>1369</v>
      </c>
      <c r="M250" s="9" t="s">
        <v>1370</v>
      </c>
      <c r="N250" s="9" t="str">
        <f t="shared" si="3"/>
        <v>JUNIO COSTA</v>
      </c>
    </row>
    <row r="251" spans="1:14" x14ac:dyDescent="0.3">
      <c r="A251" s="9">
        <v>702712</v>
      </c>
      <c r="B251" s="9" t="s">
        <v>322</v>
      </c>
      <c r="C251" s="10" t="s">
        <v>15</v>
      </c>
      <c r="D251" s="11">
        <v>44586</v>
      </c>
      <c r="E251" s="9" t="s">
        <v>323</v>
      </c>
      <c r="F251" s="9">
        <v>14101</v>
      </c>
      <c r="G251" s="9" t="s">
        <v>277</v>
      </c>
      <c r="H251" s="9" t="s">
        <v>18</v>
      </c>
      <c r="J251" s="9" t="s">
        <v>278</v>
      </c>
      <c r="K251" s="9" t="s">
        <v>1372</v>
      </c>
      <c r="N251" s="9" t="str">
        <f t="shared" si="3"/>
        <v xml:space="preserve">LEIDJANE MARTINS </v>
      </c>
    </row>
    <row r="252" spans="1:14" x14ac:dyDescent="0.3">
      <c r="A252" s="9">
        <v>101069</v>
      </c>
      <c r="B252" s="9" t="s">
        <v>324</v>
      </c>
      <c r="C252" s="10" t="s">
        <v>15</v>
      </c>
      <c r="D252" s="11">
        <v>42663</v>
      </c>
      <c r="E252" s="9" t="s">
        <v>80</v>
      </c>
      <c r="F252" s="9">
        <v>38101</v>
      </c>
      <c r="G252" s="9" t="s">
        <v>35</v>
      </c>
      <c r="H252" s="9" t="s">
        <v>18</v>
      </c>
      <c r="J252" s="9" t="s">
        <v>36</v>
      </c>
      <c r="K252" s="9" t="s">
        <v>1372</v>
      </c>
      <c r="L252" s="9" t="s">
        <v>1373</v>
      </c>
      <c r="M252" s="9" t="s">
        <v>1373</v>
      </c>
      <c r="N252" s="9" t="str">
        <f t="shared" si="3"/>
        <v>DENIS ACASSIO</v>
      </c>
    </row>
    <row r="253" spans="1:14" x14ac:dyDescent="0.3">
      <c r="A253" s="9">
        <v>705252</v>
      </c>
      <c r="B253" s="9" t="s">
        <v>1180</v>
      </c>
      <c r="C253" s="10" t="s">
        <v>15</v>
      </c>
      <c r="D253" s="11">
        <v>45762</v>
      </c>
      <c r="E253" s="9" t="s">
        <v>31</v>
      </c>
      <c r="F253" s="9">
        <v>39301</v>
      </c>
      <c r="G253" s="9" t="s">
        <v>73</v>
      </c>
      <c r="H253" s="9" t="s">
        <v>18</v>
      </c>
      <c r="J253" s="9" t="s">
        <v>74</v>
      </c>
      <c r="K253" s="9" t="s">
        <v>1371</v>
      </c>
      <c r="L253" s="9" t="s">
        <v>1376</v>
      </c>
      <c r="M253" s="9" t="s">
        <v>75</v>
      </c>
      <c r="N253" s="9" t="str">
        <f t="shared" si="3"/>
        <v>ISAC NONATO</v>
      </c>
    </row>
    <row r="254" spans="1:14" x14ac:dyDescent="0.3">
      <c r="A254" s="9">
        <v>702981</v>
      </c>
      <c r="B254" s="9" t="s">
        <v>325</v>
      </c>
      <c r="C254" s="10" t="s">
        <v>15</v>
      </c>
      <c r="D254" s="11">
        <v>44684</v>
      </c>
      <c r="E254" s="9" t="s">
        <v>326</v>
      </c>
      <c r="F254" s="9">
        <v>32101</v>
      </c>
      <c r="G254" s="9" t="s">
        <v>23</v>
      </c>
      <c r="H254" s="9" t="s">
        <v>18</v>
      </c>
      <c r="J254" s="9" t="s">
        <v>24</v>
      </c>
      <c r="K254" s="9" t="s">
        <v>25</v>
      </c>
      <c r="L254" s="9" t="s">
        <v>1369</v>
      </c>
      <c r="M254" s="9" t="s">
        <v>1370</v>
      </c>
      <c r="N254" s="9" t="str">
        <f t="shared" si="3"/>
        <v>JUNIO COSTA</v>
      </c>
    </row>
    <row r="255" spans="1:14" x14ac:dyDescent="0.3">
      <c r="A255" s="9">
        <v>705628</v>
      </c>
      <c r="B255" s="9" t="s">
        <v>1404</v>
      </c>
      <c r="C255" s="10" t="s">
        <v>15</v>
      </c>
      <c r="D255" s="11">
        <v>45937</v>
      </c>
      <c r="E255" s="9" t="s">
        <v>31</v>
      </c>
      <c r="F255" s="9">
        <v>25201</v>
      </c>
      <c r="G255" s="9" t="s">
        <v>89</v>
      </c>
      <c r="H255" s="9" t="s">
        <v>18</v>
      </c>
      <c r="J255" s="9" t="s">
        <v>19</v>
      </c>
      <c r="K255" s="9" t="s">
        <v>1368</v>
      </c>
      <c r="L255" s="9" t="s">
        <v>20</v>
      </c>
      <c r="M255" s="9" t="s">
        <v>1632</v>
      </c>
      <c r="N255" s="9" t="str">
        <f t="shared" si="3"/>
        <v>THIAGO MARCOS</v>
      </c>
    </row>
    <row r="256" spans="1:14" x14ac:dyDescent="0.3">
      <c r="A256" s="9">
        <v>705630</v>
      </c>
      <c r="B256" s="9" t="s">
        <v>1405</v>
      </c>
      <c r="C256" s="10" t="s">
        <v>15</v>
      </c>
      <c r="D256" s="11">
        <v>45937</v>
      </c>
      <c r="E256" s="9" t="s">
        <v>31</v>
      </c>
      <c r="F256" s="9">
        <v>25201</v>
      </c>
      <c r="G256" s="9" t="s">
        <v>89</v>
      </c>
      <c r="H256" s="9" t="s">
        <v>18</v>
      </c>
      <c r="J256" s="9" t="s">
        <v>19</v>
      </c>
      <c r="K256" s="9" t="s">
        <v>1368</v>
      </c>
      <c r="L256" s="9" t="s">
        <v>20</v>
      </c>
      <c r="M256" s="9" t="s">
        <v>1632</v>
      </c>
      <c r="N256" s="9" t="str">
        <f t="shared" si="3"/>
        <v>THIAGO MARCOS</v>
      </c>
    </row>
    <row r="257" spans="1:14" x14ac:dyDescent="0.3">
      <c r="A257" s="9">
        <v>702338</v>
      </c>
      <c r="B257" s="9" t="s">
        <v>327</v>
      </c>
      <c r="C257" s="10" t="s">
        <v>15</v>
      </c>
      <c r="D257" s="11">
        <v>44362</v>
      </c>
      <c r="E257" s="9" t="s">
        <v>219</v>
      </c>
      <c r="F257" s="9">
        <v>32101</v>
      </c>
      <c r="G257" s="9" t="s">
        <v>23</v>
      </c>
      <c r="H257" s="9" t="s">
        <v>18</v>
      </c>
      <c r="J257" s="9" t="s">
        <v>24</v>
      </c>
      <c r="K257" s="9" t="s">
        <v>25</v>
      </c>
      <c r="L257" s="9" t="s">
        <v>1369</v>
      </c>
      <c r="M257" s="9" t="s">
        <v>1370</v>
      </c>
      <c r="N257" s="9" t="str">
        <f t="shared" si="3"/>
        <v>JUNIO COSTA</v>
      </c>
    </row>
    <row r="258" spans="1:14" x14ac:dyDescent="0.3">
      <c r="A258" s="9">
        <v>705203</v>
      </c>
      <c r="B258" s="9" t="s">
        <v>1160</v>
      </c>
      <c r="C258" s="10" t="s">
        <v>15</v>
      </c>
      <c r="D258" s="11">
        <v>45726</v>
      </c>
      <c r="E258" s="9" t="s">
        <v>31</v>
      </c>
      <c r="F258" s="9">
        <v>34201</v>
      </c>
      <c r="G258" s="9" t="s">
        <v>84</v>
      </c>
      <c r="H258" s="9" t="s">
        <v>18</v>
      </c>
      <c r="J258" s="9" t="s">
        <v>85</v>
      </c>
      <c r="K258" s="9" t="s">
        <v>1371</v>
      </c>
      <c r="L258" s="9" t="s">
        <v>1380</v>
      </c>
      <c r="M258" s="9" t="s">
        <v>1380</v>
      </c>
      <c r="N258" s="9" t="str">
        <f t="shared" si="3"/>
        <v xml:space="preserve">LEONARDO SANTOS </v>
      </c>
    </row>
    <row r="259" spans="1:14" x14ac:dyDescent="0.3">
      <c r="A259" s="9">
        <v>705514</v>
      </c>
      <c r="B259" s="9" t="s">
        <v>1297</v>
      </c>
      <c r="C259" s="10" t="s">
        <v>15</v>
      </c>
      <c r="D259" s="11">
        <v>45847</v>
      </c>
      <c r="E259" s="9" t="s">
        <v>91</v>
      </c>
      <c r="F259" s="9">
        <v>34201</v>
      </c>
      <c r="G259" s="9" t="s">
        <v>84</v>
      </c>
      <c r="H259" s="9" t="s">
        <v>18</v>
      </c>
      <c r="J259" s="9" t="s">
        <v>85</v>
      </c>
      <c r="K259" s="9" t="s">
        <v>1371</v>
      </c>
      <c r="L259" s="9" t="s">
        <v>1380</v>
      </c>
      <c r="M259" s="9" t="s">
        <v>1380</v>
      </c>
      <c r="N259" s="9" t="str">
        <f t="shared" ref="N259:N322" si="4">IF(M259&lt;&gt;"", M259, IF(L259&lt;&gt;"", L259, K259))</f>
        <v xml:space="preserve">LEONARDO SANTOS </v>
      </c>
    </row>
    <row r="260" spans="1:14" x14ac:dyDescent="0.3">
      <c r="A260" s="9">
        <v>701698</v>
      </c>
      <c r="B260" s="9" t="s">
        <v>329</v>
      </c>
      <c r="C260" s="10" t="s">
        <v>15</v>
      </c>
      <c r="D260" s="11">
        <v>44025</v>
      </c>
      <c r="E260" s="9" t="s">
        <v>83</v>
      </c>
      <c r="F260" s="9">
        <v>34201</v>
      </c>
      <c r="G260" s="9" t="s">
        <v>84</v>
      </c>
      <c r="H260" s="9" t="s">
        <v>18</v>
      </c>
      <c r="J260" s="9" t="s">
        <v>85</v>
      </c>
      <c r="K260" s="9" t="s">
        <v>1371</v>
      </c>
      <c r="L260" s="9" t="s">
        <v>1380</v>
      </c>
      <c r="M260" s="9" t="s">
        <v>1380</v>
      </c>
      <c r="N260" s="9" t="str">
        <f t="shared" si="4"/>
        <v xml:space="preserve">LEONARDO SANTOS </v>
      </c>
    </row>
    <row r="261" spans="1:14" x14ac:dyDescent="0.3">
      <c r="A261" s="9">
        <v>101305</v>
      </c>
      <c r="B261" s="9" t="s">
        <v>330</v>
      </c>
      <c r="C261" s="10" t="s">
        <v>15</v>
      </c>
      <c r="D261" s="11">
        <v>42842</v>
      </c>
      <c r="E261" s="9" t="s">
        <v>105</v>
      </c>
      <c r="F261" s="9">
        <v>22102</v>
      </c>
      <c r="G261" s="9" t="s">
        <v>68</v>
      </c>
      <c r="H261" s="9" t="s">
        <v>18</v>
      </c>
      <c r="J261" s="9" t="s">
        <v>81</v>
      </c>
      <c r="K261" s="9" t="s">
        <v>1371</v>
      </c>
      <c r="L261" s="9" t="s">
        <v>1509</v>
      </c>
      <c r="M261" s="9" t="s">
        <v>1379</v>
      </c>
      <c r="N261" s="9" t="str">
        <f t="shared" si="4"/>
        <v xml:space="preserve">EDSON/MARCELO LIMA </v>
      </c>
    </row>
    <row r="262" spans="1:14" x14ac:dyDescent="0.3">
      <c r="A262" s="9">
        <v>104851</v>
      </c>
      <c r="B262" s="9" t="s">
        <v>331</v>
      </c>
      <c r="C262" s="10" t="s">
        <v>15</v>
      </c>
      <c r="D262" s="11">
        <v>42345</v>
      </c>
      <c r="E262" s="9" t="s">
        <v>40</v>
      </c>
      <c r="F262" s="9">
        <v>51219</v>
      </c>
      <c r="G262" s="9" t="s">
        <v>61</v>
      </c>
      <c r="H262" s="9" t="s">
        <v>18</v>
      </c>
      <c r="J262" s="9" t="s">
        <v>37</v>
      </c>
      <c r="K262" s="9" t="s">
        <v>1368</v>
      </c>
      <c r="L262" s="9" t="s">
        <v>20</v>
      </c>
      <c r="M262" s="9" t="s">
        <v>1634</v>
      </c>
      <c r="N262" s="9" t="str">
        <f t="shared" si="4"/>
        <v>IRON SANTOS</v>
      </c>
    </row>
    <row r="263" spans="1:14" x14ac:dyDescent="0.3">
      <c r="A263" s="9">
        <v>700192</v>
      </c>
      <c r="B263" s="9" t="s">
        <v>883</v>
      </c>
      <c r="C263" s="10" t="s">
        <v>15</v>
      </c>
      <c r="D263" s="11">
        <v>43241</v>
      </c>
      <c r="E263" s="9" t="s">
        <v>60</v>
      </c>
      <c r="F263" s="9">
        <v>22102</v>
      </c>
      <c r="G263" s="9" t="s">
        <v>68</v>
      </c>
      <c r="H263" s="9" t="s">
        <v>18</v>
      </c>
      <c r="J263" s="9" t="s">
        <v>167</v>
      </c>
      <c r="K263" s="9" t="s">
        <v>1371</v>
      </c>
      <c r="L263" s="9" t="s">
        <v>1509</v>
      </c>
      <c r="M263" s="9" t="s">
        <v>1636</v>
      </c>
      <c r="N263" s="9" t="str">
        <f t="shared" si="4"/>
        <v>FABIANO DIAS</v>
      </c>
    </row>
    <row r="264" spans="1:14" x14ac:dyDescent="0.3">
      <c r="A264" s="9">
        <v>706043</v>
      </c>
      <c r="B264" s="9" t="s">
        <v>1660</v>
      </c>
      <c r="C264" s="10" t="s">
        <v>15</v>
      </c>
      <c r="D264" s="11">
        <v>46126</v>
      </c>
      <c r="E264" s="9" t="s">
        <v>31</v>
      </c>
      <c r="F264" s="9">
        <v>52104</v>
      </c>
      <c r="G264" s="9" t="s">
        <v>17</v>
      </c>
      <c r="H264" s="9" t="s">
        <v>18</v>
      </c>
      <c r="J264" s="9" t="s">
        <v>19</v>
      </c>
      <c r="K264" s="9" t="s">
        <v>1368</v>
      </c>
      <c r="L264" s="9" t="s">
        <v>20</v>
      </c>
      <c r="M264" s="9" t="s">
        <v>1632</v>
      </c>
      <c r="N264" s="9" t="str">
        <f t="shared" si="4"/>
        <v>THIAGO MARCOS</v>
      </c>
    </row>
    <row r="265" spans="1:14" x14ac:dyDescent="0.3">
      <c r="A265" s="9">
        <v>705518</v>
      </c>
      <c r="B265" s="9" t="s">
        <v>1337</v>
      </c>
      <c r="C265" s="10" t="s">
        <v>15</v>
      </c>
      <c r="D265" s="11">
        <v>45874</v>
      </c>
      <c r="E265" s="9" t="s">
        <v>22</v>
      </c>
      <c r="F265" s="9">
        <v>34101</v>
      </c>
      <c r="G265" s="9" t="s">
        <v>43</v>
      </c>
      <c r="H265" s="9" t="s">
        <v>18</v>
      </c>
      <c r="J265" s="9" t="s">
        <v>237</v>
      </c>
      <c r="K265" s="9" t="s">
        <v>25</v>
      </c>
      <c r="L265" s="9" t="s">
        <v>1384</v>
      </c>
      <c r="N265" s="9" t="str">
        <f t="shared" si="4"/>
        <v xml:space="preserve">MARCOS VINICIUS </v>
      </c>
    </row>
    <row r="266" spans="1:14" x14ac:dyDescent="0.3">
      <c r="A266" s="9">
        <v>703466</v>
      </c>
      <c r="B266" s="9" t="s">
        <v>332</v>
      </c>
      <c r="C266" s="10" t="s">
        <v>15</v>
      </c>
      <c r="D266" s="11">
        <v>44881</v>
      </c>
      <c r="E266" s="9" t="s">
        <v>1223</v>
      </c>
      <c r="F266" s="9">
        <v>33301</v>
      </c>
      <c r="G266" s="9" t="s">
        <v>64</v>
      </c>
      <c r="H266" s="9" t="s">
        <v>18</v>
      </c>
      <c r="J266" s="9" t="s">
        <v>65</v>
      </c>
      <c r="K266" s="9" t="s">
        <v>25</v>
      </c>
      <c r="L266" s="9" t="s">
        <v>1375</v>
      </c>
      <c r="N266" s="9" t="str">
        <f t="shared" si="4"/>
        <v>ANDRÉ CUBA</v>
      </c>
    </row>
    <row r="267" spans="1:14" x14ac:dyDescent="0.3">
      <c r="A267" s="9">
        <v>705598</v>
      </c>
      <c r="B267" s="9" t="s">
        <v>1316</v>
      </c>
      <c r="C267" s="10" t="s">
        <v>15</v>
      </c>
      <c r="D267" s="11">
        <v>45888</v>
      </c>
      <c r="E267" s="9" t="s">
        <v>31</v>
      </c>
      <c r="F267" s="9">
        <v>39304</v>
      </c>
      <c r="G267" s="9" t="s">
        <v>56</v>
      </c>
      <c r="H267" s="9" t="s">
        <v>18</v>
      </c>
      <c r="J267" s="9" t="s">
        <v>57</v>
      </c>
      <c r="K267" s="9" t="s">
        <v>1371</v>
      </c>
      <c r="L267" s="9" t="s">
        <v>1376</v>
      </c>
      <c r="M267" s="9" t="s">
        <v>1635</v>
      </c>
      <c r="N267" s="9" t="str">
        <f t="shared" si="4"/>
        <v>WARLEY RIBEIRO / EUDES FERNANDES</v>
      </c>
    </row>
    <row r="268" spans="1:14" x14ac:dyDescent="0.3">
      <c r="A268" s="9">
        <v>702122</v>
      </c>
      <c r="B268" s="9" t="s">
        <v>333</v>
      </c>
      <c r="C268" s="10" t="s">
        <v>15</v>
      </c>
      <c r="D268" s="11">
        <v>44298</v>
      </c>
      <c r="E268" s="9" t="s">
        <v>116</v>
      </c>
      <c r="F268" s="9">
        <v>34201</v>
      </c>
      <c r="G268" s="9" t="s">
        <v>84</v>
      </c>
      <c r="H268" s="9" t="s">
        <v>18</v>
      </c>
      <c r="J268" s="9" t="s">
        <v>85</v>
      </c>
      <c r="K268" s="9" t="s">
        <v>1371</v>
      </c>
      <c r="L268" s="9" t="s">
        <v>1380</v>
      </c>
      <c r="M268" s="9" t="s">
        <v>1380</v>
      </c>
      <c r="N268" s="9" t="str">
        <f t="shared" si="4"/>
        <v xml:space="preserve">LEONARDO SANTOS </v>
      </c>
    </row>
    <row r="269" spans="1:14" x14ac:dyDescent="0.3">
      <c r="A269" s="9">
        <v>705617</v>
      </c>
      <c r="B269" s="9" t="s">
        <v>1349</v>
      </c>
      <c r="C269" s="10" t="s">
        <v>15</v>
      </c>
      <c r="D269" s="11">
        <v>45909</v>
      </c>
      <c r="E269" s="9" t="s">
        <v>31</v>
      </c>
      <c r="F269" s="9">
        <v>52104</v>
      </c>
      <c r="G269" s="9" t="s">
        <v>17</v>
      </c>
      <c r="H269" s="9" t="s">
        <v>18</v>
      </c>
      <c r="J269" s="9" t="s">
        <v>19</v>
      </c>
      <c r="K269" s="9" t="s">
        <v>1368</v>
      </c>
      <c r="L269" s="9" t="s">
        <v>20</v>
      </c>
      <c r="M269" s="9" t="s">
        <v>1632</v>
      </c>
      <c r="N269" s="9" t="str">
        <f t="shared" si="4"/>
        <v>THIAGO MARCOS</v>
      </c>
    </row>
    <row r="270" spans="1:14" x14ac:dyDescent="0.3">
      <c r="A270" s="9">
        <v>100642</v>
      </c>
      <c r="B270" s="9" t="s">
        <v>334</v>
      </c>
      <c r="C270" s="10" t="s">
        <v>15</v>
      </c>
      <c r="D270" s="11">
        <v>41946</v>
      </c>
      <c r="E270" s="9" t="s">
        <v>1214</v>
      </c>
      <c r="F270" s="9">
        <v>34101</v>
      </c>
      <c r="G270" s="9" t="s">
        <v>43</v>
      </c>
      <c r="H270" s="9" t="s">
        <v>18</v>
      </c>
      <c r="J270" s="9" t="s">
        <v>65</v>
      </c>
      <c r="K270" s="9" t="s">
        <v>25</v>
      </c>
      <c r="L270" s="9" t="s">
        <v>1375</v>
      </c>
      <c r="N270" s="9" t="str">
        <f t="shared" si="4"/>
        <v>ANDRÉ CUBA</v>
      </c>
    </row>
    <row r="271" spans="1:14" x14ac:dyDescent="0.3">
      <c r="A271" s="9">
        <v>705255</v>
      </c>
      <c r="B271" s="9" t="s">
        <v>1182</v>
      </c>
      <c r="C271" s="10" t="s">
        <v>15</v>
      </c>
      <c r="D271" s="11">
        <v>45762</v>
      </c>
      <c r="E271" s="9" t="s">
        <v>270</v>
      </c>
      <c r="F271" s="9">
        <v>39302</v>
      </c>
      <c r="G271" s="9" t="s">
        <v>102</v>
      </c>
      <c r="H271" s="9" t="s">
        <v>18</v>
      </c>
      <c r="J271" s="9" t="s">
        <v>57</v>
      </c>
      <c r="K271" s="9" t="s">
        <v>1371</v>
      </c>
      <c r="L271" s="9" t="s">
        <v>1376</v>
      </c>
      <c r="M271" s="9" t="s">
        <v>1635</v>
      </c>
      <c r="N271" s="9" t="str">
        <f t="shared" si="4"/>
        <v>WARLEY RIBEIRO / EUDES FERNANDES</v>
      </c>
    </row>
    <row r="272" spans="1:14" x14ac:dyDescent="0.3">
      <c r="A272" s="9">
        <v>703578</v>
      </c>
      <c r="B272" s="9" t="s">
        <v>335</v>
      </c>
      <c r="C272" s="10" t="s">
        <v>15</v>
      </c>
      <c r="D272" s="11">
        <v>44970</v>
      </c>
      <c r="E272" s="9" t="s">
        <v>31</v>
      </c>
      <c r="F272" s="9">
        <v>33301</v>
      </c>
      <c r="G272" s="9" t="s">
        <v>64</v>
      </c>
      <c r="H272" s="9" t="s">
        <v>18</v>
      </c>
      <c r="J272" s="9" t="s">
        <v>65</v>
      </c>
      <c r="K272" s="9" t="s">
        <v>25</v>
      </c>
      <c r="L272" s="9" t="s">
        <v>1375</v>
      </c>
      <c r="N272" s="9" t="str">
        <f t="shared" si="4"/>
        <v>ANDRÉ CUBA</v>
      </c>
    </row>
    <row r="273" spans="1:14" x14ac:dyDescent="0.3">
      <c r="A273" s="9">
        <v>705025</v>
      </c>
      <c r="B273" s="9" t="s">
        <v>889</v>
      </c>
      <c r="C273" s="10" t="s">
        <v>233</v>
      </c>
      <c r="D273" s="11">
        <v>45636</v>
      </c>
      <c r="E273" s="9" t="s">
        <v>433</v>
      </c>
      <c r="F273" s="9">
        <v>38107</v>
      </c>
      <c r="G273" s="9" t="s">
        <v>1503</v>
      </c>
      <c r="H273" s="9" t="s">
        <v>18</v>
      </c>
      <c r="J273" s="9" t="s">
        <v>78</v>
      </c>
      <c r="K273" s="9" t="s">
        <v>1372</v>
      </c>
      <c r="N273" s="9" t="str">
        <f t="shared" si="4"/>
        <v xml:space="preserve">LEIDJANE MARTINS </v>
      </c>
    </row>
    <row r="274" spans="1:14" x14ac:dyDescent="0.3">
      <c r="A274" s="9">
        <v>703419</v>
      </c>
      <c r="B274" s="9" t="s">
        <v>337</v>
      </c>
      <c r="C274" s="10" t="s">
        <v>15</v>
      </c>
      <c r="D274" s="11">
        <v>44873</v>
      </c>
      <c r="E274" s="9" t="s">
        <v>31</v>
      </c>
      <c r="F274" s="9">
        <v>38101</v>
      </c>
      <c r="G274" s="9" t="s">
        <v>35</v>
      </c>
      <c r="H274" s="9" t="s">
        <v>18</v>
      </c>
      <c r="J274" s="9" t="s">
        <v>36</v>
      </c>
      <c r="K274" s="9" t="s">
        <v>1372</v>
      </c>
      <c r="L274" s="9" t="s">
        <v>1373</v>
      </c>
      <c r="M274" s="9" t="s">
        <v>1373</v>
      </c>
      <c r="N274" s="9" t="str">
        <f t="shared" si="4"/>
        <v>DENIS ACASSIO</v>
      </c>
    </row>
    <row r="275" spans="1:14" x14ac:dyDescent="0.3">
      <c r="A275" s="9">
        <v>704641</v>
      </c>
      <c r="B275" s="9" t="s">
        <v>338</v>
      </c>
      <c r="C275" s="10" t="s">
        <v>15</v>
      </c>
      <c r="D275" s="11">
        <v>45476</v>
      </c>
      <c r="E275" s="9" t="s">
        <v>1346</v>
      </c>
      <c r="F275" s="9">
        <v>39201</v>
      </c>
      <c r="G275" s="9" t="s">
        <v>153</v>
      </c>
      <c r="H275" s="9" t="s">
        <v>18</v>
      </c>
      <c r="J275" s="9" t="s">
        <v>154</v>
      </c>
      <c r="K275" s="9" t="s">
        <v>50</v>
      </c>
      <c r="L275" s="9" t="s">
        <v>1382</v>
      </c>
      <c r="M275" s="9" t="s">
        <v>1382</v>
      </c>
      <c r="N275" s="9" t="str">
        <f t="shared" si="4"/>
        <v>ADENILTON RODRIGUES</v>
      </c>
    </row>
    <row r="276" spans="1:14" x14ac:dyDescent="0.3">
      <c r="A276" s="9">
        <v>704939</v>
      </c>
      <c r="B276" s="9" t="s">
        <v>339</v>
      </c>
      <c r="C276" s="10" t="s">
        <v>15</v>
      </c>
      <c r="D276" s="11">
        <v>45607</v>
      </c>
      <c r="E276" s="9" t="s">
        <v>16</v>
      </c>
      <c r="F276" s="9">
        <v>22102</v>
      </c>
      <c r="G276" s="9" t="s">
        <v>68</v>
      </c>
      <c r="H276" s="9" t="s">
        <v>18</v>
      </c>
      <c r="J276" s="9" t="s">
        <v>94</v>
      </c>
      <c r="K276" s="9" t="s">
        <v>1371</v>
      </c>
      <c r="L276" s="9" t="s">
        <v>1378</v>
      </c>
      <c r="M276" s="9" t="s">
        <v>95</v>
      </c>
      <c r="N276" s="9" t="str">
        <f t="shared" si="4"/>
        <v>LUAN ABADIA</v>
      </c>
    </row>
    <row r="277" spans="1:14" x14ac:dyDescent="0.3">
      <c r="A277" s="9">
        <v>705109</v>
      </c>
      <c r="B277" s="9" t="s">
        <v>340</v>
      </c>
      <c r="C277" s="10" t="s">
        <v>15</v>
      </c>
      <c r="D277" s="11">
        <v>45678</v>
      </c>
      <c r="E277" s="9" t="s">
        <v>91</v>
      </c>
      <c r="F277" s="9">
        <v>34201</v>
      </c>
      <c r="G277" s="9" t="s">
        <v>84</v>
      </c>
      <c r="H277" s="9" t="s">
        <v>18</v>
      </c>
      <c r="J277" s="9" t="s">
        <v>85</v>
      </c>
      <c r="K277" s="9" t="s">
        <v>1371</v>
      </c>
      <c r="L277" s="9" t="s">
        <v>1380</v>
      </c>
      <c r="M277" s="9" t="s">
        <v>1380</v>
      </c>
      <c r="N277" s="9" t="str">
        <f t="shared" si="4"/>
        <v xml:space="preserve">LEONARDO SANTOS </v>
      </c>
    </row>
    <row r="278" spans="1:14" x14ac:dyDescent="0.3">
      <c r="A278" s="9">
        <v>701979</v>
      </c>
      <c r="B278" s="9" t="s">
        <v>341</v>
      </c>
      <c r="C278" s="10" t="s">
        <v>15</v>
      </c>
      <c r="D278" s="11">
        <v>44172</v>
      </c>
      <c r="E278" s="9" t="s">
        <v>60</v>
      </c>
      <c r="F278" s="9">
        <v>52202</v>
      </c>
      <c r="G278" s="9" t="s">
        <v>32</v>
      </c>
      <c r="H278" s="9" t="s">
        <v>18</v>
      </c>
      <c r="J278" s="9" t="s">
        <v>19</v>
      </c>
      <c r="K278" s="9" t="s">
        <v>1368</v>
      </c>
      <c r="L278" s="9" t="s">
        <v>20</v>
      </c>
      <c r="M278" s="9" t="s">
        <v>1632</v>
      </c>
      <c r="N278" s="9" t="str">
        <f t="shared" si="4"/>
        <v>THIAGO MARCOS</v>
      </c>
    </row>
    <row r="279" spans="1:14" x14ac:dyDescent="0.3">
      <c r="A279" s="9">
        <v>705707</v>
      </c>
      <c r="B279" s="9" t="s">
        <v>894</v>
      </c>
      <c r="C279" s="10" t="s">
        <v>15</v>
      </c>
      <c r="D279" s="11">
        <v>45972</v>
      </c>
      <c r="E279" s="9" t="s">
        <v>31</v>
      </c>
      <c r="F279" s="9">
        <v>52104</v>
      </c>
      <c r="G279" s="9" t="s">
        <v>17</v>
      </c>
      <c r="H279" s="9" t="s">
        <v>18</v>
      </c>
      <c r="J279" s="9" t="s">
        <v>19</v>
      </c>
      <c r="K279" s="9" t="s">
        <v>1368</v>
      </c>
      <c r="L279" s="9" t="s">
        <v>20</v>
      </c>
      <c r="M279" s="9" t="s">
        <v>1632</v>
      </c>
      <c r="N279" s="9" t="str">
        <f t="shared" si="4"/>
        <v>THIAGO MARCOS</v>
      </c>
    </row>
    <row r="280" spans="1:14" x14ac:dyDescent="0.3">
      <c r="A280" s="9">
        <v>703171</v>
      </c>
      <c r="B280" s="9" t="s">
        <v>342</v>
      </c>
      <c r="C280" s="10" t="s">
        <v>15</v>
      </c>
      <c r="D280" s="11">
        <v>44732</v>
      </c>
      <c r="E280" s="9" t="s">
        <v>188</v>
      </c>
      <c r="F280" s="9">
        <v>22102</v>
      </c>
      <c r="G280" s="9" t="s">
        <v>68</v>
      </c>
      <c r="H280" s="9" t="s">
        <v>18</v>
      </c>
      <c r="J280" s="9" t="s">
        <v>69</v>
      </c>
      <c r="K280" s="9" t="s">
        <v>1371</v>
      </c>
      <c r="L280" s="9" t="s">
        <v>1378</v>
      </c>
      <c r="N280" s="9" t="str">
        <f t="shared" si="4"/>
        <v xml:space="preserve">JOÃO KOMURA </v>
      </c>
    </row>
    <row r="281" spans="1:14" x14ac:dyDescent="0.3">
      <c r="A281" s="9">
        <v>706039</v>
      </c>
      <c r="B281" s="9" t="s">
        <v>1661</v>
      </c>
      <c r="C281" s="10" t="s">
        <v>15</v>
      </c>
      <c r="D281" s="11">
        <v>46126</v>
      </c>
      <c r="E281" s="9" t="s">
        <v>31</v>
      </c>
      <c r="F281" s="9">
        <v>52104</v>
      </c>
      <c r="G281" s="9" t="s">
        <v>17</v>
      </c>
      <c r="H281" s="9" t="s">
        <v>18</v>
      </c>
      <c r="J281" s="9" t="s">
        <v>19</v>
      </c>
      <c r="K281" s="9" t="s">
        <v>1368</v>
      </c>
      <c r="L281" s="9" t="s">
        <v>20</v>
      </c>
      <c r="M281" s="9" t="s">
        <v>1632</v>
      </c>
      <c r="N281" s="9" t="str">
        <f t="shared" si="4"/>
        <v>THIAGO MARCOS</v>
      </c>
    </row>
    <row r="282" spans="1:14" x14ac:dyDescent="0.3">
      <c r="A282" s="9">
        <v>705212</v>
      </c>
      <c r="B282" s="9" t="s">
        <v>1161</v>
      </c>
      <c r="C282" s="10" t="s">
        <v>15</v>
      </c>
      <c r="D282" s="11">
        <v>45727</v>
      </c>
      <c r="E282" s="9" t="s">
        <v>240</v>
      </c>
      <c r="F282" s="9">
        <v>22102</v>
      </c>
      <c r="G282" s="9" t="s">
        <v>68</v>
      </c>
      <c r="H282" s="9" t="s">
        <v>18</v>
      </c>
      <c r="J282" s="9" t="s">
        <v>1640</v>
      </c>
      <c r="K282" s="9" t="s">
        <v>1371</v>
      </c>
      <c r="N282" s="9" t="str">
        <f t="shared" si="4"/>
        <v>PAULO BONIFÁCIO</v>
      </c>
    </row>
    <row r="283" spans="1:14" x14ac:dyDescent="0.3">
      <c r="A283" s="9">
        <v>703008</v>
      </c>
      <c r="B283" s="9" t="s">
        <v>343</v>
      </c>
      <c r="C283" s="10" t="s">
        <v>15</v>
      </c>
      <c r="D283" s="11">
        <v>44691</v>
      </c>
      <c r="E283" s="9" t="s">
        <v>138</v>
      </c>
      <c r="F283" s="9">
        <v>22102</v>
      </c>
      <c r="G283" s="9" t="s">
        <v>68</v>
      </c>
      <c r="H283" s="9" t="s">
        <v>18</v>
      </c>
      <c r="J283" s="9" t="s">
        <v>81</v>
      </c>
      <c r="K283" s="9" t="s">
        <v>1371</v>
      </c>
      <c r="L283" s="9" t="s">
        <v>1509</v>
      </c>
      <c r="M283" s="9" t="s">
        <v>1379</v>
      </c>
      <c r="N283" s="9" t="str">
        <f t="shared" si="4"/>
        <v xml:space="preserve">EDSON/MARCELO LIMA </v>
      </c>
    </row>
    <row r="284" spans="1:14" x14ac:dyDescent="0.3">
      <c r="A284" s="9">
        <v>704719</v>
      </c>
      <c r="B284" s="9" t="s">
        <v>897</v>
      </c>
      <c r="C284" s="10" t="s">
        <v>15</v>
      </c>
      <c r="D284" s="11">
        <v>45518</v>
      </c>
      <c r="E284" s="9" t="s">
        <v>93</v>
      </c>
      <c r="F284" s="9">
        <v>22102</v>
      </c>
      <c r="G284" s="9" t="s">
        <v>68</v>
      </c>
      <c r="H284" s="9" t="s">
        <v>18</v>
      </c>
      <c r="J284" s="9" t="s">
        <v>94</v>
      </c>
      <c r="K284" s="9" t="s">
        <v>1371</v>
      </c>
      <c r="L284" s="9" t="s">
        <v>1378</v>
      </c>
      <c r="M284" s="9" t="s">
        <v>95</v>
      </c>
      <c r="N284" s="9" t="str">
        <f t="shared" si="4"/>
        <v>LUAN ABADIA</v>
      </c>
    </row>
    <row r="285" spans="1:14" x14ac:dyDescent="0.3">
      <c r="A285" s="9">
        <v>703624</v>
      </c>
      <c r="B285" s="9" t="s">
        <v>344</v>
      </c>
      <c r="C285" s="10" t="s">
        <v>15</v>
      </c>
      <c r="D285" s="11">
        <v>44991</v>
      </c>
      <c r="E285" s="9" t="s">
        <v>83</v>
      </c>
      <c r="F285" s="9">
        <v>34201</v>
      </c>
      <c r="G285" s="9" t="s">
        <v>84</v>
      </c>
      <c r="H285" s="9" t="s">
        <v>18</v>
      </c>
      <c r="J285" s="9" t="s">
        <v>85</v>
      </c>
      <c r="K285" s="9" t="s">
        <v>1371</v>
      </c>
      <c r="L285" s="9" t="s">
        <v>1380</v>
      </c>
      <c r="M285" s="9" t="s">
        <v>1380</v>
      </c>
      <c r="N285" s="9" t="str">
        <f t="shared" si="4"/>
        <v xml:space="preserve">LEONARDO SANTOS </v>
      </c>
    </row>
    <row r="286" spans="1:14" x14ac:dyDescent="0.3">
      <c r="A286" s="9">
        <v>705898</v>
      </c>
      <c r="B286" s="9" t="s">
        <v>1609</v>
      </c>
      <c r="C286" s="10" t="s">
        <v>15</v>
      </c>
      <c r="D286" s="11">
        <v>46091</v>
      </c>
      <c r="E286" s="9" t="s">
        <v>138</v>
      </c>
      <c r="F286" s="9">
        <v>52104</v>
      </c>
      <c r="G286" s="9" t="s">
        <v>17</v>
      </c>
      <c r="H286" s="9" t="s">
        <v>18</v>
      </c>
      <c r="J286" s="9" t="s">
        <v>19</v>
      </c>
      <c r="K286" s="9" t="s">
        <v>1368</v>
      </c>
      <c r="L286" s="9" t="s">
        <v>20</v>
      </c>
      <c r="M286" s="9" t="s">
        <v>1632</v>
      </c>
      <c r="N286" s="9" t="str">
        <f t="shared" si="4"/>
        <v>THIAGO MARCOS</v>
      </c>
    </row>
    <row r="287" spans="1:14" x14ac:dyDescent="0.3">
      <c r="A287" s="9">
        <v>705798</v>
      </c>
      <c r="B287" s="9" t="s">
        <v>1522</v>
      </c>
      <c r="C287" s="10" t="s">
        <v>92</v>
      </c>
      <c r="D287" s="11">
        <v>46029</v>
      </c>
      <c r="E287" s="9" t="s">
        <v>31</v>
      </c>
      <c r="F287" s="9">
        <v>52202</v>
      </c>
      <c r="G287" s="9" t="s">
        <v>32</v>
      </c>
      <c r="H287" s="9" t="s">
        <v>18</v>
      </c>
      <c r="I287" s="11">
        <v>46118</v>
      </c>
      <c r="J287" s="9" t="s">
        <v>33</v>
      </c>
      <c r="K287" s="9" t="s">
        <v>1368</v>
      </c>
      <c r="L287" s="9" t="s">
        <v>20</v>
      </c>
      <c r="M287" s="9" t="s">
        <v>1634</v>
      </c>
      <c r="N287" s="9" t="str">
        <f t="shared" si="4"/>
        <v>IRON SANTOS</v>
      </c>
    </row>
    <row r="288" spans="1:14" x14ac:dyDescent="0.3">
      <c r="A288" s="9">
        <v>705884</v>
      </c>
      <c r="B288" s="9" t="s">
        <v>1544</v>
      </c>
      <c r="C288" s="10" t="s">
        <v>15</v>
      </c>
      <c r="D288" s="11">
        <v>46063</v>
      </c>
      <c r="E288" s="9" t="s">
        <v>138</v>
      </c>
      <c r="F288" s="9">
        <v>52104</v>
      </c>
      <c r="G288" s="9" t="s">
        <v>17</v>
      </c>
      <c r="H288" s="9" t="s">
        <v>18</v>
      </c>
      <c r="J288" s="9" t="s">
        <v>19</v>
      </c>
      <c r="K288" s="9" t="s">
        <v>1368</v>
      </c>
      <c r="L288" s="9" t="s">
        <v>20</v>
      </c>
      <c r="M288" s="9" t="s">
        <v>1632</v>
      </c>
      <c r="N288" s="9" t="str">
        <f t="shared" si="4"/>
        <v>THIAGO MARCOS</v>
      </c>
    </row>
    <row r="289" spans="1:14" x14ac:dyDescent="0.3">
      <c r="A289" s="9">
        <v>100321</v>
      </c>
      <c r="B289" s="9" t="s">
        <v>345</v>
      </c>
      <c r="C289" s="10" t="s">
        <v>15</v>
      </c>
      <c r="D289" s="11">
        <v>41792</v>
      </c>
      <c r="E289" s="9" t="s">
        <v>1214</v>
      </c>
      <c r="F289" s="9">
        <v>34101</v>
      </c>
      <c r="G289" s="9" t="s">
        <v>43</v>
      </c>
      <c r="H289" s="9" t="s">
        <v>18</v>
      </c>
      <c r="J289" s="9" t="s">
        <v>237</v>
      </c>
      <c r="K289" s="9" t="s">
        <v>25</v>
      </c>
      <c r="L289" s="9" t="s">
        <v>1384</v>
      </c>
      <c r="N289" s="9" t="str">
        <f t="shared" si="4"/>
        <v xml:space="preserve">MARCOS VINICIUS </v>
      </c>
    </row>
    <row r="290" spans="1:14" x14ac:dyDescent="0.3">
      <c r="A290" s="9">
        <v>704007</v>
      </c>
      <c r="B290" s="9" t="s">
        <v>904</v>
      </c>
      <c r="C290" s="10" t="s">
        <v>15</v>
      </c>
      <c r="D290" s="11">
        <v>45119</v>
      </c>
      <c r="E290" s="9" t="s">
        <v>1350</v>
      </c>
      <c r="F290" s="9">
        <v>32101</v>
      </c>
      <c r="G290" s="9" t="s">
        <v>23</v>
      </c>
      <c r="H290" s="9" t="s">
        <v>18</v>
      </c>
      <c r="J290" s="9" t="s">
        <v>1642</v>
      </c>
      <c r="K290" s="9" t="s">
        <v>25</v>
      </c>
      <c r="N290" s="9" t="str">
        <f t="shared" si="4"/>
        <v>RAFAEL XAVIER</v>
      </c>
    </row>
    <row r="291" spans="1:14" x14ac:dyDescent="0.3">
      <c r="A291" s="9">
        <v>705925</v>
      </c>
      <c r="B291" s="9" t="s">
        <v>1610</v>
      </c>
      <c r="C291" s="10" t="s">
        <v>15</v>
      </c>
      <c r="D291" s="11">
        <v>46091</v>
      </c>
      <c r="E291" s="9" t="s">
        <v>31</v>
      </c>
      <c r="F291" s="9">
        <v>52104</v>
      </c>
      <c r="G291" s="9" t="s">
        <v>17</v>
      </c>
      <c r="H291" s="9" t="s">
        <v>18</v>
      </c>
      <c r="J291" s="9" t="s">
        <v>19</v>
      </c>
      <c r="K291" s="9" t="s">
        <v>1368</v>
      </c>
      <c r="L291" s="9" t="s">
        <v>20</v>
      </c>
      <c r="M291" s="9" t="s">
        <v>1632</v>
      </c>
      <c r="N291" s="9" t="str">
        <f t="shared" si="4"/>
        <v>THIAGO MARCOS</v>
      </c>
    </row>
    <row r="292" spans="1:14" x14ac:dyDescent="0.3">
      <c r="A292" s="9">
        <v>704152</v>
      </c>
      <c r="B292" s="9" t="s">
        <v>346</v>
      </c>
      <c r="C292" s="10" t="s">
        <v>15</v>
      </c>
      <c r="D292" s="11">
        <v>45264</v>
      </c>
      <c r="E292" s="9" t="s">
        <v>31</v>
      </c>
      <c r="F292" s="9">
        <v>52104</v>
      </c>
      <c r="G292" s="9" t="s">
        <v>17</v>
      </c>
      <c r="H292" s="9" t="s">
        <v>18</v>
      </c>
      <c r="J292" s="9" t="s">
        <v>19</v>
      </c>
      <c r="K292" s="9" t="s">
        <v>1368</v>
      </c>
      <c r="L292" s="9" t="s">
        <v>20</v>
      </c>
      <c r="M292" s="9" t="s">
        <v>1632</v>
      </c>
      <c r="N292" s="9" t="str">
        <f t="shared" si="4"/>
        <v>THIAGO MARCOS</v>
      </c>
    </row>
    <row r="293" spans="1:14" x14ac:dyDescent="0.3">
      <c r="A293" s="9">
        <v>702809</v>
      </c>
      <c r="B293" s="9" t="s">
        <v>347</v>
      </c>
      <c r="C293" s="10" t="s">
        <v>15</v>
      </c>
      <c r="D293" s="11">
        <v>44613</v>
      </c>
      <c r="E293" s="9" t="s">
        <v>31</v>
      </c>
      <c r="F293" s="9">
        <v>52104</v>
      </c>
      <c r="G293" s="9" t="s">
        <v>17</v>
      </c>
      <c r="H293" s="9" t="s">
        <v>18</v>
      </c>
      <c r="J293" s="9" t="s">
        <v>19</v>
      </c>
      <c r="K293" s="9" t="s">
        <v>1368</v>
      </c>
      <c r="L293" s="9" t="s">
        <v>20</v>
      </c>
      <c r="M293" s="9" t="s">
        <v>1632</v>
      </c>
      <c r="N293" s="9" t="str">
        <f t="shared" si="4"/>
        <v>THIAGO MARCOS</v>
      </c>
    </row>
    <row r="294" spans="1:14" x14ac:dyDescent="0.3">
      <c r="A294" s="9">
        <v>702575</v>
      </c>
      <c r="B294" s="9" t="s">
        <v>348</v>
      </c>
      <c r="C294" s="10" t="s">
        <v>15</v>
      </c>
      <c r="D294" s="11">
        <v>44474</v>
      </c>
      <c r="E294" s="9" t="s">
        <v>1351</v>
      </c>
      <c r="F294" s="9">
        <v>33301</v>
      </c>
      <c r="G294" s="9" t="s">
        <v>64</v>
      </c>
      <c r="H294" s="9" t="s">
        <v>18</v>
      </c>
      <c r="J294" s="9" t="s">
        <v>65</v>
      </c>
      <c r="K294" s="9" t="s">
        <v>25</v>
      </c>
      <c r="L294" s="9" t="s">
        <v>1375</v>
      </c>
      <c r="N294" s="9" t="str">
        <f t="shared" si="4"/>
        <v>ANDRÉ CUBA</v>
      </c>
    </row>
    <row r="295" spans="1:14" x14ac:dyDescent="0.3">
      <c r="A295" s="9">
        <v>703471</v>
      </c>
      <c r="B295" s="9" t="s">
        <v>349</v>
      </c>
      <c r="C295" s="10" t="s">
        <v>15</v>
      </c>
      <c r="D295" s="11">
        <v>44887</v>
      </c>
      <c r="E295" s="9" t="s">
        <v>156</v>
      </c>
      <c r="F295" s="9">
        <v>38101</v>
      </c>
      <c r="G295" s="9" t="s">
        <v>35</v>
      </c>
      <c r="H295" s="9" t="s">
        <v>18</v>
      </c>
      <c r="J295" s="9" t="s">
        <v>36</v>
      </c>
      <c r="K295" s="9" t="s">
        <v>1372</v>
      </c>
      <c r="L295" s="9" t="s">
        <v>1373</v>
      </c>
      <c r="M295" s="9" t="s">
        <v>1373</v>
      </c>
      <c r="N295" s="9" t="str">
        <f t="shared" si="4"/>
        <v>DENIS ACASSIO</v>
      </c>
    </row>
    <row r="296" spans="1:14" x14ac:dyDescent="0.3">
      <c r="A296" s="9">
        <v>106052</v>
      </c>
      <c r="B296" s="9" t="s">
        <v>350</v>
      </c>
      <c r="C296" s="10" t="s">
        <v>15</v>
      </c>
      <c r="D296" s="11">
        <v>43591</v>
      </c>
      <c r="E296" s="9" t="s">
        <v>97</v>
      </c>
      <c r="F296" s="9">
        <v>32101</v>
      </c>
      <c r="G296" s="9" t="s">
        <v>23</v>
      </c>
      <c r="H296" s="9" t="s">
        <v>18</v>
      </c>
      <c r="J296" s="9" t="s">
        <v>24</v>
      </c>
      <c r="K296" s="9" t="s">
        <v>25</v>
      </c>
      <c r="L296" s="9" t="s">
        <v>1369</v>
      </c>
      <c r="M296" s="9" t="s">
        <v>1370</v>
      </c>
      <c r="N296" s="9" t="str">
        <f t="shared" si="4"/>
        <v>JUNIO COSTA</v>
      </c>
    </row>
    <row r="297" spans="1:14" x14ac:dyDescent="0.3">
      <c r="A297" s="9">
        <v>702817</v>
      </c>
      <c r="B297" s="9" t="s">
        <v>351</v>
      </c>
      <c r="C297" s="10" t="s">
        <v>15</v>
      </c>
      <c r="D297" s="11">
        <v>44613</v>
      </c>
      <c r="E297" s="9" t="s">
        <v>31</v>
      </c>
      <c r="F297" s="9">
        <v>52104</v>
      </c>
      <c r="G297" s="9" t="s">
        <v>17</v>
      </c>
      <c r="H297" s="9" t="s">
        <v>18</v>
      </c>
      <c r="J297" s="9" t="s">
        <v>19</v>
      </c>
      <c r="K297" s="9" t="s">
        <v>1368</v>
      </c>
      <c r="L297" s="9" t="s">
        <v>20</v>
      </c>
      <c r="M297" s="9" t="s">
        <v>1632</v>
      </c>
      <c r="N297" s="9" t="str">
        <f t="shared" si="4"/>
        <v>THIAGO MARCOS</v>
      </c>
    </row>
    <row r="298" spans="1:14" x14ac:dyDescent="0.3">
      <c r="A298" s="9">
        <v>105173</v>
      </c>
      <c r="B298" s="9" t="s">
        <v>352</v>
      </c>
      <c r="C298" s="10" t="s">
        <v>15</v>
      </c>
      <c r="D298" s="11">
        <v>42590</v>
      </c>
      <c r="E298" s="9" t="s">
        <v>353</v>
      </c>
      <c r="F298" s="9">
        <v>52104</v>
      </c>
      <c r="G298" s="9" t="s">
        <v>17</v>
      </c>
      <c r="H298" s="9" t="s">
        <v>18</v>
      </c>
      <c r="J298" s="9" t="s">
        <v>1662</v>
      </c>
      <c r="K298" s="9" t="s">
        <v>1508</v>
      </c>
      <c r="N298" s="9" t="str">
        <f t="shared" si="4"/>
        <v xml:space="preserve">CARLOS OLIVEIRA </v>
      </c>
    </row>
    <row r="299" spans="1:14" x14ac:dyDescent="0.3">
      <c r="A299" s="9">
        <v>705440</v>
      </c>
      <c r="B299" s="9" t="s">
        <v>1224</v>
      </c>
      <c r="C299" s="10" t="s">
        <v>15</v>
      </c>
      <c r="D299" s="11">
        <v>45797</v>
      </c>
      <c r="E299" s="9" t="s">
        <v>31</v>
      </c>
      <c r="F299" s="9">
        <v>39301</v>
      </c>
      <c r="G299" s="9" t="s">
        <v>73</v>
      </c>
      <c r="H299" s="9" t="s">
        <v>18</v>
      </c>
      <c r="J299" s="9" t="s">
        <v>74</v>
      </c>
      <c r="K299" s="9" t="s">
        <v>1371</v>
      </c>
      <c r="L299" s="9" t="s">
        <v>1376</v>
      </c>
      <c r="M299" s="9" t="s">
        <v>75</v>
      </c>
      <c r="N299" s="9" t="str">
        <f t="shared" si="4"/>
        <v>ISAC NONATO</v>
      </c>
    </row>
    <row r="300" spans="1:14" x14ac:dyDescent="0.3">
      <c r="A300" s="9">
        <v>700051</v>
      </c>
      <c r="B300" s="9" t="s">
        <v>354</v>
      </c>
      <c r="C300" s="10" t="s">
        <v>15</v>
      </c>
      <c r="D300" s="11">
        <v>43115</v>
      </c>
      <c r="E300" s="9" t="s">
        <v>71</v>
      </c>
      <c r="F300" s="9">
        <v>25201</v>
      </c>
      <c r="G300" s="9" t="s">
        <v>89</v>
      </c>
      <c r="H300" s="9" t="s">
        <v>18</v>
      </c>
      <c r="J300" s="9" t="s">
        <v>19</v>
      </c>
      <c r="K300" s="9" t="s">
        <v>1368</v>
      </c>
      <c r="L300" s="9" t="s">
        <v>20</v>
      </c>
      <c r="M300" s="9" t="s">
        <v>1632</v>
      </c>
      <c r="N300" s="9" t="str">
        <f t="shared" si="4"/>
        <v>THIAGO MARCOS</v>
      </c>
    </row>
    <row r="301" spans="1:14" x14ac:dyDescent="0.3">
      <c r="A301" s="9">
        <v>105024</v>
      </c>
      <c r="B301" s="9" t="s">
        <v>355</v>
      </c>
      <c r="C301" s="10" t="s">
        <v>15</v>
      </c>
      <c r="D301" s="11">
        <v>42500</v>
      </c>
      <c r="E301" s="9" t="s">
        <v>166</v>
      </c>
      <c r="F301" s="9">
        <v>22102</v>
      </c>
      <c r="G301" s="9" t="s">
        <v>68</v>
      </c>
      <c r="H301" s="9" t="s">
        <v>18</v>
      </c>
      <c r="J301" s="9" t="s">
        <v>167</v>
      </c>
      <c r="K301" s="9" t="s">
        <v>1371</v>
      </c>
      <c r="L301" s="9" t="s">
        <v>1509</v>
      </c>
      <c r="M301" s="9" t="s">
        <v>1636</v>
      </c>
      <c r="N301" s="9" t="str">
        <f t="shared" si="4"/>
        <v>FABIANO DIAS</v>
      </c>
    </row>
    <row r="302" spans="1:14" x14ac:dyDescent="0.3">
      <c r="A302" s="9">
        <v>100674</v>
      </c>
      <c r="B302" s="9" t="s">
        <v>356</v>
      </c>
      <c r="C302" s="10" t="s">
        <v>15</v>
      </c>
      <c r="D302" s="11">
        <v>41981</v>
      </c>
      <c r="E302" s="9" t="s">
        <v>1214</v>
      </c>
      <c r="F302" s="9">
        <v>34101</v>
      </c>
      <c r="G302" s="9" t="s">
        <v>43</v>
      </c>
      <c r="H302" s="9" t="s">
        <v>18</v>
      </c>
      <c r="J302" s="9" t="s">
        <v>237</v>
      </c>
      <c r="K302" s="9" t="s">
        <v>25</v>
      </c>
      <c r="L302" s="9" t="s">
        <v>1384</v>
      </c>
      <c r="N302" s="9" t="str">
        <f t="shared" si="4"/>
        <v xml:space="preserve">MARCOS VINICIUS </v>
      </c>
    </row>
    <row r="303" spans="1:14" x14ac:dyDescent="0.3">
      <c r="A303" s="9">
        <v>700692</v>
      </c>
      <c r="B303" s="9" t="s">
        <v>357</v>
      </c>
      <c r="C303" s="10" t="s">
        <v>15</v>
      </c>
      <c r="D303" s="11">
        <v>43389</v>
      </c>
      <c r="E303" s="9" t="s">
        <v>166</v>
      </c>
      <c r="F303" s="9">
        <v>52104</v>
      </c>
      <c r="G303" s="9" t="s">
        <v>17</v>
      </c>
      <c r="H303" s="9" t="s">
        <v>18</v>
      </c>
      <c r="J303" s="9" t="s">
        <v>37</v>
      </c>
      <c r="K303" s="9" t="s">
        <v>1368</v>
      </c>
      <c r="L303" s="9" t="s">
        <v>20</v>
      </c>
      <c r="M303" s="9" t="s">
        <v>1634</v>
      </c>
      <c r="N303" s="9" t="str">
        <f t="shared" si="4"/>
        <v>IRON SANTOS</v>
      </c>
    </row>
    <row r="304" spans="1:14" x14ac:dyDescent="0.3">
      <c r="A304" s="9">
        <v>703298</v>
      </c>
      <c r="B304" s="9" t="s">
        <v>358</v>
      </c>
      <c r="C304" s="10" t="s">
        <v>15</v>
      </c>
      <c r="D304" s="11">
        <v>44810</v>
      </c>
      <c r="E304" s="9" t="s">
        <v>60</v>
      </c>
      <c r="F304" s="9">
        <v>22102</v>
      </c>
      <c r="G304" s="9" t="s">
        <v>68</v>
      </c>
      <c r="H304" s="9" t="s">
        <v>18</v>
      </c>
      <c r="J304" s="9" t="s">
        <v>142</v>
      </c>
      <c r="K304" s="9" t="s">
        <v>1371</v>
      </c>
      <c r="L304" s="9" t="s">
        <v>1509</v>
      </c>
      <c r="M304" s="9" t="s">
        <v>1633</v>
      </c>
      <c r="N304" s="9" t="str">
        <f t="shared" si="4"/>
        <v>CRISTIANO BARBOSA</v>
      </c>
    </row>
    <row r="305" spans="1:14" x14ac:dyDescent="0.3">
      <c r="A305" s="9">
        <v>705133</v>
      </c>
      <c r="B305" s="9" t="s">
        <v>1143</v>
      </c>
      <c r="C305" s="10" t="s">
        <v>15</v>
      </c>
      <c r="D305" s="11">
        <v>45698</v>
      </c>
      <c r="E305" s="9" t="s">
        <v>16</v>
      </c>
      <c r="F305" s="9">
        <v>22102</v>
      </c>
      <c r="G305" s="9" t="s">
        <v>68</v>
      </c>
      <c r="H305" s="9" t="s">
        <v>18</v>
      </c>
      <c r="J305" s="9" t="s">
        <v>94</v>
      </c>
      <c r="K305" s="9" t="s">
        <v>1371</v>
      </c>
      <c r="L305" s="9" t="s">
        <v>1378</v>
      </c>
      <c r="M305" s="9" t="s">
        <v>95</v>
      </c>
      <c r="N305" s="9" t="str">
        <f t="shared" si="4"/>
        <v>LUAN ABADIA</v>
      </c>
    </row>
    <row r="306" spans="1:14" x14ac:dyDescent="0.3">
      <c r="A306" s="9">
        <v>704574</v>
      </c>
      <c r="B306" s="9" t="s">
        <v>359</v>
      </c>
      <c r="C306" s="10" t="s">
        <v>15</v>
      </c>
      <c r="D306" s="11">
        <v>45448</v>
      </c>
      <c r="E306" s="9" t="s">
        <v>166</v>
      </c>
      <c r="F306" s="9">
        <v>22102</v>
      </c>
      <c r="G306" s="9" t="s">
        <v>68</v>
      </c>
      <c r="H306" s="9" t="s">
        <v>18</v>
      </c>
      <c r="J306" s="9" t="s">
        <v>94</v>
      </c>
      <c r="K306" s="9" t="s">
        <v>1371</v>
      </c>
      <c r="L306" s="9" t="s">
        <v>1378</v>
      </c>
      <c r="M306" s="9" t="s">
        <v>95</v>
      </c>
      <c r="N306" s="9" t="str">
        <f t="shared" si="4"/>
        <v>LUAN ABADIA</v>
      </c>
    </row>
    <row r="307" spans="1:14" x14ac:dyDescent="0.3">
      <c r="A307" s="9">
        <v>704897</v>
      </c>
      <c r="B307" s="9" t="s">
        <v>360</v>
      </c>
      <c r="C307" s="10" t="s">
        <v>15</v>
      </c>
      <c r="D307" s="11">
        <v>45601</v>
      </c>
      <c r="E307" s="9" t="s">
        <v>60</v>
      </c>
      <c r="F307" s="9">
        <v>39309</v>
      </c>
      <c r="G307" s="9" t="s">
        <v>1277</v>
      </c>
      <c r="H307" s="9" t="s">
        <v>18</v>
      </c>
      <c r="J307" s="9" t="s">
        <v>33</v>
      </c>
      <c r="K307" s="9" t="s">
        <v>1368</v>
      </c>
      <c r="L307" s="9" t="s">
        <v>20</v>
      </c>
      <c r="M307" s="9" t="s">
        <v>1634</v>
      </c>
      <c r="N307" s="9" t="str">
        <f t="shared" si="4"/>
        <v>IRON SANTOS</v>
      </c>
    </row>
    <row r="308" spans="1:14" x14ac:dyDescent="0.3">
      <c r="A308" s="9">
        <v>101541</v>
      </c>
      <c r="B308" s="9" t="s">
        <v>361</v>
      </c>
      <c r="C308" s="10" t="s">
        <v>15</v>
      </c>
      <c r="D308" s="11">
        <v>42838</v>
      </c>
      <c r="E308" s="9" t="s">
        <v>362</v>
      </c>
      <c r="F308" s="9">
        <v>25201</v>
      </c>
      <c r="G308" s="9" t="s">
        <v>89</v>
      </c>
      <c r="H308" s="9" t="s">
        <v>18</v>
      </c>
      <c r="J308" s="9" t="s">
        <v>19</v>
      </c>
      <c r="K308" s="9" t="s">
        <v>1368</v>
      </c>
      <c r="L308" s="9" t="s">
        <v>20</v>
      </c>
      <c r="M308" s="9" t="s">
        <v>1632</v>
      </c>
      <c r="N308" s="9" t="str">
        <f t="shared" si="4"/>
        <v>THIAGO MARCOS</v>
      </c>
    </row>
    <row r="309" spans="1:14" x14ac:dyDescent="0.3">
      <c r="A309" s="9">
        <v>105925</v>
      </c>
      <c r="B309" s="9" t="s">
        <v>364</v>
      </c>
      <c r="C309" s="10" t="s">
        <v>15</v>
      </c>
      <c r="D309" s="11">
        <v>43346</v>
      </c>
      <c r="E309" s="9" t="s">
        <v>149</v>
      </c>
      <c r="F309" s="9">
        <v>39302</v>
      </c>
      <c r="G309" s="9" t="s">
        <v>102</v>
      </c>
      <c r="H309" s="9" t="s">
        <v>18</v>
      </c>
      <c r="J309" s="9" t="s">
        <v>57</v>
      </c>
      <c r="K309" s="9" t="s">
        <v>1371</v>
      </c>
      <c r="L309" s="9" t="s">
        <v>1376</v>
      </c>
      <c r="M309" s="9" t="s">
        <v>1635</v>
      </c>
      <c r="N309" s="9" t="str">
        <f t="shared" si="4"/>
        <v>WARLEY RIBEIRO / EUDES FERNANDES</v>
      </c>
    </row>
    <row r="310" spans="1:14" x14ac:dyDescent="0.3">
      <c r="A310" s="9">
        <v>701724</v>
      </c>
      <c r="B310" s="9" t="s">
        <v>365</v>
      </c>
      <c r="C310" s="10" t="s">
        <v>15</v>
      </c>
      <c r="D310" s="11">
        <v>44025</v>
      </c>
      <c r="E310" s="9" t="s">
        <v>52</v>
      </c>
      <c r="F310" s="9">
        <v>32101</v>
      </c>
      <c r="G310" s="9" t="s">
        <v>23</v>
      </c>
      <c r="H310" s="9" t="s">
        <v>18</v>
      </c>
      <c r="J310" s="9" t="s">
        <v>24</v>
      </c>
      <c r="K310" s="9" t="s">
        <v>25</v>
      </c>
      <c r="L310" s="9" t="s">
        <v>1369</v>
      </c>
      <c r="M310" s="9" t="s">
        <v>1370</v>
      </c>
      <c r="N310" s="9" t="str">
        <f t="shared" si="4"/>
        <v>JUNIO COSTA</v>
      </c>
    </row>
    <row r="311" spans="1:14" x14ac:dyDescent="0.3">
      <c r="A311" s="9">
        <v>701142</v>
      </c>
      <c r="B311" s="9" t="s">
        <v>366</v>
      </c>
      <c r="C311" s="10" t="s">
        <v>15</v>
      </c>
      <c r="D311" s="11">
        <v>43675</v>
      </c>
      <c r="E311" s="9" t="s">
        <v>31</v>
      </c>
      <c r="F311" s="9">
        <v>22102</v>
      </c>
      <c r="G311" s="9" t="s">
        <v>68</v>
      </c>
      <c r="H311" s="9" t="s">
        <v>18</v>
      </c>
      <c r="J311" s="9" t="s">
        <v>142</v>
      </c>
      <c r="K311" s="9" t="s">
        <v>1371</v>
      </c>
      <c r="L311" s="9" t="s">
        <v>1509</v>
      </c>
      <c r="M311" s="9" t="s">
        <v>1633</v>
      </c>
      <c r="N311" s="9" t="str">
        <f t="shared" si="4"/>
        <v>CRISTIANO BARBOSA</v>
      </c>
    </row>
    <row r="312" spans="1:14" x14ac:dyDescent="0.3">
      <c r="A312" s="9">
        <v>702589</v>
      </c>
      <c r="B312" s="9" t="s">
        <v>367</v>
      </c>
      <c r="C312" s="10" t="s">
        <v>15</v>
      </c>
      <c r="D312" s="11">
        <v>44487</v>
      </c>
      <c r="E312" s="9" t="s">
        <v>60</v>
      </c>
      <c r="F312" s="9">
        <v>22102</v>
      </c>
      <c r="G312" s="9" t="s">
        <v>68</v>
      </c>
      <c r="H312" s="9" t="s">
        <v>18</v>
      </c>
      <c r="J312" s="9" t="s">
        <v>142</v>
      </c>
      <c r="K312" s="9" t="s">
        <v>1371</v>
      </c>
      <c r="L312" s="9" t="s">
        <v>1509</v>
      </c>
      <c r="M312" s="9" t="s">
        <v>1633</v>
      </c>
      <c r="N312" s="9" t="str">
        <f t="shared" si="4"/>
        <v>CRISTIANO BARBOSA</v>
      </c>
    </row>
    <row r="313" spans="1:14" x14ac:dyDescent="0.3">
      <c r="A313" s="9">
        <v>77013481</v>
      </c>
      <c r="B313" s="9" t="s">
        <v>1663</v>
      </c>
      <c r="C313" s="10" t="s">
        <v>15</v>
      </c>
      <c r="D313" s="11">
        <v>46119</v>
      </c>
      <c r="E313" s="9" t="s">
        <v>77</v>
      </c>
      <c r="F313" s="9">
        <v>38107</v>
      </c>
      <c r="G313" s="9" t="s">
        <v>1503</v>
      </c>
      <c r="H313" s="9" t="s">
        <v>18</v>
      </c>
      <c r="J313" s="9" t="s">
        <v>78</v>
      </c>
      <c r="K313" s="9" t="s">
        <v>1372</v>
      </c>
      <c r="N313" s="9" t="str">
        <f t="shared" si="4"/>
        <v xml:space="preserve">LEIDJANE MARTINS </v>
      </c>
    </row>
    <row r="314" spans="1:14" x14ac:dyDescent="0.3">
      <c r="A314" s="9">
        <v>705560</v>
      </c>
      <c r="B314" s="9" t="s">
        <v>1317</v>
      </c>
      <c r="C314" s="10" t="s">
        <v>15</v>
      </c>
      <c r="D314" s="11">
        <v>45874</v>
      </c>
      <c r="E314" s="9" t="s">
        <v>31</v>
      </c>
      <c r="F314" s="9">
        <v>52104</v>
      </c>
      <c r="G314" s="9" t="s">
        <v>17</v>
      </c>
      <c r="H314" s="9" t="s">
        <v>18</v>
      </c>
      <c r="J314" s="9" t="s">
        <v>19</v>
      </c>
      <c r="K314" s="9" t="s">
        <v>1368</v>
      </c>
      <c r="L314" s="9" t="s">
        <v>20</v>
      </c>
      <c r="M314" s="9" t="s">
        <v>1632</v>
      </c>
      <c r="N314" s="9" t="str">
        <f t="shared" si="4"/>
        <v>THIAGO MARCOS</v>
      </c>
    </row>
    <row r="315" spans="1:14" x14ac:dyDescent="0.3">
      <c r="A315" s="9">
        <v>705969</v>
      </c>
      <c r="B315" s="9" t="s">
        <v>1664</v>
      </c>
      <c r="C315" s="10" t="s">
        <v>15</v>
      </c>
      <c r="D315" s="11">
        <v>46119</v>
      </c>
      <c r="E315" s="9" t="s">
        <v>77</v>
      </c>
      <c r="F315" s="9">
        <v>38107</v>
      </c>
      <c r="G315" s="9" t="s">
        <v>1503</v>
      </c>
      <c r="H315" s="9" t="s">
        <v>18</v>
      </c>
      <c r="J315" s="9" t="s">
        <v>78</v>
      </c>
      <c r="K315" s="9" t="s">
        <v>1372</v>
      </c>
      <c r="N315" s="9" t="str">
        <f t="shared" si="4"/>
        <v xml:space="preserve">LEIDJANE MARTINS </v>
      </c>
    </row>
    <row r="316" spans="1:14" x14ac:dyDescent="0.3">
      <c r="A316" s="9">
        <v>701393</v>
      </c>
      <c r="B316" s="9" t="s">
        <v>369</v>
      </c>
      <c r="C316" s="10" t="s">
        <v>15</v>
      </c>
      <c r="D316" s="11">
        <v>40364</v>
      </c>
      <c r="E316" s="9" t="s">
        <v>166</v>
      </c>
      <c r="F316" s="9">
        <v>52104</v>
      </c>
      <c r="G316" s="9" t="s">
        <v>17</v>
      </c>
      <c r="H316" s="9" t="s">
        <v>18</v>
      </c>
      <c r="J316" s="9" t="s">
        <v>19</v>
      </c>
      <c r="K316" s="9" t="s">
        <v>1368</v>
      </c>
      <c r="L316" s="9" t="s">
        <v>20</v>
      </c>
      <c r="M316" s="9" t="s">
        <v>1632</v>
      </c>
      <c r="N316" s="9" t="str">
        <f t="shared" si="4"/>
        <v>THIAGO MARCOS</v>
      </c>
    </row>
    <row r="317" spans="1:14" x14ac:dyDescent="0.3">
      <c r="A317" s="9">
        <v>703420</v>
      </c>
      <c r="B317" s="9" t="s">
        <v>370</v>
      </c>
      <c r="C317" s="10" t="s">
        <v>15</v>
      </c>
      <c r="D317" s="11">
        <v>44873</v>
      </c>
      <c r="E317" s="9" t="s">
        <v>371</v>
      </c>
      <c r="F317" s="9">
        <v>39301</v>
      </c>
      <c r="G317" s="9" t="s">
        <v>73</v>
      </c>
      <c r="H317" s="9" t="s">
        <v>18</v>
      </c>
      <c r="J317" s="9" t="s">
        <v>74</v>
      </c>
      <c r="K317" s="9" t="s">
        <v>1371</v>
      </c>
      <c r="L317" s="9" t="s">
        <v>1376</v>
      </c>
      <c r="M317" s="9" t="s">
        <v>75</v>
      </c>
      <c r="N317" s="9" t="str">
        <f t="shared" si="4"/>
        <v>ISAC NONATO</v>
      </c>
    </row>
    <row r="318" spans="1:14" x14ac:dyDescent="0.3">
      <c r="A318" s="9">
        <v>704222</v>
      </c>
      <c r="B318" s="9" t="s">
        <v>372</v>
      </c>
      <c r="C318" s="10" t="s">
        <v>15</v>
      </c>
      <c r="D318" s="11">
        <v>45328</v>
      </c>
      <c r="E318" s="9" t="s">
        <v>31</v>
      </c>
      <c r="F318" s="9">
        <v>25201</v>
      </c>
      <c r="G318" s="9" t="s">
        <v>89</v>
      </c>
      <c r="H318" s="9" t="s">
        <v>18</v>
      </c>
      <c r="J318" s="9" t="s">
        <v>19</v>
      </c>
      <c r="K318" s="9" t="s">
        <v>1368</v>
      </c>
      <c r="L318" s="9" t="s">
        <v>20</v>
      </c>
      <c r="M318" s="9" t="s">
        <v>1632</v>
      </c>
      <c r="N318" s="9" t="str">
        <f t="shared" si="4"/>
        <v>THIAGO MARCOS</v>
      </c>
    </row>
    <row r="319" spans="1:14" x14ac:dyDescent="0.3">
      <c r="A319" s="9">
        <v>705092</v>
      </c>
      <c r="B319" s="9" t="s">
        <v>373</v>
      </c>
      <c r="C319" s="10" t="s">
        <v>15</v>
      </c>
      <c r="D319" s="11">
        <v>45670</v>
      </c>
      <c r="E319" s="9" t="s">
        <v>40</v>
      </c>
      <c r="F319" s="9">
        <v>41504</v>
      </c>
      <c r="G319" s="9" t="s">
        <v>1275</v>
      </c>
      <c r="H319" s="9" t="s">
        <v>18</v>
      </c>
      <c r="J319" s="9" t="s">
        <v>19</v>
      </c>
      <c r="K319" s="9" t="s">
        <v>1368</v>
      </c>
      <c r="L319" s="9" t="s">
        <v>20</v>
      </c>
      <c r="M319" s="9" t="s">
        <v>1632</v>
      </c>
      <c r="N319" s="9" t="str">
        <f t="shared" si="4"/>
        <v>THIAGO MARCOS</v>
      </c>
    </row>
    <row r="320" spans="1:14" x14ac:dyDescent="0.3">
      <c r="A320" s="9">
        <v>705065</v>
      </c>
      <c r="B320" s="9" t="s">
        <v>374</v>
      </c>
      <c r="C320" s="10" t="s">
        <v>15</v>
      </c>
      <c r="D320" s="11">
        <v>45670</v>
      </c>
      <c r="E320" s="9" t="s">
        <v>362</v>
      </c>
      <c r="F320" s="9">
        <v>25201</v>
      </c>
      <c r="G320" s="9" t="s">
        <v>89</v>
      </c>
      <c r="H320" s="9" t="s">
        <v>18</v>
      </c>
      <c r="J320" s="9" t="s">
        <v>37</v>
      </c>
      <c r="K320" s="9" t="s">
        <v>1368</v>
      </c>
      <c r="L320" s="9" t="s">
        <v>20</v>
      </c>
      <c r="M320" s="9" t="s">
        <v>1634</v>
      </c>
      <c r="N320" s="9" t="str">
        <f t="shared" si="4"/>
        <v>IRON SANTOS</v>
      </c>
    </row>
    <row r="321" spans="1:14" x14ac:dyDescent="0.3">
      <c r="A321" s="9">
        <v>705688</v>
      </c>
      <c r="B321" s="9" t="s">
        <v>1407</v>
      </c>
      <c r="C321" s="10" t="s">
        <v>233</v>
      </c>
      <c r="D321" s="11">
        <v>45945</v>
      </c>
      <c r="E321" s="9" t="s">
        <v>446</v>
      </c>
      <c r="F321" s="9">
        <v>33101</v>
      </c>
      <c r="G321" s="9" t="s">
        <v>186</v>
      </c>
      <c r="H321" s="9" t="s">
        <v>18</v>
      </c>
      <c r="J321" s="9" t="s">
        <v>1643</v>
      </c>
      <c r="K321" s="9" t="s">
        <v>25</v>
      </c>
      <c r="M321" s="9" t="s">
        <v>1780</v>
      </c>
      <c r="N321" s="9" t="str">
        <f t="shared" si="4"/>
        <v>JOSE ALBERISSON</v>
      </c>
    </row>
    <row r="322" spans="1:14" x14ac:dyDescent="0.3">
      <c r="A322" s="9">
        <v>706018</v>
      </c>
      <c r="B322" s="9" t="s">
        <v>1665</v>
      </c>
      <c r="C322" s="10" t="s">
        <v>15</v>
      </c>
      <c r="D322" s="11">
        <v>46126</v>
      </c>
      <c r="E322" s="9" t="s">
        <v>138</v>
      </c>
      <c r="F322" s="9">
        <v>51219</v>
      </c>
      <c r="G322" s="9" t="s">
        <v>61</v>
      </c>
      <c r="H322" s="9" t="s">
        <v>18</v>
      </c>
      <c r="J322" s="9" t="s">
        <v>19</v>
      </c>
      <c r="K322" s="9" t="s">
        <v>1368</v>
      </c>
      <c r="L322" s="9" t="s">
        <v>20</v>
      </c>
      <c r="M322" s="9" t="s">
        <v>1632</v>
      </c>
      <c r="N322" s="9" t="str">
        <f t="shared" si="4"/>
        <v>THIAGO MARCOS</v>
      </c>
    </row>
    <row r="323" spans="1:14" x14ac:dyDescent="0.3">
      <c r="A323" s="9">
        <v>100760</v>
      </c>
      <c r="B323" s="9" t="s">
        <v>375</v>
      </c>
      <c r="C323" s="10" t="s">
        <v>15</v>
      </c>
      <c r="D323" s="11">
        <v>42198</v>
      </c>
      <c r="E323" s="9" t="s">
        <v>368</v>
      </c>
      <c r="F323" s="9">
        <v>32101</v>
      </c>
      <c r="G323" s="9" t="s">
        <v>23</v>
      </c>
      <c r="H323" s="9" t="s">
        <v>18</v>
      </c>
      <c r="J323" s="9" t="s">
        <v>1666</v>
      </c>
      <c r="K323" s="9" t="s">
        <v>25</v>
      </c>
      <c r="L323" s="9" t="s">
        <v>1369</v>
      </c>
      <c r="N323" s="9" t="str">
        <f t="shared" ref="N323:N386" si="5">IF(M323&lt;&gt;"", M323, IF(L323&lt;&gt;"", L323, K323))</f>
        <v>FERNANDO GUILHERME</v>
      </c>
    </row>
    <row r="324" spans="1:14" x14ac:dyDescent="0.3">
      <c r="A324" s="9">
        <v>701127</v>
      </c>
      <c r="B324" s="9" t="s">
        <v>376</v>
      </c>
      <c r="C324" s="10" t="s">
        <v>15</v>
      </c>
      <c r="D324" s="11">
        <v>42381</v>
      </c>
      <c r="E324" s="9" t="s">
        <v>116</v>
      </c>
      <c r="F324" s="9">
        <v>34201</v>
      </c>
      <c r="G324" s="9" t="s">
        <v>84</v>
      </c>
      <c r="H324" s="9" t="s">
        <v>18</v>
      </c>
      <c r="J324" s="9" t="s">
        <v>85</v>
      </c>
      <c r="K324" s="9" t="s">
        <v>1371</v>
      </c>
      <c r="L324" s="9" t="s">
        <v>1380</v>
      </c>
      <c r="M324" s="9" t="s">
        <v>1380</v>
      </c>
      <c r="N324" s="9" t="str">
        <f t="shared" si="5"/>
        <v xml:space="preserve">LEONARDO SANTOS </v>
      </c>
    </row>
    <row r="325" spans="1:14" x14ac:dyDescent="0.3">
      <c r="A325" s="9">
        <v>101518</v>
      </c>
      <c r="B325" s="9" t="s">
        <v>377</v>
      </c>
      <c r="C325" s="10" t="s">
        <v>15</v>
      </c>
      <c r="D325" s="11">
        <v>42982</v>
      </c>
      <c r="E325" s="9" t="s">
        <v>1221</v>
      </c>
      <c r="F325" s="9">
        <v>34201</v>
      </c>
      <c r="G325" s="9" t="s">
        <v>84</v>
      </c>
      <c r="H325" s="9" t="s">
        <v>18</v>
      </c>
      <c r="J325" s="9" t="s">
        <v>85</v>
      </c>
      <c r="K325" s="9" t="s">
        <v>1371</v>
      </c>
      <c r="L325" s="9" t="s">
        <v>1380</v>
      </c>
      <c r="M325" s="9" t="s">
        <v>1380</v>
      </c>
      <c r="N325" s="9" t="str">
        <f t="shared" si="5"/>
        <v xml:space="preserve">LEONARDO SANTOS </v>
      </c>
    </row>
    <row r="326" spans="1:14" x14ac:dyDescent="0.3">
      <c r="A326" s="9">
        <v>704965</v>
      </c>
      <c r="B326" s="9" t="s">
        <v>378</v>
      </c>
      <c r="C326" s="10" t="s">
        <v>15</v>
      </c>
      <c r="D326" s="11">
        <v>45629</v>
      </c>
      <c r="E326" s="9" t="s">
        <v>91</v>
      </c>
      <c r="F326" s="9">
        <v>34201</v>
      </c>
      <c r="G326" s="9" t="s">
        <v>84</v>
      </c>
      <c r="H326" s="9" t="s">
        <v>18</v>
      </c>
      <c r="J326" s="9" t="s">
        <v>85</v>
      </c>
      <c r="K326" s="9" t="s">
        <v>1371</v>
      </c>
      <c r="L326" s="9" t="s">
        <v>1380</v>
      </c>
      <c r="M326" s="9" t="s">
        <v>1380</v>
      </c>
      <c r="N326" s="9" t="str">
        <f t="shared" si="5"/>
        <v xml:space="preserve">LEONARDO SANTOS </v>
      </c>
    </row>
    <row r="327" spans="1:14" x14ac:dyDescent="0.3">
      <c r="A327" s="9">
        <v>705095</v>
      </c>
      <c r="B327" s="9" t="s">
        <v>379</v>
      </c>
      <c r="C327" s="10" t="s">
        <v>15</v>
      </c>
      <c r="D327" s="11">
        <v>45670</v>
      </c>
      <c r="E327" s="9" t="s">
        <v>31</v>
      </c>
      <c r="F327" s="9">
        <v>25201</v>
      </c>
      <c r="G327" s="9" t="s">
        <v>89</v>
      </c>
      <c r="H327" s="9" t="s">
        <v>18</v>
      </c>
      <c r="J327" s="9" t="s">
        <v>19</v>
      </c>
      <c r="K327" s="9" t="s">
        <v>1368</v>
      </c>
      <c r="L327" s="9" t="s">
        <v>20</v>
      </c>
      <c r="M327" s="9" t="s">
        <v>1632</v>
      </c>
      <c r="N327" s="9" t="str">
        <f t="shared" si="5"/>
        <v>THIAGO MARCOS</v>
      </c>
    </row>
    <row r="328" spans="1:14" x14ac:dyDescent="0.3">
      <c r="A328" s="9">
        <v>704964</v>
      </c>
      <c r="B328" s="9" t="s">
        <v>380</v>
      </c>
      <c r="C328" s="10" t="s">
        <v>15</v>
      </c>
      <c r="D328" s="11">
        <v>45629</v>
      </c>
      <c r="E328" s="9" t="s">
        <v>381</v>
      </c>
      <c r="F328" s="9">
        <v>39302</v>
      </c>
      <c r="G328" s="9" t="s">
        <v>102</v>
      </c>
      <c r="H328" s="9" t="s">
        <v>18</v>
      </c>
      <c r="J328" s="9" t="s">
        <v>57</v>
      </c>
      <c r="K328" s="9" t="s">
        <v>1371</v>
      </c>
      <c r="L328" s="9" t="s">
        <v>1376</v>
      </c>
      <c r="M328" s="9" t="s">
        <v>1635</v>
      </c>
      <c r="N328" s="9" t="str">
        <f t="shared" si="5"/>
        <v>WARLEY RIBEIRO / EUDES FERNANDES</v>
      </c>
    </row>
    <row r="329" spans="1:14" x14ac:dyDescent="0.3">
      <c r="A329" s="9">
        <v>705928</v>
      </c>
      <c r="B329" s="9" t="s">
        <v>1667</v>
      </c>
      <c r="C329" s="10" t="s">
        <v>15</v>
      </c>
      <c r="D329" s="11">
        <v>46119</v>
      </c>
      <c r="E329" s="9" t="s">
        <v>77</v>
      </c>
      <c r="F329" s="9">
        <v>38107</v>
      </c>
      <c r="G329" s="9" t="s">
        <v>1503</v>
      </c>
      <c r="H329" s="9" t="s">
        <v>18</v>
      </c>
      <c r="J329" s="9" t="s">
        <v>78</v>
      </c>
      <c r="K329" s="9" t="s">
        <v>1372</v>
      </c>
      <c r="N329" s="9" t="str">
        <f t="shared" si="5"/>
        <v xml:space="preserve">LEIDJANE MARTINS </v>
      </c>
    </row>
    <row r="330" spans="1:14" x14ac:dyDescent="0.3">
      <c r="A330" s="9">
        <v>705719</v>
      </c>
      <c r="B330" s="9" t="s">
        <v>382</v>
      </c>
      <c r="C330" s="10" t="s">
        <v>15</v>
      </c>
      <c r="D330" s="11">
        <v>45972</v>
      </c>
      <c r="E330" s="9" t="s">
        <v>31</v>
      </c>
      <c r="F330" s="9">
        <v>25201</v>
      </c>
      <c r="G330" s="9" t="s">
        <v>89</v>
      </c>
      <c r="H330" s="9" t="s">
        <v>18</v>
      </c>
      <c r="J330" s="9" t="s">
        <v>19</v>
      </c>
      <c r="K330" s="9" t="s">
        <v>1368</v>
      </c>
      <c r="L330" s="9" t="s">
        <v>20</v>
      </c>
      <c r="M330" s="9" t="s">
        <v>1632</v>
      </c>
      <c r="N330" s="9" t="str">
        <f t="shared" si="5"/>
        <v>THIAGO MARCOS</v>
      </c>
    </row>
    <row r="331" spans="1:14" x14ac:dyDescent="0.3">
      <c r="A331" s="9">
        <v>703421</v>
      </c>
      <c r="B331" s="9" t="s">
        <v>383</v>
      </c>
      <c r="C331" s="10" t="s">
        <v>15</v>
      </c>
      <c r="D331" s="11">
        <v>44873</v>
      </c>
      <c r="E331" s="9" t="s">
        <v>31</v>
      </c>
      <c r="F331" s="9">
        <v>34201</v>
      </c>
      <c r="G331" s="9" t="s">
        <v>84</v>
      </c>
      <c r="H331" s="9" t="s">
        <v>18</v>
      </c>
      <c r="J331" s="9" t="s">
        <v>85</v>
      </c>
      <c r="K331" s="9" t="s">
        <v>1371</v>
      </c>
      <c r="L331" s="9" t="s">
        <v>1380</v>
      </c>
      <c r="M331" s="9" t="s">
        <v>1380</v>
      </c>
      <c r="N331" s="9" t="str">
        <f t="shared" si="5"/>
        <v xml:space="preserve">LEONARDO SANTOS </v>
      </c>
    </row>
    <row r="332" spans="1:14" x14ac:dyDescent="0.3">
      <c r="A332" s="9">
        <v>705940</v>
      </c>
      <c r="B332" s="9" t="s">
        <v>1668</v>
      </c>
      <c r="C332" s="10" t="s">
        <v>15</v>
      </c>
      <c r="D332" s="11">
        <v>46119</v>
      </c>
      <c r="E332" s="9" t="s">
        <v>77</v>
      </c>
      <c r="F332" s="9">
        <v>38107</v>
      </c>
      <c r="G332" s="9" t="s">
        <v>1503</v>
      </c>
      <c r="H332" s="9" t="s">
        <v>18</v>
      </c>
      <c r="J332" s="9" t="s">
        <v>78</v>
      </c>
      <c r="K332" s="9" t="s">
        <v>1372</v>
      </c>
      <c r="N332" s="9" t="str">
        <f t="shared" si="5"/>
        <v xml:space="preserve">LEIDJANE MARTINS </v>
      </c>
    </row>
    <row r="333" spans="1:14" x14ac:dyDescent="0.3">
      <c r="A333" s="9">
        <v>705758</v>
      </c>
      <c r="B333" s="9" t="s">
        <v>1485</v>
      </c>
      <c r="C333" s="10" t="s">
        <v>15</v>
      </c>
      <c r="D333" s="11">
        <v>45993</v>
      </c>
      <c r="E333" s="9" t="s">
        <v>238</v>
      </c>
      <c r="F333" s="9">
        <v>37101</v>
      </c>
      <c r="G333" s="9" t="s">
        <v>214</v>
      </c>
      <c r="H333" s="9" t="s">
        <v>18</v>
      </c>
      <c r="J333" s="9" t="s">
        <v>239</v>
      </c>
      <c r="K333" s="9" t="s">
        <v>216</v>
      </c>
      <c r="N333" s="9" t="str">
        <f t="shared" si="5"/>
        <v>CARSON NEVES</v>
      </c>
    </row>
    <row r="334" spans="1:14" x14ac:dyDescent="0.3">
      <c r="A334" s="9">
        <v>705890</v>
      </c>
      <c r="B334" s="9" t="s">
        <v>1546</v>
      </c>
      <c r="C334" s="10" t="s">
        <v>15</v>
      </c>
      <c r="D334" s="11">
        <v>46063</v>
      </c>
      <c r="E334" s="9" t="s">
        <v>31</v>
      </c>
      <c r="F334" s="9">
        <v>52104</v>
      </c>
      <c r="G334" s="9" t="s">
        <v>17</v>
      </c>
      <c r="H334" s="9" t="s">
        <v>18</v>
      </c>
      <c r="J334" s="9" t="s">
        <v>19</v>
      </c>
      <c r="K334" s="9" t="s">
        <v>1368</v>
      </c>
      <c r="L334" s="9" t="s">
        <v>20</v>
      </c>
      <c r="M334" s="9" t="s">
        <v>1632</v>
      </c>
      <c r="N334" s="9" t="str">
        <f t="shared" si="5"/>
        <v>THIAGO MARCOS</v>
      </c>
    </row>
    <row r="335" spans="1:14" x14ac:dyDescent="0.3">
      <c r="A335" s="9">
        <v>701993</v>
      </c>
      <c r="B335" s="9" t="s">
        <v>384</v>
      </c>
      <c r="C335" s="10" t="s">
        <v>15</v>
      </c>
      <c r="D335" s="11">
        <v>44214</v>
      </c>
      <c r="E335" s="9" t="s">
        <v>282</v>
      </c>
      <c r="F335" s="9">
        <v>32101</v>
      </c>
      <c r="G335" s="9" t="s">
        <v>23</v>
      </c>
      <c r="H335" s="9" t="s">
        <v>18</v>
      </c>
      <c r="J335" s="9" t="s">
        <v>1643</v>
      </c>
      <c r="K335" s="9" t="s">
        <v>25</v>
      </c>
      <c r="M335" s="9" t="s">
        <v>1780</v>
      </c>
      <c r="N335" s="9" t="str">
        <f t="shared" si="5"/>
        <v>JOSE ALBERISSON</v>
      </c>
    </row>
    <row r="336" spans="1:14" x14ac:dyDescent="0.3">
      <c r="A336" s="9">
        <v>702853</v>
      </c>
      <c r="B336" s="9" t="s">
        <v>386</v>
      </c>
      <c r="C336" s="10" t="s">
        <v>15</v>
      </c>
      <c r="D336" s="11">
        <v>44628</v>
      </c>
      <c r="E336" s="9" t="s">
        <v>387</v>
      </c>
      <c r="F336" s="9">
        <v>37101</v>
      </c>
      <c r="G336" s="9" t="s">
        <v>214</v>
      </c>
      <c r="H336" s="9" t="s">
        <v>18</v>
      </c>
      <c r="J336" s="9" t="s">
        <v>239</v>
      </c>
      <c r="K336" s="9" t="s">
        <v>216</v>
      </c>
      <c r="N336" s="9" t="str">
        <f t="shared" si="5"/>
        <v>CARSON NEVES</v>
      </c>
    </row>
    <row r="337" spans="1:14" x14ac:dyDescent="0.3">
      <c r="A337" s="9">
        <v>706038</v>
      </c>
      <c r="B337" s="9" t="s">
        <v>1669</v>
      </c>
      <c r="C337" s="10" t="s">
        <v>15</v>
      </c>
      <c r="D337" s="11">
        <v>46126</v>
      </c>
      <c r="E337" s="9" t="s">
        <v>31</v>
      </c>
      <c r="F337" s="9">
        <v>52104</v>
      </c>
      <c r="G337" s="9" t="s">
        <v>17</v>
      </c>
      <c r="H337" s="9" t="s">
        <v>18</v>
      </c>
      <c r="J337" s="9" t="s">
        <v>19</v>
      </c>
      <c r="K337" s="9" t="s">
        <v>1368</v>
      </c>
      <c r="L337" s="9" t="s">
        <v>20</v>
      </c>
      <c r="M337" s="9" t="s">
        <v>1632</v>
      </c>
      <c r="N337" s="9" t="str">
        <f t="shared" si="5"/>
        <v>THIAGO MARCOS</v>
      </c>
    </row>
    <row r="338" spans="1:14" x14ac:dyDescent="0.3">
      <c r="A338" s="9">
        <v>703018</v>
      </c>
      <c r="B338" s="9" t="s">
        <v>388</v>
      </c>
      <c r="C338" s="10" t="s">
        <v>15</v>
      </c>
      <c r="D338" s="11">
        <v>44692</v>
      </c>
      <c r="E338" s="9" t="s">
        <v>146</v>
      </c>
      <c r="F338" s="9">
        <v>39304</v>
      </c>
      <c r="G338" s="9" t="s">
        <v>56</v>
      </c>
      <c r="H338" s="9" t="s">
        <v>18</v>
      </c>
      <c r="J338" s="9" t="s">
        <v>57</v>
      </c>
      <c r="K338" s="9" t="s">
        <v>1371</v>
      </c>
      <c r="L338" s="9" t="s">
        <v>1376</v>
      </c>
      <c r="M338" s="9" t="s">
        <v>1635</v>
      </c>
      <c r="N338" s="9" t="str">
        <f t="shared" si="5"/>
        <v>WARLEY RIBEIRO / EUDES FERNANDES</v>
      </c>
    </row>
    <row r="339" spans="1:14" x14ac:dyDescent="0.3">
      <c r="A339" s="9">
        <v>704224</v>
      </c>
      <c r="B339" s="9" t="s">
        <v>389</v>
      </c>
      <c r="C339" s="10" t="s">
        <v>15</v>
      </c>
      <c r="D339" s="11">
        <v>45328</v>
      </c>
      <c r="E339" s="9" t="s">
        <v>16</v>
      </c>
      <c r="F339" s="9">
        <v>22102</v>
      </c>
      <c r="G339" s="9" t="s">
        <v>68</v>
      </c>
      <c r="H339" s="9" t="s">
        <v>18</v>
      </c>
      <c r="J339" s="9" t="s">
        <v>69</v>
      </c>
      <c r="K339" s="9" t="s">
        <v>1371</v>
      </c>
      <c r="L339" s="9" t="s">
        <v>1378</v>
      </c>
      <c r="N339" s="9" t="str">
        <f t="shared" si="5"/>
        <v xml:space="preserve">JOÃO KOMURA </v>
      </c>
    </row>
    <row r="340" spans="1:14" x14ac:dyDescent="0.3">
      <c r="A340" s="9">
        <v>705834</v>
      </c>
      <c r="B340" s="9" t="s">
        <v>1611</v>
      </c>
      <c r="C340" s="10" t="s">
        <v>15</v>
      </c>
      <c r="D340" s="11">
        <v>46091</v>
      </c>
      <c r="E340" s="9" t="s">
        <v>31</v>
      </c>
      <c r="F340" s="9">
        <v>51219</v>
      </c>
      <c r="G340" s="9" t="s">
        <v>61</v>
      </c>
      <c r="H340" s="9" t="s">
        <v>18</v>
      </c>
      <c r="J340" s="9" t="s">
        <v>19</v>
      </c>
      <c r="K340" s="9" t="s">
        <v>1368</v>
      </c>
      <c r="L340" s="9" t="s">
        <v>20</v>
      </c>
      <c r="M340" s="9" t="s">
        <v>1632</v>
      </c>
      <c r="N340" s="9" t="str">
        <f t="shared" si="5"/>
        <v>THIAGO MARCOS</v>
      </c>
    </row>
    <row r="341" spans="1:14" x14ac:dyDescent="0.3">
      <c r="A341" s="9">
        <v>705937</v>
      </c>
      <c r="B341" s="9" t="s">
        <v>1670</v>
      </c>
      <c r="C341" s="10" t="s">
        <v>15</v>
      </c>
      <c r="D341" s="11">
        <v>46119</v>
      </c>
      <c r="E341" s="9" t="s">
        <v>77</v>
      </c>
      <c r="F341" s="9">
        <v>38107</v>
      </c>
      <c r="G341" s="9" t="s">
        <v>1503</v>
      </c>
      <c r="H341" s="9" t="s">
        <v>18</v>
      </c>
      <c r="J341" s="9" t="s">
        <v>78</v>
      </c>
      <c r="K341" s="9" t="s">
        <v>1372</v>
      </c>
      <c r="N341" s="9" t="str">
        <f t="shared" si="5"/>
        <v xml:space="preserve">LEIDJANE MARTINS </v>
      </c>
    </row>
    <row r="342" spans="1:14" x14ac:dyDescent="0.3">
      <c r="A342" s="9">
        <v>705738</v>
      </c>
      <c r="B342" s="9" t="s">
        <v>390</v>
      </c>
      <c r="C342" s="10" t="s">
        <v>15</v>
      </c>
      <c r="D342" s="11">
        <v>45993</v>
      </c>
      <c r="E342" s="9" t="s">
        <v>446</v>
      </c>
      <c r="F342" s="9">
        <v>22101</v>
      </c>
      <c r="G342" s="9" t="s">
        <v>122</v>
      </c>
      <c r="H342" s="9" t="s">
        <v>18</v>
      </c>
      <c r="J342" s="9" t="s">
        <v>123</v>
      </c>
      <c r="K342" s="9" t="s">
        <v>124</v>
      </c>
      <c r="N342" s="9" t="str">
        <f t="shared" si="5"/>
        <v>MATHEUS FERNANDES</v>
      </c>
    </row>
    <row r="343" spans="1:14" x14ac:dyDescent="0.3">
      <c r="A343" s="9">
        <v>705237</v>
      </c>
      <c r="B343" s="9" t="s">
        <v>1183</v>
      </c>
      <c r="C343" s="10" t="s">
        <v>15</v>
      </c>
      <c r="D343" s="11">
        <v>45754</v>
      </c>
      <c r="E343" s="9" t="s">
        <v>31</v>
      </c>
      <c r="F343" s="9">
        <v>52104</v>
      </c>
      <c r="G343" s="9" t="s">
        <v>17</v>
      </c>
      <c r="H343" s="9" t="s">
        <v>18</v>
      </c>
      <c r="J343" s="9" t="s">
        <v>19</v>
      </c>
      <c r="K343" s="9" t="s">
        <v>1368</v>
      </c>
      <c r="L343" s="9" t="s">
        <v>20</v>
      </c>
      <c r="M343" s="9" t="s">
        <v>1632</v>
      </c>
      <c r="N343" s="9" t="str">
        <f t="shared" si="5"/>
        <v>THIAGO MARCOS</v>
      </c>
    </row>
    <row r="344" spans="1:14" x14ac:dyDescent="0.3">
      <c r="A344" s="9">
        <v>704167</v>
      </c>
      <c r="B344" s="9" t="s">
        <v>391</v>
      </c>
      <c r="C344" s="10" t="s">
        <v>15</v>
      </c>
      <c r="D344" s="11">
        <v>45271</v>
      </c>
      <c r="E344" s="9" t="s">
        <v>406</v>
      </c>
      <c r="F344" s="9">
        <v>12105</v>
      </c>
      <c r="G344" s="9" t="s">
        <v>393</v>
      </c>
      <c r="H344" s="9" t="s">
        <v>18</v>
      </c>
      <c r="J344" s="9" t="s">
        <v>394</v>
      </c>
      <c r="K344" s="9" t="s">
        <v>1386</v>
      </c>
      <c r="N344" s="9" t="str">
        <f t="shared" si="5"/>
        <v>JOÃO GORGULHO</v>
      </c>
    </row>
    <row r="345" spans="1:14" x14ac:dyDescent="0.3">
      <c r="A345" s="9">
        <v>705637</v>
      </c>
      <c r="B345" s="9" t="s">
        <v>1408</v>
      </c>
      <c r="C345" s="10" t="s">
        <v>92</v>
      </c>
      <c r="D345" s="11">
        <v>45937</v>
      </c>
      <c r="E345" s="9" t="s">
        <v>31</v>
      </c>
      <c r="F345" s="9">
        <v>52104</v>
      </c>
      <c r="G345" s="9" t="s">
        <v>17</v>
      </c>
      <c r="H345" s="9" t="s">
        <v>18</v>
      </c>
      <c r="I345" s="11">
        <v>46136</v>
      </c>
      <c r="J345" s="9" t="s">
        <v>19</v>
      </c>
      <c r="K345" s="9" t="s">
        <v>1368</v>
      </c>
      <c r="L345" s="9" t="s">
        <v>20</v>
      </c>
      <c r="M345" s="9" t="s">
        <v>1632</v>
      </c>
      <c r="N345" s="9" t="str">
        <f t="shared" si="5"/>
        <v>THIAGO MARCOS</v>
      </c>
    </row>
    <row r="346" spans="1:14" x14ac:dyDescent="0.3">
      <c r="A346" s="9">
        <v>705093</v>
      </c>
      <c r="B346" s="9" t="s">
        <v>395</v>
      </c>
      <c r="C346" s="10" t="s">
        <v>15</v>
      </c>
      <c r="D346" s="11">
        <v>45670</v>
      </c>
      <c r="E346" s="9" t="s">
        <v>40</v>
      </c>
      <c r="F346" s="9">
        <v>51219</v>
      </c>
      <c r="G346" s="9" t="s">
        <v>61</v>
      </c>
      <c r="H346" s="9" t="s">
        <v>18</v>
      </c>
      <c r="J346" s="9" t="s">
        <v>19</v>
      </c>
      <c r="K346" s="9" t="s">
        <v>1368</v>
      </c>
      <c r="L346" s="9" t="s">
        <v>20</v>
      </c>
      <c r="M346" s="9" t="s">
        <v>1632</v>
      </c>
      <c r="N346" s="9" t="str">
        <f t="shared" si="5"/>
        <v>THIAGO MARCOS</v>
      </c>
    </row>
    <row r="347" spans="1:14" x14ac:dyDescent="0.3">
      <c r="A347" s="9">
        <v>705975</v>
      </c>
      <c r="B347" s="9" t="s">
        <v>1671</v>
      </c>
      <c r="C347" s="10" t="s">
        <v>15</v>
      </c>
      <c r="D347" s="11">
        <v>46119</v>
      </c>
      <c r="E347" s="9" t="s">
        <v>77</v>
      </c>
      <c r="F347" s="9">
        <v>38107</v>
      </c>
      <c r="G347" s="9" t="s">
        <v>1503</v>
      </c>
      <c r="H347" s="9" t="s">
        <v>18</v>
      </c>
      <c r="J347" s="9" t="s">
        <v>78</v>
      </c>
      <c r="K347" s="9" t="s">
        <v>1372</v>
      </c>
      <c r="N347" s="9" t="str">
        <f t="shared" si="5"/>
        <v xml:space="preserve">LEIDJANE MARTINS </v>
      </c>
    </row>
    <row r="348" spans="1:14" x14ac:dyDescent="0.3">
      <c r="A348" s="9">
        <v>704156</v>
      </c>
      <c r="B348" s="9" t="s">
        <v>396</v>
      </c>
      <c r="C348" s="10" t="s">
        <v>15</v>
      </c>
      <c r="D348" s="11">
        <v>45264</v>
      </c>
      <c r="E348" s="9" t="s">
        <v>336</v>
      </c>
      <c r="F348" s="9">
        <v>38107</v>
      </c>
      <c r="G348" s="9" t="s">
        <v>1503</v>
      </c>
      <c r="H348" s="9" t="s">
        <v>18</v>
      </c>
      <c r="J348" s="9" t="s">
        <v>78</v>
      </c>
      <c r="K348" s="9" t="s">
        <v>1372</v>
      </c>
      <c r="N348" s="9" t="str">
        <f t="shared" si="5"/>
        <v xml:space="preserve">LEIDJANE MARTINS </v>
      </c>
    </row>
    <row r="349" spans="1:14" x14ac:dyDescent="0.3">
      <c r="A349" s="9">
        <v>701616</v>
      </c>
      <c r="B349" s="9" t="s">
        <v>397</v>
      </c>
      <c r="C349" s="10" t="s">
        <v>15</v>
      </c>
      <c r="D349" s="11">
        <v>43998</v>
      </c>
      <c r="E349" s="9" t="s">
        <v>160</v>
      </c>
      <c r="F349" s="9">
        <v>32101</v>
      </c>
      <c r="G349" s="9" t="s">
        <v>23</v>
      </c>
      <c r="H349" s="9" t="s">
        <v>18</v>
      </c>
      <c r="J349" s="9" t="s">
        <v>24</v>
      </c>
      <c r="K349" s="9" t="s">
        <v>25</v>
      </c>
      <c r="L349" s="9" t="s">
        <v>1369</v>
      </c>
      <c r="M349" s="9" t="s">
        <v>1370</v>
      </c>
      <c r="N349" s="9" t="str">
        <f t="shared" si="5"/>
        <v>JUNIO COSTA</v>
      </c>
    </row>
    <row r="350" spans="1:14" x14ac:dyDescent="0.3">
      <c r="A350" s="9">
        <v>700483</v>
      </c>
      <c r="B350" s="9" t="s">
        <v>398</v>
      </c>
      <c r="C350" s="10" t="s">
        <v>15</v>
      </c>
      <c r="D350" s="11">
        <v>43346</v>
      </c>
      <c r="E350" s="9" t="s">
        <v>127</v>
      </c>
      <c r="F350" s="9">
        <v>22102</v>
      </c>
      <c r="G350" s="9" t="s">
        <v>68</v>
      </c>
      <c r="H350" s="9" t="s">
        <v>18</v>
      </c>
      <c r="J350" s="9" t="s">
        <v>81</v>
      </c>
      <c r="K350" s="9" t="s">
        <v>1371</v>
      </c>
      <c r="L350" s="9" t="s">
        <v>1509</v>
      </c>
      <c r="M350" s="9" t="s">
        <v>1379</v>
      </c>
      <c r="N350" s="9" t="str">
        <f t="shared" si="5"/>
        <v xml:space="preserve">EDSON/MARCELO LIMA </v>
      </c>
    </row>
    <row r="351" spans="1:14" x14ac:dyDescent="0.3">
      <c r="A351" s="9">
        <v>704191</v>
      </c>
      <c r="B351" s="9" t="s">
        <v>399</v>
      </c>
      <c r="C351" s="10" t="s">
        <v>15</v>
      </c>
      <c r="D351" s="11">
        <v>45300</v>
      </c>
      <c r="E351" s="9" t="s">
        <v>67</v>
      </c>
      <c r="F351" s="9">
        <v>22102</v>
      </c>
      <c r="G351" s="9" t="s">
        <v>68</v>
      </c>
      <c r="H351" s="9" t="s">
        <v>18</v>
      </c>
      <c r="J351" s="9" t="s">
        <v>94</v>
      </c>
      <c r="K351" s="9" t="s">
        <v>1371</v>
      </c>
      <c r="L351" s="9" t="s">
        <v>1378</v>
      </c>
      <c r="M351" s="9" t="s">
        <v>95</v>
      </c>
      <c r="N351" s="9" t="str">
        <f t="shared" si="5"/>
        <v>LUAN ABADIA</v>
      </c>
    </row>
    <row r="352" spans="1:14" x14ac:dyDescent="0.3">
      <c r="A352" s="9">
        <v>705718</v>
      </c>
      <c r="B352" s="9" t="s">
        <v>1451</v>
      </c>
      <c r="C352" s="10" t="s">
        <v>15</v>
      </c>
      <c r="D352" s="11">
        <v>45971</v>
      </c>
      <c r="E352" s="9" t="s">
        <v>31</v>
      </c>
      <c r="F352" s="9">
        <v>25201</v>
      </c>
      <c r="G352" s="9" t="s">
        <v>89</v>
      </c>
      <c r="H352" s="9" t="s">
        <v>18</v>
      </c>
      <c r="J352" s="9" t="s">
        <v>19</v>
      </c>
      <c r="K352" s="9" t="s">
        <v>1368</v>
      </c>
      <c r="L352" s="9" t="s">
        <v>20</v>
      </c>
      <c r="M352" s="9" t="s">
        <v>1632</v>
      </c>
      <c r="N352" s="9" t="str">
        <f t="shared" si="5"/>
        <v>THIAGO MARCOS</v>
      </c>
    </row>
    <row r="353" spans="1:14" x14ac:dyDescent="0.3">
      <c r="A353" s="9">
        <v>705015</v>
      </c>
      <c r="B353" s="9" t="s">
        <v>934</v>
      </c>
      <c r="C353" s="10" t="s">
        <v>15</v>
      </c>
      <c r="D353" s="11">
        <v>45635</v>
      </c>
      <c r="E353" s="9" t="s">
        <v>328</v>
      </c>
      <c r="F353" s="9">
        <v>37101</v>
      </c>
      <c r="G353" s="9" t="s">
        <v>214</v>
      </c>
      <c r="H353" s="9" t="s">
        <v>18</v>
      </c>
      <c r="J353" s="9" t="s">
        <v>239</v>
      </c>
      <c r="K353" s="9" t="s">
        <v>216</v>
      </c>
      <c r="N353" s="9" t="str">
        <f t="shared" si="5"/>
        <v>CARSON NEVES</v>
      </c>
    </row>
    <row r="354" spans="1:14" x14ac:dyDescent="0.3">
      <c r="A354" s="9">
        <v>705045</v>
      </c>
      <c r="B354" s="9" t="s">
        <v>400</v>
      </c>
      <c r="C354" s="10" t="s">
        <v>15</v>
      </c>
      <c r="D354" s="11">
        <v>45635</v>
      </c>
      <c r="E354" s="9" t="s">
        <v>1352</v>
      </c>
      <c r="F354" s="9">
        <v>31102</v>
      </c>
      <c r="G354" s="9" t="s">
        <v>135</v>
      </c>
      <c r="H354" s="9" t="s">
        <v>18</v>
      </c>
      <c r="J354" s="9" t="s">
        <v>136</v>
      </c>
      <c r="K354" s="9" t="s">
        <v>50</v>
      </c>
      <c r="L354" s="9" t="s">
        <v>1382</v>
      </c>
      <c r="M354" s="9" t="s">
        <v>1382</v>
      </c>
      <c r="N354" s="9" t="str">
        <f t="shared" si="5"/>
        <v>ADENILTON RODRIGUES</v>
      </c>
    </row>
    <row r="355" spans="1:14" x14ac:dyDescent="0.3">
      <c r="A355" s="9">
        <v>703237</v>
      </c>
      <c r="B355" s="9" t="s">
        <v>401</v>
      </c>
      <c r="C355" s="10" t="s">
        <v>92</v>
      </c>
      <c r="D355" s="11">
        <v>44760</v>
      </c>
      <c r="E355" s="9" t="s">
        <v>1353</v>
      </c>
      <c r="F355" s="9">
        <v>31102</v>
      </c>
      <c r="G355" s="9" t="s">
        <v>135</v>
      </c>
      <c r="H355" s="9" t="s">
        <v>18</v>
      </c>
      <c r="I355" s="11">
        <v>46113</v>
      </c>
      <c r="J355" s="9" t="s">
        <v>136</v>
      </c>
      <c r="K355" s="9" t="s">
        <v>50</v>
      </c>
      <c r="L355" s="9" t="s">
        <v>1382</v>
      </c>
      <c r="M355" s="9" t="s">
        <v>1382</v>
      </c>
      <c r="N355" s="9" t="str">
        <f t="shared" si="5"/>
        <v>ADENILTON RODRIGUES</v>
      </c>
    </row>
    <row r="356" spans="1:14" x14ac:dyDescent="0.3">
      <c r="A356" s="9">
        <v>704130</v>
      </c>
      <c r="B356" s="9" t="s">
        <v>402</v>
      </c>
      <c r="C356" s="10" t="s">
        <v>15</v>
      </c>
      <c r="D356" s="11">
        <v>45244</v>
      </c>
      <c r="E356" s="9" t="s">
        <v>31</v>
      </c>
      <c r="F356" s="9">
        <v>25201</v>
      </c>
      <c r="G356" s="9" t="s">
        <v>89</v>
      </c>
      <c r="H356" s="9" t="s">
        <v>18</v>
      </c>
      <c r="J356" s="9" t="s">
        <v>19</v>
      </c>
      <c r="K356" s="9" t="s">
        <v>1368</v>
      </c>
      <c r="L356" s="9" t="s">
        <v>20</v>
      </c>
      <c r="M356" s="9" t="s">
        <v>1632</v>
      </c>
      <c r="N356" s="9" t="str">
        <f t="shared" si="5"/>
        <v>THIAGO MARCOS</v>
      </c>
    </row>
    <row r="357" spans="1:14" x14ac:dyDescent="0.3">
      <c r="A357" s="9">
        <v>705239</v>
      </c>
      <c r="B357" s="9" t="s">
        <v>1184</v>
      </c>
      <c r="C357" s="10" t="s">
        <v>15</v>
      </c>
      <c r="D357" s="11">
        <v>45754</v>
      </c>
      <c r="E357" s="9" t="s">
        <v>31</v>
      </c>
      <c r="F357" s="9">
        <v>52104</v>
      </c>
      <c r="G357" s="9" t="s">
        <v>17</v>
      </c>
      <c r="H357" s="9" t="s">
        <v>18</v>
      </c>
      <c r="J357" s="9" t="s">
        <v>19</v>
      </c>
      <c r="K357" s="9" t="s">
        <v>1368</v>
      </c>
      <c r="L357" s="9" t="s">
        <v>20</v>
      </c>
      <c r="M357" s="9" t="s">
        <v>1632</v>
      </c>
      <c r="N357" s="9" t="str">
        <f t="shared" si="5"/>
        <v>THIAGO MARCOS</v>
      </c>
    </row>
    <row r="358" spans="1:14" x14ac:dyDescent="0.3">
      <c r="A358" s="9">
        <v>705447</v>
      </c>
      <c r="B358" s="9" t="s">
        <v>1262</v>
      </c>
      <c r="C358" s="10" t="s">
        <v>15</v>
      </c>
      <c r="D358" s="11">
        <v>45797</v>
      </c>
      <c r="E358" s="9" t="s">
        <v>138</v>
      </c>
      <c r="F358" s="9">
        <v>22102</v>
      </c>
      <c r="G358" s="9" t="s">
        <v>68</v>
      </c>
      <c r="H358" s="9" t="s">
        <v>18</v>
      </c>
      <c r="J358" s="9" t="s">
        <v>81</v>
      </c>
      <c r="K358" s="9" t="s">
        <v>1371</v>
      </c>
      <c r="L358" s="9" t="s">
        <v>1509</v>
      </c>
      <c r="M358" s="9" t="s">
        <v>1379</v>
      </c>
      <c r="N358" s="9" t="str">
        <f t="shared" si="5"/>
        <v xml:space="preserve">EDSON/MARCELO LIMA </v>
      </c>
    </row>
    <row r="359" spans="1:14" x14ac:dyDescent="0.3">
      <c r="A359" s="9">
        <v>705411</v>
      </c>
      <c r="B359" s="9" t="s">
        <v>1225</v>
      </c>
      <c r="C359" s="10" t="s">
        <v>15</v>
      </c>
      <c r="D359" s="11">
        <v>45790</v>
      </c>
      <c r="E359" s="9" t="s">
        <v>72</v>
      </c>
      <c r="F359" s="9">
        <v>39304</v>
      </c>
      <c r="G359" s="9" t="s">
        <v>56</v>
      </c>
      <c r="H359" s="9" t="s">
        <v>18</v>
      </c>
      <c r="J359" s="9" t="s">
        <v>57</v>
      </c>
      <c r="K359" s="9" t="s">
        <v>1371</v>
      </c>
      <c r="L359" s="9" t="s">
        <v>1376</v>
      </c>
      <c r="M359" s="9" t="s">
        <v>1635</v>
      </c>
      <c r="N359" s="9" t="str">
        <f t="shared" si="5"/>
        <v>WARLEY RIBEIRO / EUDES FERNANDES</v>
      </c>
    </row>
    <row r="360" spans="1:14" x14ac:dyDescent="0.3">
      <c r="A360" s="9">
        <v>702400</v>
      </c>
      <c r="B360" s="9" t="s">
        <v>403</v>
      </c>
      <c r="C360" s="10" t="s">
        <v>15</v>
      </c>
      <c r="D360" s="11">
        <v>44383</v>
      </c>
      <c r="E360" s="9" t="s">
        <v>60</v>
      </c>
      <c r="F360" s="9">
        <v>22102</v>
      </c>
      <c r="G360" s="9" t="s">
        <v>68</v>
      </c>
      <c r="H360" s="9" t="s">
        <v>18</v>
      </c>
      <c r="J360" s="9" t="s">
        <v>167</v>
      </c>
      <c r="K360" s="9" t="s">
        <v>1371</v>
      </c>
      <c r="L360" s="9" t="s">
        <v>1509</v>
      </c>
      <c r="M360" s="9" t="s">
        <v>1636</v>
      </c>
      <c r="N360" s="9" t="str">
        <f t="shared" si="5"/>
        <v>FABIANO DIAS</v>
      </c>
    </row>
    <row r="361" spans="1:14" x14ac:dyDescent="0.3">
      <c r="A361" s="9">
        <v>702921</v>
      </c>
      <c r="B361" s="9" t="s">
        <v>404</v>
      </c>
      <c r="C361" s="10" t="s">
        <v>15</v>
      </c>
      <c r="D361" s="11">
        <v>44656</v>
      </c>
      <c r="E361" s="9" t="s">
        <v>219</v>
      </c>
      <c r="F361" s="9">
        <v>32101</v>
      </c>
      <c r="G361" s="9" t="s">
        <v>23</v>
      </c>
      <c r="H361" s="9" t="s">
        <v>18</v>
      </c>
      <c r="J361" s="9" t="s">
        <v>24</v>
      </c>
      <c r="K361" s="9" t="s">
        <v>25</v>
      </c>
      <c r="L361" s="9" t="s">
        <v>1369</v>
      </c>
      <c r="M361" s="9" t="s">
        <v>1370</v>
      </c>
      <c r="N361" s="9" t="str">
        <f t="shared" si="5"/>
        <v>JUNIO COSTA</v>
      </c>
    </row>
    <row r="362" spans="1:14" x14ac:dyDescent="0.3">
      <c r="A362" s="9">
        <v>702172</v>
      </c>
      <c r="B362" s="9" t="s">
        <v>405</v>
      </c>
      <c r="C362" s="10" t="s">
        <v>15</v>
      </c>
      <c r="D362" s="11">
        <v>44320</v>
      </c>
      <c r="E362" s="9" t="s">
        <v>105</v>
      </c>
      <c r="F362" s="9">
        <v>22102</v>
      </c>
      <c r="G362" s="9" t="s">
        <v>68</v>
      </c>
      <c r="H362" s="9" t="s">
        <v>18</v>
      </c>
      <c r="J362" s="9" t="s">
        <v>167</v>
      </c>
      <c r="K362" s="9" t="s">
        <v>1371</v>
      </c>
      <c r="L362" s="9" t="s">
        <v>1509</v>
      </c>
      <c r="M362" s="9" t="s">
        <v>1636</v>
      </c>
      <c r="N362" s="9" t="str">
        <f t="shared" si="5"/>
        <v>FABIANO DIAS</v>
      </c>
    </row>
    <row r="363" spans="1:14" x14ac:dyDescent="0.3">
      <c r="A363" s="9">
        <v>701299</v>
      </c>
      <c r="B363" s="9" t="s">
        <v>407</v>
      </c>
      <c r="C363" s="10" t="s">
        <v>15</v>
      </c>
      <c r="D363" s="11">
        <v>43724</v>
      </c>
      <c r="E363" s="9" t="s">
        <v>408</v>
      </c>
      <c r="F363" s="9">
        <v>37101</v>
      </c>
      <c r="G363" s="9" t="s">
        <v>214</v>
      </c>
      <c r="H363" s="9" t="s">
        <v>18</v>
      </c>
      <c r="J363" s="9" t="s">
        <v>239</v>
      </c>
      <c r="K363" s="9" t="s">
        <v>216</v>
      </c>
      <c r="N363" s="9" t="str">
        <f t="shared" si="5"/>
        <v>CARSON NEVES</v>
      </c>
    </row>
    <row r="364" spans="1:14" x14ac:dyDescent="0.3">
      <c r="A364" s="9">
        <v>705541</v>
      </c>
      <c r="B364" s="9" t="s">
        <v>1298</v>
      </c>
      <c r="C364" s="10" t="s">
        <v>15</v>
      </c>
      <c r="D364" s="11">
        <v>45847</v>
      </c>
      <c r="E364" s="9" t="s">
        <v>567</v>
      </c>
      <c r="F364" s="9">
        <v>33301</v>
      </c>
      <c r="G364" s="9" t="s">
        <v>64</v>
      </c>
      <c r="H364" s="9" t="s">
        <v>18</v>
      </c>
      <c r="J364" s="9" t="s">
        <v>65</v>
      </c>
      <c r="K364" s="9" t="s">
        <v>25</v>
      </c>
      <c r="L364" s="9" t="s">
        <v>1375</v>
      </c>
      <c r="N364" s="9" t="str">
        <f t="shared" si="5"/>
        <v>ANDRÉ CUBA</v>
      </c>
    </row>
    <row r="365" spans="1:14" x14ac:dyDescent="0.3">
      <c r="A365" s="9">
        <v>101308</v>
      </c>
      <c r="B365" s="9" t="s">
        <v>409</v>
      </c>
      <c r="C365" s="10" t="s">
        <v>15</v>
      </c>
      <c r="D365" s="11">
        <v>42857</v>
      </c>
      <c r="E365" s="9" t="s">
        <v>410</v>
      </c>
      <c r="F365" s="9">
        <v>14101</v>
      </c>
      <c r="G365" s="9" t="s">
        <v>277</v>
      </c>
      <c r="H365" s="9" t="s">
        <v>18</v>
      </c>
      <c r="J365" s="9" t="s">
        <v>1672</v>
      </c>
      <c r="K365" s="9" t="s">
        <v>132</v>
      </c>
      <c r="N365" s="9" t="str">
        <f t="shared" si="5"/>
        <v xml:space="preserve">GISELE NASCENTE </v>
      </c>
    </row>
    <row r="366" spans="1:14" x14ac:dyDescent="0.3">
      <c r="A366" s="9">
        <v>705112</v>
      </c>
      <c r="B366" s="9" t="s">
        <v>412</v>
      </c>
      <c r="C366" s="10" t="s">
        <v>15</v>
      </c>
      <c r="D366" s="11">
        <v>45678</v>
      </c>
      <c r="E366" s="9" t="s">
        <v>31</v>
      </c>
      <c r="F366" s="9">
        <v>52104</v>
      </c>
      <c r="G366" s="9" t="s">
        <v>17</v>
      </c>
      <c r="H366" s="9" t="s">
        <v>18</v>
      </c>
      <c r="J366" s="9" t="s">
        <v>19</v>
      </c>
      <c r="K366" s="9" t="s">
        <v>1368</v>
      </c>
      <c r="L366" s="9" t="s">
        <v>20</v>
      </c>
      <c r="M366" s="9" t="s">
        <v>1632</v>
      </c>
      <c r="N366" s="9" t="str">
        <f t="shared" si="5"/>
        <v>THIAGO MARCOS</v>
      </c>
    </row>
    <row r="367" spans="1:14" x14ac:dyDescent="0.3">
      <c r="A367" s="9">
        <v>101621</v>
      </c>
      <c r="B367" s="9" t="s">
        <v>413</v>
      </c>
      <c r="C367" s="10" t="s">
        <v>15</v>
      </c>
      <c r="D367" s="11">
        <v>43010</v>
      </c>
      <c r="E367" s="9" t="s">
        <v>414</v>
      </c>
      <c r="F367" s="9">
        <v>34201</v>
      </c>
      <c r="G367" s="9" t="s">
        <v>84</v>
      </c>
      <c r="H367" s="9" t="s">
        <v>18</v>
      </c>
      <c r="J367" s="9" t="s">
        <v>1640</v>
      </c>
      <c r="K367" s="9" t="s">
        <v>1371</v>
      </c>
      <c r="N367" s="9" t="str">
        <f t="shared" si="5"/>
        <v>PAULO BONIFÁCIO</v>
      </c>
    </row>
    <row r="368" spans="1:14" x14ac:dyDescent="0.3">
      <c r="A368" s="9">
        <v>701218</v>
      </c>
      <c r="B368" s="9" t="s">
        <v>415</v>
      </c>
      <c r="C368" s="10" t="s">
        <v>15</v>
      </c>
      <c r="D368" s="11">
        <v>42887</v>
      </c>
      <c r="E368" s="9" t="s">
        <v>127</v>
      </c>
      <c r="F368" s="9">
        <v>22102</v>
      </c>
      <c r="G368" s="9" t="s">
        <v>68</v>
      </c>
      <c r="H368" s="9" t="s">
        <v>18</v>
      </c>
      <c r="J368" s="9" t="s">
        <v>81</v>
      </c>
      <c r="K368" s="9" t="s">
        <v>1371</v>
      </c>
      <c r="L368" s="9" t="s">
        <v>1509</v>
      </c>
      <c r="M368" s="9" t="s">
        <v>1379</v>
      </c>
      <c r="N368" s="9" t="str">
        <f t="shared" si="5"/>
        <v xml:space="preserve">EDSON/MARCELO LIMA </v>
      </c>
    </row>
    <row r="369" spans="1:14" x14ac:dyDescent="0.3">
      <c r="A369" s="9">
        <v>705782</v>
      </c>
      <c r="B369" s="9" t="s">
        <v>1548</v>
      </c>
      <c r="C369" s="10" t="s">
        <v>15</v>
      </c>
      <c r="D369" s="11">
        <v>46063</v>
      </c>
      <c r="E369" s="9" t="s">
        <v>31</v>
      </c>
      <c r="F369" s="9">
        <v>52104</v>
      </c>
      <c r="G369" s="9" t="s">
        <v>17</v>
      </c>
      <c r="H369" s="9" t="s">
        <v>18</v>
      </c>
      <c r="J369" s="9" t="s">
        <v>19</v>
      </c>
      <c r="K369" s="9" t="s">
        <v>1368</v>
      </c>
      <c r="L369" s="9" t="s">
        <v>20</v>
      </c>
      <c r="M369" s="9" t="s">
        <v>1632</v>
      </c>
      <c r="N369" s="9" t="str">
        <f t="shared" si="5"/>
        <v>THIAGO MARCOS</v>
      </c>
    </row>
    <row r="370" spans="1:14" x14ac:dyDescent="0.3">
      <c r="A370" s="9">
        <v>106037</v>
      </c>
      <c r="B370" s="9" t="s">
        <v>417</v>
      </c>
      <c r="C370" s="10" t="s">
        <v>15</v>
      </c>
      <c r="D370" s="11">
        <v>43577</v>
      </c>
      <c r="E370" s="9" t="s">
        <v>371</v>
      </c>
      <c r="F370" s="9">
        <v>39301</v>
      </c>
      <c r="G370" s="9" t="s">
        <v>73</v>
      </c>
      <c r="H370" s="9" t="s">
        <v>18</v>
      </c>
      <c r="J370" s="9" t="s">
        <v>74</v>
      </c>
      <c r="K370" s="9" t="s">
        <v>1371</v>
      </c>
      <c r="L370" s="9" t="s">
        <v>1376</v>
      </c>
      <c r="M370" s="9" t="s">
        <v>75</v>
      </c>
      <c r="N370" s="9" t="str">
        <f t="shared" si="5"/>
        <v>ISAC NONATO</v>
      </c>
    </row>
    <row r="371" spans="1:14" x14ac:dyDescent="0.3">
      <c r="A371" s="9">
        <v>705943</v>
      </c>
      <c r="B371" s="9" t="s">
        <v>1673</v>
      </c>
      <c r="C371" s="10" t="s">
        <v>15</v>
      </c>
      <c r="D371" s="11">
        <v>46119</v>
      </c>
      <c r="E371" s="9" t="s">
        <v>77</v>
      </c>
      <c r="F371" s="9">
        <v>38107</v>
      </c>
      <c r="G371" s="9" t="s">
        <v>1503</v>
      </c>
      <c r="H371" s="9" t="s">
        <v>18</v>
      </c>
      <c r="J371" s="9" t="s">
        <v>78</v>
      </c>
      <c r="K371" s="9" t="s">
        <v>1372</v>
      </c>
      <c r="N371" s="9" t="str">
        <f t="shared" si="5"/>
        <v xml:space="preserve">LEIDJANE MARTINS </v>
      </c>
    </row>
    <row r="372" spans="1:14" x14ac:dyDescent="0.3">
      <c r="A372" s="9">
        <v>704436</v>
      </c>
      <c r="B372" s="9" t="s">
        <v>419</v>
      </c>
      <c r="C372" s="10" t="s">
        <v>15</v>
      </c>
      <c r="D372" s="11">
        <v>45398</v>
      </c>
      <c r="E372" s="9" t="s">
        <v>1354</v>
      </c>
      <c r="F372" s="9">
        <v>37101</v>
      </c>
      <c r="G372" s="9" t="s">
        <v>214</v>
      </c>
      <c r="H372" s="9" t="s">
        <v>18</v>
      </c>
      <c r="J372" s="9" t="s">
        <v>239</v>
      </c>
      <c r="K372" s="9" t="s">
        <v>216</v>
      </c>
      <c r="N372" s="9" t="str">
        <f t="shared" si="5"/>
        <v>CARSON NEVES</v>
      </c>
    </row>
    <row r="373" spans="1:14" x14ac:dyDescent="0.3">
      <c r="A373" s="9">
        <v>705566</v>
      </c>
      <c r="B373" s="9" t="s">
        <v>1318</v>
      </c>
      <c r="C373" s="10" t="s">
        <v>233</v>
      </c>
      <c r="D373" s="11">
        <v>45874</v>
      </c>
      <c r="E373" s="9" t="s">
        <v>433</v>
      </c>
      <c r="F373" s="9">
        <v>38107</v>
      </c>
      <c r="G373" s="9" t="s">
        <v>1503</v>
      </c>
      <c r="H373" s="9" t="s">
        <v>18</v>
      </c>
      <c r="J373" s="9" t="s">
        <v>78</v>
      </c>
      <c r="K373" s="9" t="s">
        <v>1372</v>
      </c>
      <c r="N373" s="9" t="str">
        <f t="shared" si="5"/>
        <v xml:space="preserve">LEIDJANE MARTINS </v>
      </c>
    </row>
    <row r="374" spans="1:14" x14ac:dyDescent="0.3">
      <c r="A374" s="9">
        <v>705469</v>
      </c>
      <c r="B374" s="9" t="s">
        <v>1279</v>
      </c>
      <c r="C374" s="10" t="s">
        <v>15</v>
      </c>
      <c r="D374" s="11">
        <v>45812</v>
      </c>
      <c r="E374" s="9" t="s">
        <v>31</v>
      </c>
      <c r="F374" s="9">
        <v>39301</v>
      </c>
      <c r="G374" s="9" t="s">
        <v>73</v>
      </c>
      <c r="H374" s="9" t="s">
        <v>18</v>
      </c>
      <c r="J374" s="9" t="s">
        <v>74</v>
      </c>
      <c r="K374" s="9" t="s">
        <v>1371</v>
      </c>
      <c r="L374" s="9" t="s">
        <v>1376</v>
      </c>
      <c r="M374" s="9" t="s">
        <v>75</v>
      </c>
      <c r="N374" s="9" t="str">
        <f t="shared" si="5"/>
        <v>ISAC NONATO</v>
      </c>
    </row>
    <row r="375" spans="1:14" x14ac:dyDescent="0.3">
      <c r="A375" s="9">
        <v>100888</v>
      </c>
      <c r="B375" s="9" t="s">
        <v>420</v>
      </c>
      <c r="C375" s="10" t="s">
        <v>15</v>
      </c>
      <c r="D375" s="11">
        <v>42458</v>
      </c>
      <c r="E375" s="9" t="s">
        <v>127</v>
      </c>
      <c r="F375" s="9">
        <v>22102</v>
      </c>
      <c r="G375" s="9" t="s">
        <v>68</v>
      </c>
      <c r="H375" s="9" t="s">
        <v>18</v>
      </c>
      <c r="J375" s="9" t="s">
        <v>81</v>
      </c>
      <c r="K375" s="9" t="s">
        <v>1371</v>
      </c>
      <c r="L375" s="9" t="s">
        <v>1509</v>
      </c>
      <c r="M375" s="9" t="s">
        <v>1379</v>
      </c>
      <c r="N375" s="9" t="str">
        <f t="shared" si="5"/>
        <v xml:space="preserve">EDSON/MARCELO LIMA </v>
      </c>
    </row>
    <row r="376" spans="1:14" x14ac:dyDescent="0.3">
      <c r="A376" s="9">
        <v>701496</v>
      </c>
      <c r="B376" s="9" t="s">
        <v>421</v>
      </c>
      <c r="C376" s="10" t="s">
        <v>15</v>
      </c>
      <c r="D376" s="11">
        <v>43881</v>
      </c>
      <c r="E376" s="9" t="s">
        <v>199</v>
      </c>
      <c r="F376" s="9">
        <v>22102</v>
      </c>
      <c r="G376" s="9" t="s">
        <v>68</v>
      </c>
      <c r="H376" s="9" t="s">
        <v>18</v>
      </c>
      <c r="J376" s="9" t="s">
        <v>1674</v>
      </c>
      <c r="K376" s="9" t="s">
        <v>1371</v>
      </c>
      <c r="L376" s="9" t="s">
        <v>1378</v>
      </c>
      <c r="N376" s="9" t="str">
        <f t="shared" si="5"/>
        <v xml:space="preserve">JOÃO KOMURA </v>
      </c>
    </row>
    <row r="377" spans="1:14" x14ac:dyDescent="0.3">
      <c r="A377" s="9">
        <v>705746</v>
      </c>
      <c r="B377" s="9" t="s">
        <v>947</v>
      </c>
      <c r="C377" s="10" t="s">
        <v>15</v>
      </c>
      <c r="D377" s="11">
        <v>45993</v>
      </c>
      <c r="E377" s="9" t="s">
        <v>31</v>
      </c>
      <c r="F377" s="9">
        <v>22102</v>
      </c>
      <c r="G377" s="9" t="s">
        <v>68</v>
      </c>
      <c r="H377" s="9" t="s">
        <v>18</v>
      </c>
      <c r="J377" s="9" t="s">
        <v>81</v>
      </c>
      <c r="K377" s="9" t="s">
        <v>1371</v>
      </c>
      <c r="L377" s="9" t="s">
        <v>1509</v>
      </c>
      <c r="M377" s="9" t="s">
        <v>1379</v>
      </c>
      <c r="N377" s="9" t="str">
        <f t="shared" si="5"/>
        <v xml:space="preserve">EDSON/MARCELO LIMA </v>
      </c>
    </row>
    <row r="378" spans="1:14" x14ac:dyDescent="0.3">
      <c r="A378" s="9">
        <v>706032</v>
      </c>
      <c r="B378" s="9" t="s">
        <v>1675</v>
      </c>
      <c r="C378" s="10" t="s">
        <v>15</v>
      </c>
      <c r="D378" s="11">
        <v>46126</v>
      </c>
      <c r="E378" s="9" t="s">
        <v>230</v>
      </c>
      <c r="F378" s="9">
        <v>38101</v>
      </c>
      <c r="G378" s="9" t="s">
        <v>35</v>
      </c>
      <c r="H378" s="9" t="s">
        <v>18</v>
      </c>
      <c r="J378" s="9" t="s">
        <v>36</v>
      </c>
      <c r="K378" s="9" t="s">
        <v>1372</v>
      </c>
      <c r="L378" s="9" t="s">
        <v>1373</v>
      </c>
      <c r="M378" s="9" t="s">
        <v>1373</v>
      </c>
      <c r="N378" s="9" t="str">
        <f t="shared" si="5"/>
        <v>DENIS ACASSIO</v>
      </c>
    </row>
    <row r="379" spans="1:14" x14ac:dyDescent="0.3">
      <c r="A379" s="9">
        <v>705698</v>
      </c>
      <c r="B379" s="9" t="s">
        <v>424</v>
      </c>
      <c r="C379" s="10" t="s">
        <v>15</v>
      </c>
      <c r="D379" s="11">
        <v>45971</v>
      </c>
      <c r="E379" s="9" t="s">
        <v>91</v>
      </c>
      <c r="F379" s="9">
        <v>34201</v>
      </c>
      <c r="G379" s="9" t="s">
        <v>84</v>
      </c>
      <c r="H379" s="9" t="s">
        <v>18</v>
      </c>
      <c r="J379" s="9" t="s">
        <v>85</v>
      </c>
      <c r="K379" s="9" t="s">
        <v>1371</v>
      </c>
      <c r="L379" s="9" t="s">
        <v>1380</v>
      </c>
      <c r="M379" s="9" t="s">
        <v>1380</v>
      </c>
      <c r="N379" s="9" t="str">
        <f t="shared" si="5"/>
        <v xml:space="preserve">LEONARDO SANTOS </v>
      </c>
    </row>
    <row r="380" spans="1:14" x14ac:dyDescent="0.3">
      <c r="A380" s="9">
        <v>705600</v>
      </c>
      <c r="B380" s="9" t="s">
        <v>1319</v>
      </c>
      <c r="C380" s="10" t="s">
        <v>15</v>
      </c>
      <c r="D380" s="11">
        <v>45888</v>
      </c>
      <c r="E380" s="9" t="s">
        <v>31</v>
      </c>
      <c r="F380" s="9">
        <v>39301</v>
      </c>
      <c r="G380" s="9" t="s">
        <v>73</v>
      </c>
      <c r="H380" s="9" t="s">
        <v>18</v>
      </c>
      <c r="J380" s="9" t="s">
        <v>74</v>
      </c>
      <c r="K380" s="9" t="s">
        <v>1371</v>
      </c>
      <c r="L380" s="9" t="s">
        <v>1376</v>
      </c>
      <c r="M380" s="9" t="s">
        <v>75</v>
      </c>
      <c r="N380" s="9" t="str">
        <f t="shared" si="5"/>
        <v>ISAC NONATO</v>
      </c>
    </row>
    <row r="381" spans="1:14" x14ac:dyDescent="0.3">
      <c r="A381" s="9">
        <v>704358</v>
      </c>
      <c r="B381" s="9" t="s">
        <v>425</v>
      </c>
      <c r="C381" s="10" t="s">
        <v>15</v>
      </c>
      <c r="D381" s="11">
        <v>45384</v>
      </c>
      <c r="E381" s="9" t="s">
        <v>1215</v>
      </c>
      <c r="F381" s="9">
        <v>33101</v>
      </c>
      <c r="G381" s="9" t="s">
        <v>186</v>
      </c>
      <c r="H381" s="9" t="s">
        <v>18</v>
      </c>
      <c r="J381" s="9" t="s">
        <v>44</v>
      </c>
      <c r="K381" s="9" t="s">
        <v>25</v>
      </c>
      <c r="L381" s="9" t="s">
        <v>1385</v>
      </c>
      <c r="N381" s="9" t="str">
        <f t="shared" si="5"/>
        <v>TALLES RYAN</v>
      </c>
    </row>
    <row r="382" spans="1:14" x14ac:dyDescent="0.3">
      <c r="A382" s="9">
        <v>705760</v>
      </c>
      <c r="B382" s="9" t="s">
        <v>1487</v>
      </c>
      <c r="C382" s="10" t="s">
        <v>15</v>
      </c>
      <c r="D382" s="11">
        <v>45993</v>
      </c>
      <c r="E382" s="9" t="s">
        <v>31</v>
      </c>
      <c r="F382" s="9">
        <v>52104</v>
      </c>
      <c r="G382" s="9" t="s">
        <v>17</v>
      </c>
      <c r="H382" s="9" t="s">
        <v>18</v>
      </c>
      <c r="J382" s="9" t="s">
        <v>19</v>
      </c>
      <c r="K382" s="9" t="s">
        <v>1368</v>
      </c>
      <c r="L382" s="9" t="s">
        <v>20</v>
      </c>
      <c r="M382" s="9" t="s">
        <v>1632</v>
      </c>
      <c r="N382" s="9" t="str">
        <f t="shared" si="5"/>
        <v>THIAGO MARCOS</v>
      </c>
    </row>
    <row r="383" spans="1:14" x14ac:dyDescent="0.3">
      <c r="A383" s="9">
        <v>702915</v>
      </c>
      <c r="B383" s="9" t="s">
        <v>426</v>
      </c>
      <c r="C383" s="10" t="s">
        <v>15</v>
      </c>
      <c r="D383" s="11">
        <v>44656</v>
      </c>
      <c r="E383" s="9" t="s">
        <v>427</v>
      </c>
      <c r="F383" s="9">
        <v>39302</v>
      </c>
      <c r="G383" s="9" t="s">
        <v>102</v>
      </c>
      <c r="H383" s="9" t="s">
        <v>18</v>
      </c>
      <c r="J383" s="9" t="s">
        <v>57</v>
      </c>
      <c r="K383" s="9" t="s">
        <v>1371</v>
      </c>
      <c r="L383" s="9" t="s">
        <v>1376</v>
      </c>
      <c r="M383" s="9" t="s">
        <v>1635</v>
      </c>
      <c r="N383" s="9" t="str">
        <f t="shared" si="5"/>
        <v>WARLEY RIBEIRO / EUDES FERNANDES</v>
      </c>
    </row>
    <row r="384" spans="1:14" x14ac:dyDescent="0.3">
      <c r="A384" s="9">
        <v>705194</v>
      </c>
      <c r="B384" s="9" t="s">
        <v>1162</v>
      </c>
      <c r="C384" s="10" t="s">
        <v>15</v>
      </c>
      <c r="D384" s="11">
        <v>45727</v>
      </c>
      <c r="E384" s="9" t="s">
        <v>166</v>
      </c>
      <c r="F384" s="9">
        <v>22102</v>
      </c>
      <c r="G384" s="9" t="s">
        <v>68</v>
      </c>
      <c r="H384" s="9" t="s">
        <v>18</v>
      </c>
      <c r="J384" s="9" t="s">
        <v>94</v>
      </c>
      <c r="K384" s="9" t="s">
        <v>1371</v>
      </c>
      <c r="L384" s="9" t="s">
        <v>1378</v>
      </c>
      <c r="M384" s="9" t="s">
        <v>95</v>
      </c>
      <c r="N384" s="9" t="str">
        <f t="shared" si="5"/>
        <v>LUAN ABADIA</v>
      </c>
    </row>
    <row r="385" spans="1:14" x14ac:dyDescent="0.3">
      <c r="A385" s="9">
        <v>705790</v>
      </c>
      <c r="B385" s="9" t="s">
        <v>1523</v>
      </c>
      <c r="C385" s="10" t="s">
        <v>15</v>
      </c>
      <c r="D385" s="11">
        <v>46029</v>
      </c>
      <c r="E385" s="9" t="s">
        <v>31</v>
      </c>
      <c r="F385" s="9">
        <v>52104</v>
      </c>
      <c r="G385" s="9" t="s">
        <v>17</v>
      </c>
      <c r="H385" s="9" t="s">
        <v>18</v>
      </c>
      <c r="J385" s="9" t="s">
        <v>19</v>
      </c>
      <c r="K385" s="9" t="s">
        <v>1368</v>
      </c>
      <c r="L385" s="9" t="s">
        <v>20</v>
      </c>
      <c r="M385" s="9" t="s">
        <v>1632</v>
      </c>
      <c r="N385" s="9" t="str">
        <f t="shared" si="5"/>
        <v>THIAGO MARCOS</v>
      </c>
    </row>
    <row r="386" spans="1:14" x14ac:dyDescent="0.3">
      <c r="A386" s="9">
        <v>705893</v>
      </c>
      <c r="B386" s="9" t="s">
        <v>1549</v>
      </c>
      <c r="C386" s="10" t="s">
        <v>15</v>
      </c>
      <c r="D386" s="11">
        <v>46063</v>
      </c>
      <c r="E386" s="9" t="s">
        <v>31</v>
      </c>
      <c r="F386" s="9">
        <v>34201</v>
      </c>
      <c r="G386" s="9" t="s">
        <v>84</v>
      </c>
      <c r="H386" s="9" t="s">
        <v>18</v>
      </c>
      <c r="J386" s="9" t="s">
        <v>85</v>
      </c>
      <c r="K386" s="9" t="s">
        <v>1371</v>
      </c>
      <c r="L386" s="9" t="s">
        <v>1380</v>
      </c>
      <c r="M386" s="9" t="s">
        <v>1380</v>
      </c>
      <c r="N386" s="9" t="str">
        <f t="shared" si="5"/>
        <v xml:space="preserve">LEONARDO SANTOS </v>
      </c>
    </row>
    <row r="387" spans="1:14" x14ac:dyDescent="0.3">
      <c r="A387" s="9">
        <v>703615</v>
      </c>
      <c r="B387" s="9" t="s">
        <v>429</v>
      </c>
      <c r="C387" s="10" t="s">
        <v>15</v>
      </c>
      <c r="D387" s="11">
        <v>44991</v>
      </c>
      <c r="E387" s="9" t="s">
        <v>31</v>
      </c>
      <c r="F387" s="9">
        <v>22102</v>
      </c>
      <c r="G387" s="9" t="s">
        <v>68</v>
      </c>
      <c r="H387" s="9" t="s">
        <v>18</v>
      </c>
      <c r="J387" s="9" t="s">
        <v>167</v>
      </c>
      <c r="K387" s="9" t="s">
        <v>1371</v>
      </c>
      <c r="L387" s="9" t="s">
        <v>1509</v>
      </c>
      <c r="M387" s="9" t="s">
        <v>1636</v>
      </c>
      <c r="N387" s="9" t="str">
        <f t="shared" ref="N387:N450" si="6">IF(M387&lt;&gt;"", M387, IF(L387&lt;&gt;"", L387, K387))</f>
        <v>FABIANO DIAS</v>
      </c>
    </row>
    <row r="388" spans="1:14" x14ac:dyDescent="0.3">
      <c r="A388" s="9">
        <v>701407</v>
      </c>
      <c r="B388" s="9" t="s">
        <v>430</v>
      </c>
      <c r="C388" s="10" t="s">
        <v>15</v>
      </c>
      <c r="D388" s="11">
        <v>43773</v>
      </c>
      <c r="E388" s="9" t="s">
        <v>105</v>
      </c>
      <c r="F388" s="9">
        <v>22102</v>
      </c>
      <c r="G388" s="9" t="s">
        <v>68</v>
      </c>
      <c r="H388" s="9" t="s">
        <v>18</v>
      </c>
      <c r="J388" s="9" t="s">
        <v>142</v>
      </c>
      <c r="K388" s="9" t="s">
        <v>1371</v>
      </c>
      <c r="L388" s="9" t="s">
        <v>1509</v>
      </c>
      <c r="M388" s="9" t="s">
        <v>1633</v>
      </c>
      <c r="N388" s="9" t="str">
        <f t="shared" si="6"/>
        <v>CRISTIANO BARBOSA</v>
      </c>
    </row>
    <row r="389" spans="1:14" x14ac:dyDescent="0.3">
      <c r="A389" s="9">
        <v>703541</v>
      </c>
      <c r="B389" s="9" t="s">
        <v>431</v>
      </c>
      <c r="C389" s="10" t="s">
        <v>15</v>
      </c>
      <c r="D389" s="11">
        <v>44907</v>
      </c>
      <c r="E389" s="9" t="s">
        <v>138</v>
      </c>
      <c r="F389" s="9">
        <v>22102</v>
      </c>
      <c r="G389" s="9" t="s">
        <v>68</v>
      </c>
      <c r="H389" s="9" t="s">
        <v>18</v>
      </c>
      <c r="J389" s="9" t="s">
        <v>94</v>
      </c>
      <c r="K389" s="9" t="s">
        <v>1371</v>
      </c>
      <c r="L389" s="9" t="s">
        <v>1378</v>
      </c>
      <c r="M389" s="9" t="s">
        <v>95</v>
      </c>
      <c r="N389" s="9" t="str">
        <f t="shared" si="6"/>
        <v>LUAN ABADIA</v>
      </c>
    </row>
    <row r="390" spans="1:14" x14ac:dyDescent="0.3">
      <c r="A390" s="9">
        <v>705058</v>
      </c>
      <c r="B390" s="9" t="s">
        <v>1163</v>
      </c>
      <c r="C390" s="10" t="s">
        <v>15</v>
      </c>
      <c r="D390" s="11">
        <v>45643</v>
      </c>
      <c r="E390" s="9" t="s">
        <v>93</v>
      </c>
      <c r="F390" s="9">
        <v>22102</v>
      </c>
      <c r="G390" s="9" t="s">
        <v>68</v>
      </c>
      <c r="H390" s="9" t="s">
        <v>18</v>
      </c>
      <c r="J390" s="9" t="s">
        <v>94</v>
      </c>
      <c r="K390" s="9" t="s">
        <v>1371</v>
      </c>
      <c r="L390" s="9" t="s">
        <v>1378</v>
      </c>
      <c r="M390" s="9" t="s">
        <v>95</v>
      </c>
      <c r="N390" s="9" t="str">
        <f t="shared" si="6"/>
        <v>LUAN ABADIA</v>
      </c>
    </row>
    <row r="391" spans="1:14" x14ac:dyDescent="0.3">
      <c r="A391" s="9">
        <v>703316</v>
      </c>
      <c r="B391" s="9" t="s">
        <v>432</v>
      </c>
      <c r="C391" s="10" t="s">
        <v>15</v>
      </c>
      <c r="D391" s="11">
        <v>44824</v>
      </c>
      <c r="E391" s="9" t="s">
        <v>138</v>
      </c>
      <c r="F391" s="9">
        <v>22102</v>
      </c>
      <c r="G391" s="9" t="s">
        <v>68</v>
      </c>
      <c r="H391" s="9" t="s">
        <v>18</v>
      </c>
      <c r="J391" s="9" t="s">
        <v>81</v>
      </c>
      <c r="K391" s="9" t="s">
        <v>1371</v>
      </c>
      <c r="L391" s="9" t="s">
        <v>1509</v>
      </c>
      <c r="M391" s="9" t="s">
        <v>1379</v>
      </c>
      <c r="N391" s="9" t="str">
        <f t="shared" si="6"/>
        <v xml:space="preserve">EDSON/MARCELO LIMA </v>
      </c>
    </row>
    <row r="392" spans="1:14" x14ac:dyDescent="0.3">
      <c r="A392" s="9">
        <v>705967</v>
      </c>
      <c r="B392" s="9" t="s">
        <v>1676</v>
      </c>
      <c r="C392" s="10" t="s">
        <v>15</v>
      </c>
      <c r="D392" s="11">
        <v>46119</v>
      </c>
      <c r="E392" s="9" t="s">
        <v>77</v>
      </c>
      <c r="F392" s="9">
        <v>38107</v>
      </c>
      <c r="G392" s="9" t="s">
        <v>1503</v>
      </c>
      <c r="H392" s="9" t="s">
        <v>18</v>
      </c>
      <c r="J392" s="9" t="s">
        <v>78</v>
      </c>
      <c r="K392" s="9" t="s">
        <v>1372</v>
      </c>
      <c r="N392" s="9" t="str">
        <f t="shared" si="6"/>
        <v xml:space="preserve">LEIDJANE MARTINS </v>
      </c>
    </row>
    <row r="393" spans="1:14" x14ac:dyDescent="0.3">
      <c r="A393" s="9">
        <v>705742</v>
      </c>
      <c r="B393" s="9" t="s">
        <v>1488</v>
      </c>
      <c r="C393" s="10" t="s">
        <v>15</v>
      </c>
      <c r="D393" s="11">
        <v>45993</v>
      </c>
      <c r="E393" s="9" t="s">
        <v>16</v>
      </c>
      <c r="F393" s="9">
        <v>22102</v>
      </c>
      <c r="G393" s="9" t="s">
        <v>68</v>
      </c>
      <c r="H393" s="9" t="s">
        <v>18</v>
      </c>
      <c r="J393" s="9" t="s">
        <v>94</v>
      </c>
      <c r="K393" s="9" t="s">
        <v>1371</v>
      </c>
      <c r="L393" s="9" t="s">
        <v>1378</v>
      </c>
      <c r="M393" s="9" t="s">
        <v>95</v>
      </c>
      <c r="N393" s="9" t="str">
        <f t="shared" si="6"/>
        <v>LUAN ABADIA</v>
      </c>
    </row>
    <row r="394" spans="1:14" x14ac:dyDescent="0.3">
      <c r="A394" s="9">
        <v>705926</v>
      </c>
      <c r="B394" s="9" t="s">
        <v>1612</v>
      </c>
      <c r="C394" s="10" t="s">
        <v>15</v>
      </c>
      <c r="D394" s="11">
        <v>46091</v>
      </c>
      <c r="E394" s="9" t="s">
        <v>152</v>
      </c>
      <c r="F394" s="9">
        <v>39201</v>
      </c>
      <c r="G394" s="9" t="s">
        <v>153</v>
      </c>
      <c r="H394" s="9" t="s">
        <v>18</v>
      </c>
      <c r="J394" s="9" t="s">
        <v>154</v>
      </c>
      <c r="K394" s="9" t="s">
        <v>50</v>
      </c>
      <c r="L394" s="9" t="s">
        <v>1382</v>
      </c>
      <c r="M394" s="9" t="s">
        <v>1382</v>
      </c>
      <c r="N394" s="9" t="str">
        <f t="shared" si="6"/>
        <v>ADENILTON RODRIGUES</v>
      </c>
    </row>
    <row r="395" spans="1:14" x14ac:dyDescent="0.3">
      <c r="A395" s="9">
        <v>702544</v>
      </c>
      <c r="B395" s="9" t="s">
        <v>434</v>
      </c>
      <c r="C395" s="10" t="s">
        <v>15</v>
      </c>
      <c r="D395" s="11">
        <v>44452</v>
      </c>
      <c r="E395" s="9" t="s">
        <v>109</v>
      </c>
      <c r="F395" s="9">
        <v>32101</v>
      </c>
      <c r="G395" s="9" t="s">
        <v>23</v>
      </c>
      <c r="H395" s="9" t="s">
        <v>18</v>
      </c>
      <c r="J395" s="9" t="s">
        <v>24</v>
      </c>
      <c r="K395" s="9" t="s">
        <v>25</v>
      </c>
      <c r="L395" s="9" t="s">
        <v>1369</v>
      </c>
      <c r="M395" s="9" t="s">
        <v>1370</v>
      </c>
      <c r="N395" s="9" t="str">
        <f t="shared" si="6"/>
        <v>JUNIO COSTA</v>
      </c>
    </row>
    <row r="396" spans="1:14" x14ac:dyDescent="0.3">
      <c r="A396" s="9">
        <v>701017</v>
      </c>
      <c r="B396" s="9" t="s">
        <v>435</v>
      </c>
      <c r="C396" s="10" t="s">
        <v>15</v>
      </c>
      <c r="D396" s="11">
        <v>42500</v>
      </c>
      <c r="E396" s="9" t="s">
        <v>105</v>
      </c>
      <c r="F396" s="9">
        <v>22102</v>
      </c>
      <c r="G396" s="9" t="s">
        <v>68</v>
      </c>
      <c r="H396" s="9" t="s">
        <v>18</v>
      </c>
      <c r="J396" s="9" t="s">
        <v>81</v>
      </c>
      <c r="K396" s="9" t="s">
        <v>1371</v>
      </c>
      <c r="L396" s="9" t="s">
        <v>1509</v>
      </c>
      <c r="M396" s="9" t="s">
        <v>1379</v>
      </c>
      <c r="N396" s="9" t="str">
        <f t="shared" si="6"/>
        <v xml:space="preserve">EDSON/MARCELO LIMA </v>
      </c>
    </row>
    <row r="397" spans="1:14" x14ac:dyDescent="0.3">
      <c r="A397" s="9">
        <v>703946</v>
      </c>
      <c r="B397" s="9" t="s">
        <v>436</v>
      </c>
      <c r="C397" s="10" t="s">
        <v>15</v>
      </c>
      <c r="D397" s="11">
        <v>45089</v>
      </c>
      <c r="E397" s="9" t="s">
        <v>16</v>
      </c>
      <c r="F397" s="9">
        <v>37101</v>
      </c>
      <c r="G397" s="9" t="s">
        <v>214</v>
      </c>
      <c r="H397" s="9" t="s">
        <v>18</v>
      </c>
      <c r="J397" s="9" t="s">
        <v>239</v>
      </c>
      <c r="K397" s="9" t="s">
        <v>216</v>
      </c>
      <c r="N397" s="9" t="str">
        <f t="shared" si="6"/>
        <v>CARSON NEVES</v>
      </c>
    </row>
    <row r="398" spans="1:14" x14ac:dyDescent="0.3">
      <c r="A398" s="9">
        <v>705622</v>
      </c>
      <c r="B398" s="9" t="s">
        <v>1355</v>
      </c>
      <c r="C398" s="10" t="s">
        <v>15</v>
      </c>
      <c r="D398" s="11">
        <v>45916</v>
      </c>
      <c r="E398" s="9" t="s">
        <v>1356</v>
      </c>
      <c r="F398" s="9">
        <v>39308</v>
      </c>
      <c r="G398" s="9" t="s">
        <v>256</v>
      </c>
      <c r="H398" s="9" t="s">
        <v>18</v>
      </c>
      <c r="J398" s="9" t="s">
        <v>257</v>
      </c>
      <c r="K398" s="9" t="s">
        <v>666</v>
      </c>
      <c r="L398" s="9" t="s">
        <v>258</v>
      </c>
      <c r="N398" s="9" t="str">
        <f t="shared" si="6"/>
        <v>MATHEUS ALMEIDA</v>
      </c>
    </row>
    <row r="399" spans="1:14" x14ac:dyDescent="0.3">
      <c r="A399" s="9">
        <v>704845</v>
      </c>
      <c r="B399" s="9" t="s">
        <v>437</v>
      </c>
      <c r="C399" s="10" t="s">
        <v>15</v>
      </c>
      <c r="D399" s="11">
        <v>45573</v>
      </c>
      <c r="E399" s="9" t="s">
        <v>16</v>
      </c>
      <c r="F399" s="9">
        <v>22102</v>
      </c>
      <c r="G399" s="9" t="s">
        <v>68</v>
      </c>
      <c r="H399" s="9" t="s">
        <v>18</v>
      </c>
      <c r="J399" s="9" t="s">
        <v>81</v>
      </c>
      <c r="K399" s="9" t="s">
        <v>1371</v>
      </c>
      <c r="L399" s="9" t="s">
        <v>1509</v>
      </c>
      <c r="M399" s="9" t="s">
        <v>1379</v>
      </c>
      <c r="N399" s="9" t="str">
        <f t="shared" si="6"/>
        <v xml:space="preserve">EDSON/MARCELO LIMA </v>
      </c>
    </row>
    <row r="400" spans="1:14" x14ac:dyDescent="0.3">
      <c r="A400" s="9">
        <v>1718</v>
      </c>
      <c r="B400" s="9" t="s">
        <v>438</v>
      </c>
      <c r="C400" s="10" t="s">
        <v>15</v>
      </c>
      <c r="D400" s="11">
        <v>40555</v>
      </c>
      <c r="E400" s="9" t="s">
        <v>166</v>
      </c>
      <c r="F400" s="9">
        <v>51219</v>
      </c>
      <c r="G400" s="9" t="s">
        <v>61</v>
      </c>
      <c r="H400" s="9" t="s">
        <v>18</v>
      </c>
      <c r="J400" s="9" t="s">
        <v>19</v>
      </c>
      <c r="K400" s="9" t="s">
        <v>1368</v>
      </c>
      <c r="L400" s="9" t="s">
        <v>20</v>
      </c>
      <c r="M400" s="9" t="s">
        <v>1632</v>
      </c>
      <c r="N400" s="9" t="str">
        <f t="shared" si="6"/>
        <v>THIAGO MARCOS</v>
      </c>
    </row>
    <row r="401" spans="1:14" x14ac:dyDescent="0.3">
      <c r="A401" s="9">
        <v>700877</v>
      </c>
      <c r="B401" s="9" t="s">
        <v>439</v>
      </c>
      <c r="C401" s="10" t="s">
        <v>15</v>
      </c>
      <c r="D401" s="11">
        <v>43529</v>
      </c>
      <c r="E401" s="9" t="s">
        <v>146</v>
      </c>
      <c r="F401" s="9">
        <v>39304</v>
      </c>
      <c r="G401" s="9" t="s">
        <v>56</v>
      </c>
      <c r="H401" s="9" t="s">
        <v>18</v>
      </c>
      <c r="J401" s="9" t="s">
        <v>57</v>
      </c>
      <c r="K401" s="9" t="s">
        <v>1371</v>
      </c>
      <c r="L401" s="9" t="s">
        <v>1376</v>
      </c>
      <c r="M401" s="9" t="s">
        <v>1635</v>
      </c>
      <c r="N401" s="9" t="str">
        <f t="shared" si="6"/>
        <v>WARLEY RIBEIRO / EUDES FERNANDES</v>
      </c>
    </row>
    <row r="402" spans="1:14" x14ac:dyDescent="0.3">
      <c r="A402" s="9">
        <v>704237</v>
      </c>
      <c r="B402" s="9" t="s">
        <v>440</v>
      </c>
      <c r="C402" s="10" t="s">
        <v>15</v>
      </c>
      <c r="D402" s="11">
        <v>45328</v>
      </c>
      <c r="E402" s="9" t="s">
        <v>80</v>
      </c>
      <c r="F402" s="9">
        <v>22102</v>
      </c>
      <c r="G402" s="9" t="s">
        <v>68</v>
      </c>
      <c r="H402" s="9" t="s">
        <v>18</v>
      </c>
      <c r="J402" s="9" t="s">
        <v>81</v>
      </c>
      <c r="K402" s="9" t="s">
        <v>1371</v>
      </c>
      <c r="L402" s="9" t="s">
        <v>1509</v>
      </c>
      <c r="M402" s="9" t="s">
        <v>1379</v>
      </c>
      <c r="N402" s="9" t="str">
        <f t="shared" si="6"/>
        <v xml:space="preserve">EDSON/MARCELO LIMA </v>
      </c>
    </row>
    <row r="403" spans="1:14" x14ac:dyDescent="0.3">
      <c r="A403" s="9">
        <v>705153</v>
      </c>
      <c r="B403" s="9" t="s">
        <v>1150</v>
      </c>
      <c r="C403" s="10" t="s">
        <v>15</v>
      </c>
      <c r="D403" s="11">
        <v>45705</v>
      </c>
      <c r="E403" s="9" t="s">
        <v>91</v>
      </c>
      <c r="F403" s="9">
        <v>34201</v>
      </c>
      <c r="G403" s="9" t="s">
        <v>84</v>
      </c>
      <c r="H403" s="9" t="s">
        <v>18</v>
      </c>
      <c r="J403" s="9" t="s">
        <v>85</v>
      </c>
      <c r="K403" s="9" t="s">
        <v>1371</v>
      </c>
      <c r="L403" s="9" t="s">
        <v>1380</v>
      </c>
      <c r="M403" s="9" t="s">
        <v>1380</v>
      </c>
      <c r="N403" s="9" t="str">
        <f t="shared" si="6"/>
        <v xml:space="preserve">LEONARDO SANTOS </v>
      </c>
    </row>
    <row r="404" spans="1:14" x14ac:dyDescent="0.3">
      <c r="A404" s="9">
        <v>705645</v>
      </c>
      <c r="B404" s="9" t="s">
        <v>1409</v>
      </c>
      <c r="C404" s="10" t="s">
        <v>15</v>
      </c>
      <c r="D404" s="11">
        <v>45937</v>
      </c>
      <c r="E404" s="9" t="s">
        <v>31</v>
      </c>
      <c r="F404" s="9">
        <v>52104</v>
      </c>
      <c r="G404" s="9" t="s">
        <v>17</v>
      </c>
      <c r="H404" s="9" t="s">
        <v>18</v>
      </c>
      <c r="J404" s="9" t="s">
        <v>19</v>
      </c>
      <c r="K404" s="9" t="s">
        <v>1368</v>
      </c>
      <c r="L404" s="9" t="s">
        <v>20</v>
      </c>
      <c r="M404" s="9" t="s">
        <v>1632</v>
      </c>
      <c r="N404" s="9" t="str">
        <f t="shared" si="6"/>
        <v>THIAGO MARCOS</v>
      </c>
    </row>
    <row r="405" spans="1:14" x14ac:dyDescent="0.3">
      <c r="A405" s="9">
        <v>702658</v>
      </c>
      <c r="B405" s="9" t="s">
        <v>441</v>
      </c>
      <c r="C405" s="10" t="s">
        <v>15</v>
      </c>
      <c r="D405" s="11">
        <v>44509</v>
      </c>
      <c r="E405" s="9" t="s">
        <v>188</v>
      </c>
      <c r="F405" s="9">
        <v>22102</v>
      </c>
      <c r="G405" s="9" t="s">
        <v>68</v>
      </c>
      <c r="H405" s="9" t="s">
        <v>18</v>
      </c>
      <c r="J405" s="9" t="s">
        <v>81</v>
      </c>
      <c r="K405" s="9" t="s">
        <v>1371</v>
      </c>
      <c r="L405" s="9" t="s">
        <v>1509</v>
      </c>
      <c r="M405" s="9" t="s">
        <v>1379</v>
      </c>
      <c r="N405" s="9" t="str">
        <f t="shared" si="6"/>
        <v xml:space="preserve">EDSON/MARCELO LIMA </v>
      </c>
    </row>
    <row r="406" spans="1:14" x14ac:dyDescent="0.3">
      <c r="A406" s="9">
        <v>702838</v>
      </c>
      <c r="B406" s="9" t="s">
        <v>442</v>
      </c>
      <c r="C406" s="10" t="s">
        <v>15</v>
      </c>
      <c r="D406" s="11">
        <v>44628</v>
      </c>
      <c r="E406" s="9" t="s">
        <v>31</v>
      </c>
      <c r="F406" s="9">
        <v>22102</v>
      </c>
      <c r="G406" s="9" t="s">
        <v>68</v>
      </c>
      <c r="H406" s="9" t="s">
        <v>18</v>
      </c>
      <c r="J406" s="9" t="s">
        <v>167</v>
      </c>
      <c r="K406" s="9" t="s">
        <v>1371</v>
      </c>
      <c r="L406" s="9" t="s">
        <v>1509</v>
      </c>
      <c r="M406" s="9" t="s">
        <v>1636</v>
      </c>
      <c r="N406" s="9" t="str">
        <f t="shared" si="6"/>
        <v>FABIANO DIAS</v>
      </c>
    </row>
    <row r="407" spans="1:14" x14ac:dyDescent="0.3">
      <c r="A407" s="9">
        <v>702839</v>
      </c>
      <c r="B407" s="9" t="s">
        <v>443</v>
      </c>
      <c r="C407" s="10" t="s">
        <v>15</v>
      </c>
      <c r="D407" s="11">
        <v>44628</v>
      </c>
      <c r="E407" s="9" t="s">
        <v>31</v>
      </c>
      <c r="F407" s="9">
        <v>22102</v>
      </c>
      <c r="G407" s="9" t="s">
        <v>68</v>
      </c>
      <c r="H407" s="9" t="s">
        <v>18</v>
      </c>
      <c r="J407" s="9" t="s">
        <v>167</v>
      </c>
      <c r="K407" s="9" t="s">
        <v>1371</v>
      </c>
      <c r="L407" s="9" t="s">
        <v>1509</v>
      </c>
      <c r="M407" s="9" t="s">
        <v>1636</v>
      </c>
      <c r="N407" s="9" t="str">
        <f t="shared" si="6"/>
        <v>FABIANO DIAS</v>
      </c>
    </row>
    <row r="408" spans="1:14" x14ac:dyDescent="0.3">
      <c r="A408" s="9">
        <v>705130</v>
      </c>
      <c r="B408" s="9" t="s">
        <v>1144</v>
      </c>
      <c r="C408" s="10" t="s">
        <v>15</v>
      </c>
      <c r="D408" s="11">
        <v>45698</v>
      </c>
      <c r="E408" s="9" t="s">
        <v>31</v>
      </c>
      <c r="F408" s="9">
        <v>22102</v>
      </c>
      <c r="G408" s="9" t="s">
        <v>68</v>
      </c>
      <c r="H408" s="9" t="s">
        <v>18</v>
      </c>
      <c r="J408" s="9" t="s">
        <v>94</v>
      </c>
      <c r="K408" s="9" t="s">
        <v>1371</v>
      </c>
      <c r="L408" s="9" t="s">
        <v>1378</v>
      </c>
      <c r="M408" s="9" t="s">
        <v>95</v>
      </c>
      <c r="N408" s="9" t="str">
        <f t="shared" si="6"/>
        <v>LUAN ABADIA</v>
      </c>
    </row>
    <row r="409" spans="1:14" x14ac:dyDescent="0.3">
      <c r="A409" s="9">
        <v>705845</v>
      </c>
      <c r="B409" s="9" t="s">
        <v>1550</v>
      </c>
      <c r="C409" s="10" t="s">
        <v>15</v>
      </c>
      <c r="D409" s="11">
        <v>46063</v>
      </c>
      <c r="E409" s="9" t="s">
        <v>31</v>
      </c>
      <c r="F409" s="9">
        <v>52104</v>
      </c>
      <c r="G409" s="9" t="s">
        <v>17</v>
      </c>
      <c r="H409" s="9" t="s">
        <v>18</v>
      </c>
      <c r="J409" s="9" t="s">
        <v>19</v>
      </c>
      <c r="K409" s="9" t="s">
        <v>1368</v>
      </c>
      <c r="L409" s="9" t="s">
        <v>20</v>
      </c>
      <c r="M409" s="9" t="s">
        <v>1632</v>
      </c>
      <c r="N409" s="9" t="str">
        <f t="shared" si="6"/>
        <v>THIAGO MARCOS</v>
      </c>
    </row>
    <row r="410" spans="1:14" x14ac:dyDescent="0.3">
      <c r="A410" s="9">
        <v>702903</v>
      </c>
      <c r="B410" s="9" t="s">
        <v>445</v>
      </c>
      <c r="C410" s="10" t="s">
        <v>15</v>
      </c>
      <c r="D410" s="11">
        <v>44656</v>
      </c>
      <c r="E410" s="9" t="s">
        <v>199</v>
      </c>
      <c r="F410" s="9">
        <v>22102</v>
      </c>
      <c r="G410" s="9" t="s">
        <v>68</v>
      </c>
      <c r="H410" s="9" t="s">
        <v>18</v>
      </c>
      <c r="J410" s="9" t="s">
        <v>1648</v>
      </c>
      <c r="K410" s="9" t="s">
        <v>1371</v>
      </c>
      <c r="L410" s="9" t="s">
        <v>1509</v>
      </c>
      <c r="N410" s="9" t="str">
        <f t="shared" si="6"/>
        <v>MAURICIO SANTOS</v>
      </c>
    </row>
    <row r="411" spans="1:14" x14ac:dyDescent="0.3">
      <c r="A411" s="9">
        <v>701982</v>
      </c>
      <c r="B411" s="9" t="s">
        <v>1504</v>
      </c>
      <c r="C411" s="10" t="s">
        <v>15</v>
      </c>
      <c r="D411" s="11">
        <v>44172</v>
      </c>
      <c r="E411" s="9" t="s">
        <v>446</v>
      </c>
      <c r="F411" s="9">
        <v>15101</v>
      </c>
      <c r="G411" s="9" t="s">
        <v>447</v>
      </c>
      <c r="H411" s="9" t="s">
        <v>18</v>
      </c>
      <c r="J411" s="9" t="s">
        <v>448</v>
      </c>
      <c r="K411" s="9" t="s">
        <v>449</v>
      </c>
      <c r="N411" s="9" t="str">
        <f t="shared" si="6"/>
        <v xml:space="preserve">RAFAEL VIRGENS </v>
      </c>
    </row>
    <row r="412" spans="1:14" x14ac:dyDescent="0.3">
      <c r="A412" s="9">
        <v>704953</v>
      </c>
      <c r="B412" s="9" t="s">
        <v>450</v>
      </c>
      <c r="C412" s="10" t="s">
        <v>15</v>
      </c>
      <c r="D412" s="11">
        <v>45607</v>
      </c>
      <c r="E412" s="9" t="s">
        <v>138</v>
      </c>
      <c r="F412" s="9">
        <v>22102</v>
      </c>
      <c r="G412" s="9" t="s">
        <v>68</v>
      </c>
      <c r="H412" s="9" t="s">
        <v>18</v>
      </c>
      <c r="J412" s="9" t="s">
        <v>81</v>
      </c>
      <c r="K412" s="9" t="s">
        <v>1371</v>
      </c>
      <c r="L412" s="9" t="s">
        <v>1509</v>
      </c>
      <c r="M412" s="9" t="s">
        <v>1379</v>
      </c>
      <c r="N412" s="9" t="str">
        <f t="shared" si="6"/>
        <v xml:space="preserve">EDSON/MARCELO LIMA </v>
      </c>
    </row>
    <row r="413" spans="1:14" x14ac:dyDescent="0.3">
      <c r="A413" s="9">
        <v>702980</v>
      </c>
      <c r="B413" s="9" t="s">
        <v>451</v>
      </c>
      <c r="C413" s="10" t="s">
        <v>15</v>
      </c>
      <c r="D413" s="11">
        <v>44684</v>
      </c>
      <c r="E413" s="9" t="s">
        <v>109</v>
      </c>
      <c r="F413" s="9">
        <v>32101</v>
      </c>
      <c r="G413" s="9" t="s">
        <v>23</v>
      </c>
      <c r="H413" s="9" t="s">
        <v>18</v>
      </c>
      <c r="J413" s="9" t="s">
        <v>24</v>
      </c>
      <c r="K413" s="9" t="s">
        <v>25</v>
      </c>
      <c r="L413" s="9" t="s">
        <v>1369</v>
      </c>
      <c r="M413" s="9" t="s">
        <v>1370</v>
      </c>
      <c r="N413" s="9" t="str">
        <f t="shared" si="6"/>
        <v>JUNIO COSTA</v>
      </c>
    </row>
    <row r="414" spans="1:14" x14ac:dyDescent="0.3">
      <c r="A414" s="9">
        <v>704187</v>
      </c>
      <c r="B414" s="9" t="s">
        <v>452</v>
      </c>
      <c r="C414" s="10" t="s">
        <v>15</v>
      </c>
      <c r="D414" s="11">
        <v>45300</v>
      </c>
      <c r="E414" s="9" t="s">
        <v>67</v>
      </c>
      <c r="F414" s="9">
        <v>22102</v>
      </c>
      <c r="G414" s="9" t="s">
        <v>68</v>
      </c>
      <c r="H414" s="9" t="s">
        <v>18</v>
      </c>
      <c r="J414" s="9" t="s">
        <v>94</v>
      </c>
      <c r="K414" s="9" t="s">
        <v>1371</v>
      </c>
      <c r="L414" s="9" t="s">
        <v>1378</v>
      </c>
      <c r="M414" s="9" t="s">
        <v>95</v>
      </c>
      <c r="N414" s="9" t="str">
        <f t="shared" si="6"/>
        <v>LUAN ABADIA</v>
      </c>
    </row>
    <row r="415" spans="1:14" x14ac:dyDescent="0.3">
      <c r="A415" s="9">
        <v>705016</v>
      </c>
      <c r="B415" s="9" t="s">
        <v>453</v>
      </c>
      <c r="C415" s="10" t="s">
        <v>15</v>
      </c>
      <c r="D415" s="11">
        <v>45635</v>
      </c>
      <c r="E415" s="9" t="s">
        <v>121</v>
      </c>
      <c r="F415" s="9">
        <v>22101</v>
      </c>
      <c r="G415" s="9" t="s">
        <v>122</v>
      </c>
      <c r="H415" s="9" t="s">
        <v>18</v>
      </c>
      <c r="J415" s="9" t="s">
        <v>123</v>
      </c>
      <c r="K415" s="9" t="s">
        <v>124</v>
      </c>
      <c r="N415" s="9" t="str">
        <f t="shared" si="6"/>
        <v>MATHEUS FERNANDES</v>
      </c>
    </row>
    <row r="416" spans="1:14" x14ac:dyDescent="0.3">
      <c r="A416" s="9">
        <v>704712</v>
      </c>
      <c r="B416" s="9" t="s">
        <v>977</v>
      </c>
      <c r="C416" s="10" t="s">
        <v>15</v>
      </c>
      <c r="D416" s="11">
        <v>45518</v>
      </c>
      <c r="E416" s="9" t="s">
        <v>138</v>
      </c>
      <c r="F416" s="9">
        <v>22102</v>
      </c>
      <c r="G416" s="9" t="s">
        <v>68</v>
      </c>
      <c r="H416" s="9" t="s">
        <v>18</v>
      </c>
      <c r="J416" s="9" t="s">
        <v>81</v>
      </c>
      <c r="K416" s="9" t="s">
        <v>1371</v>
      </c>
      <c r="L416" s="9" t="s">
        <v>1509</v>
      </c>
      <c r="M416" s="9" t="s">
        <v>1379</v>
      </c>
      <c r="N416" s="9" t="str">
        <f t="shared" si="6"/>
        <v xml:space="preserve">EDSON/MARCELO LIMA </v>
      </c>
    </row>
    <row r="417" spans="1:14" x14ac:dyDescent="0.3">
      <c r="A417" s="9">
        <v>101622</v>
      </c>
      <c r="B417" s="9" t="s">
        <v>455</v>
      </c>
      <c r="C417" s="10" t="s">
        <v>15</v>
      </c>
      <c r="D417" s="11">
        <v>43010</v>
      </c>
      <c r="E417" s="9" t="s">
        <v>146</v>
      </c>
      <c r="F417" s="9">
        <v>52104</v>
      </c>
      <c r="G417" s="9" t="s">
        <v>17</v>
      </c>
      <c r="H417" s="9" t="s">
        <v>18</v>
      </c>
      <c r="J417" s="9" t="s">
        <v>37</v>
      </c>
      <c r="K417" s="9" t="s">
        <v>1368</v>
      </c>
      <c r="L417" s="9" t="s">
        <v>20</v>
      </c>
      <c r="M417" s="9" t="s">
        <v>1634</v>
      </c>
      <c r="N417" s="9" t="str">
        <f t="shared" si="6"/>
        <v>IRON SANTOS</v>
      </c>
    </row>
    <row r="418" spans="1:14" x14ac:dyDescent="0.3">
      <c r="A418" s="9">
        <v>702936</v>
      </c>
      <c r="B418" s="9" t="s">
        <v>456</v>
      </c>
      <c r="C418" s="10" t="s">
        <v>15</v>
      </c>
      <c r="D418" s="11">
        <v>44663</v>
      </c>
      <c r="E418" s="9" t="s">
        <v>149</v>
      </c>
      <c r="F418" s="9">
        <v>39302</v>
      </c>
      <c r="G418" s="9" t="s">
        <v>102</v>
      </c>
      <c r="H418" s="9" t="s">
        <v>18</v>
      </c>
      <c r="J418" s="9" t="s">
        <v>57</v>
      </c>
      <c r="K418" s="9" t="s">
        <v>1371</v>
      </c>
      <c r="L418" s="9" t="s">
        <v>1376</v>
      </c>
      <c r="M418" s="9" t="s">
        <v>1635</v>
      </c>
      <c r="N418" s="9" t="str">
        <f t="shared" si="6"/>
        <v>WARLEY RIBEIRO / EUDES FERNANDES</v>
      </c>
    </row>
    <row r="419" spans="1:14" x14ac:dyDescent="0.3">
      <c r="A419" s="9">
        <v>705608</v>
      </c>
      <c r="B419" s="9" t="s">
        <v>982</v>
      </c>
      <c r="C419" s="10" t="s">
        <v>15</v>
      </c>
      <c r="D419" s="11">
        <v>45902</v>
      </c>
      <c r="E419" s="9" t="s">
        <v>31</v>
      </c>
      <c r="F419" s="9">
        <v>52104</v>
      </c>
      <c r="G419" s="9" t="s">
        <v>17</v>
      </c>
      <c r="H419" s="9" t="s">
        <v>18</v>
      </c>
      <c r="J419" s="9" t="s">
        <v>19</v>
      </c>
      <c r="K419" s="9" t="s">
        <v>1368</v>
      </c>
      <c r="L419" s="9" t="s">
        <v>20</v>
      </c>
      <c r="M419" s="9" t="s">
        <v>1632</v>
      </c>
      <c r="N419" s="9" t="str">
        <f t="shared" si="6"/>
        <v>THIAGO MARCOS</v>
      </c>
    </row>
    <row r="420" spans="1:14" x14ac:dyDescent="0.3">
      <c r="A420" s="9">
        <v>705625</v>
      </c>
      <c r="B420" s="9" t="s">
        <v>1410</v>
      </c>
      <c r="C420" s="10" t="s">
        <v>15</v>
      </c>
      <c r="D420" s="11">
        <v>45937</v>
      </c>
      <c r="E420" s="9" t="s">
        <v>175</v>
      </c>
      <c r="F420" s="9">
        <v>31102</v>
      </c>
      <c r="G420" s="9" t="s">
        <v>135</v>
      </c>
      <c r="H420" s="9" t="s">
        <v>18</v>
      </c>
      <c r="J420" s="9" t="s">
        <v>136</v>
      </c>
      <c r="K420" s="9" t="s">
        <v>50</v>
      </c>
      <c r="L420" s="9" t="s">
        <v>1382</v>
      </c>
      <c r="M420" s="9" t="s">
        <v>1382</v>
      </c>
      <c r="N420" s="9" t="str">
        <f t="shared" si="6"/>
        <v>ADENILTON RODRIGUES</v>
      </c>
    </row>
    <row r="421" spans="1:14" x14ac:dyDescent="0.3">
      <c r="A421" s="9">
        <v>705379</v>
      </c>
      <c r="B421" s="9" t="s">
        <v>1227</v>
      </c>
      <c r="C421" s="10" t="s">
        <v>15</v>
      </c>
      <c r="D421" s="11">
        <v>45784</v>
      </c>
      <c r="E421" s="9" t="s">
        <v>22</v>
      </c>
      <c r="F421" s="9">
        <v>34101</v>
      </c>
      <c r="G421" s="9" t="s">
        <v>43</v>
      </c>
      <c r="H421" s="9" t="s">
        <v>18</v>
      </c>
      <c r="J421" s="9" t="s">
        <v>237</v>
      </c>
      <c r="K421" s="9" t="s">
        <v>25</v>
      </c>
      <c r="L421" s="9" t="s">
        <v>1384</v>
      </c>
      <c r="N421" s="9" t="str">
        <f t="shared" si="6"/>
        <v xml:space="preserve">MARCOS VINICIUS </v>
      </c>
    </row>
    <row r="422" spans="1:14" x14ac:dyDescent="0.3">
      <c r="A422" s="9">
        <v>702020</v>
      </c>
      <c r="B422" s="9" t="s">
        <v>458</v>
      </c>
      <c r="C422" s="10" t="s">
        <v>15</v>
      </c>
      <c r="D422" s="11">
        <v>44242</v>
      </c>
      <c r="E422" s="9" t="s">
        <v>459</v>
      </c>
      <c r="F422" s="9">
        <v>34101</v>
      </c>
      <c r="G422" s="9" t="s">
        <v>43</v>
      </c>
      <c r="H422" s="9" t="s">
        <v>18</v>
      </c>
      <c r="J422" s="9" t="s">
        <v>1642</v>
      </c>
      <c r="K422" s="9" t="s">
        <v>25</v>
      </c>
      <c r="N422" s="9" t="str">
        <f t="shared" si="6"/>
        <v>RAFAEL XAVIER</v>
      </c>
    </row>
    <row r="423" spans="1:14" x14ac:dyDescent="0.3">
      <c r="A423" s="9">
        <v>703719</v>
      </c>
      <c r="B423" s="9" t="s">
        <v>460</v>
      </c>
      <c r="C423" s="10" t="s">
        <v>15</v>
      </c>
      <c r="D423" s="11">
        <v>45026</v>
      </c>
      <c r="E423" s="9" t="s">
        <v>188</v>
      </c>
      <c r="F423" s="9">
        <v>22102</v>
      </c>
      <c r="G423" s="9" t="s">
        <v>68</v>
      </c>
      <c r="H423" s="9" t="s">
        <v>18</v>
      </c>
      <c r="J423" s="9" t="s">
        <v>94</v>
      </c>
      <c r="K423" s="9" t="s">
        <v>1371</v>
      </c>
      <c r="L423" s="9" t="s">
        <v>1378</v>
      </c>
      <c r="M423" s="9" t="s">
        <v>95</v>
      </c>
      <c r="N423" s="9" t="str">
        <f t="shared" si="6"/>
        <v>LUAN ABADIA</v>
      </c>
    </row>
    <row r="424" spans="1:14" x14ac:dyDescent="0.3">
      <c r="A424" s="9">
        <v>705704</v>
      </c>
      <c r="B424" s="9" t="s">
        <v>1452</v>
      </c>
      <c r="C424" s="10" t="s">
        <v>15</v>
      </c>
      <c r="D424" s="11">
        <v>45971</v>
      </c>
      <c r="E424" s="9" t="s">
        <v>31</v>
      </c>
      <c r="F424" s="9">
        <v>52104</v>
      </c>
      <c r="G424" s="9" t="s">
        <v>17</v>
      </c>
      <c r="H424" s="9" t="s">
        <v>18</v>
      </c>
      <c r="J424" s="9" t="s">
        <v>19</v>
      </c>
      <c r="K424" s="9" t="s">
        <v>1368</v>
      </c>
      <c r="L424" s="9" t="s">
        <v>20</v>
      </c>
      <c r="M424" s="9" t="s">
        <v>1632</v>
      </c>
      <c r="N424" s="9" t="str">
        <f t="shared" si="6"/>
        <v>THIAGO MARCOS</v>
      </c>
    </row>
    <row r="425" spans="1:14" x14ac:dyDescent="0.3">
      <c r="A425" s="9">
        <v>700440</v>
      </c>
      <c r="B425" s="9" t="s">
        <v>991</v>
      </c>
      <c r="C425" s="10" t="s">
        <v>15</v>
      </c>
      <c r="D425" s="11">
        <v>43326</v>
      </c>
      <c r="E425" s="9" t="s">
        <v>326</v>
      </c>
      <c r="F425" s="9">
        <v>32101</v>
      </c>
      <c r="G425" s="9" t="s">
        <v>23</v>
      </c>
      <c r="H425" s="9" t="s">
        <v>18</v>
      </c>
      <c r="J425" s="9" t="s">
        <v>24</v>
      </c>
      <c r="K425" s="9" t="s">
        <v>25</v>
      </c>
      <c r="L425" s="9" t="s">
        <v>1369</v>
      </c>
      <c r="M425" s="9" t="s">
        <v>1370</v>
      </c>
      <c r="N425" s="9" t="str">
        <f t="shared" si="6"/>
        <v>JUNIO COSTA</v>
      </c>
    </row>
    <row r="426" spans="1:14" x14ac:dyDescent="0.3">
      <c r="A426" s="9">
        <v>702394</v>
      </c>
      <c r="B426" s="9" t="s">
        <v>461</v>
      </c>
      <c r="C426" s="10" t="s">
        <v>15</v>
      </c>
      <c r="D426" s="11">
        <v>44383</v>
      </c>
      <c r="E426" s="9" t="s">
        <v>230</v>
      </c>
      <c r="F426" s="9">
        <v>38101</v>
      </c>
      <c r="G426" s="9" t="s">
        <v>35</v>
      </c>
      <c r="H426" s="9" t="s">
        <v>18</v>
      </c>
      <c r="J426" s="9" t="s">
        <v>36</v>
      </c>
      <c r="K426" s="9" t="s">
        <v>1372</v>
      </c>
      <c r="L426" s="9" t="s">
        <v>1373</v>
      </c>
      <c r="M426" s="9" t="s">
        <v>1373</v>
      </c>
      <c r="N426" s="9" t="str">
        <f t="shared" si="6"/>
        <v>DENIS ACASSIO</v>
      </c>
    </row>
    <row r="427" spans="1:14" x14ac:dyDescent="0.3">
      <c r="A427" s="9">
        <v>100155</v>
      </c>
      <c r="B427" s="9" t="s">
        <v>462</v>
      </c>
      <c r="C427" s="10" t="s">
        <v>15</v>
      </c>
      <c r="D427" s="11">
        <v>41367</v>
      </c>
      <c r="E427" s="9" t="s">
        <v>31</v>
      </c>
      <c r="F427" s="9">
        <v>38101</v>
      </c>
      <c r="G427" s="9" t="s">
        <v>35</v>
      </c>
      <c r="H427" s="9" t="s">
        <v>18</v>
      </c>
      <c r="J427" s="9" t="s">
        <v>36</v>
      </c>
      <c r="K427" s="9" t="s">
        <v>1372</v>
      </c>
      <c r="L427" s="9" t="s">
        <v>1373</v>
      </c>
      <c r="M427" s="9" t="s">
        <v>1373</v>
      </c>
      <c r="N427" s="9" t="str">
        <f t="shared" si="6"/>
        <v>DENIS ACASSIO</v>
      </c>
    </row>
    <row r="428" spans="1:14" x14ac:dyDescent="0.3">
      <c r="A428" s="9">
        <v>705632</v>
      </c>
      <c r="B428" s="9" t="s">
        <v>1411</v>
      </c>
      <c r="C428" s="10" t="s">
        <v>15</v>
      </c>
      <c r="D428" s="11">
        <v>45937</v>
      </c>
      <c r="E428" s="9" t="s">
        <v>31</v>
      </c>
      <c r="F428" s="9">
        <v>25201</v>
      </c>
      <c r="G428" s="9" t="s">
        <v>89</v>
      </c>
      <c r="H428" s="9" t="s">
        <v>18</v>
      </c>
      <c r="J428" s="9" t="s">
        <v>19</v>
      </c>
      <c r="K428" s="9" t="s">
        <v>1368</v>
      </c>
      <c r="L428" s="9" t="s">
        <v>20</v>
      </c>
      <c r="M428" s="9" t="s">
        <v>1632</v>
      </c>
      <c r="N428" s="9" t="str">
        <f t="shared" si="6"/>
        <v>THIAGO MARCOS</v>
      </c>
    </row>
    <row r="429" spans="1:14" x14ac:dyDescent="0.3">
      <c r="A429" s="9">
        <v>700862</v>
      </c>
      <c r="B429" s="9" t="s">
        <v>463</v>
      </c>
      <c r="C429" s="10" t="s">
        <v>15</v>
      </c>
      <c r="D429" s="11">
        <v>43507</v>
      </c>
      <c r="E429" s="9" t="s">
        <v>230</v>
      </c>
      <c r="F429" s="9">
        <v>38101</v>
      </c>
      <c r="G429" s="9" t="s">
        <v>35</v>
      </c>
      <c r="H429" s="9" t="s">
        <v>18</v>
      </c>
      <c r="J429" s="9" t="s">
        <v>36</v>
      </c>
      <c r="K429" s="9" t="s">
        <v>1372</v>
      </c>
      <c r="L429" s="9" t="s">
        <v>1373</v>
      </c>
      <c r="M429" s="9" t="s">
        <v>1373</v>
      </c>
      <c r="N429" s="9" t="str">
        <f t="shared" si="6"/>
        <v>DENIS ACASSIO</v>
      </c>
    </row>
    <row r="430" spans="1:14" x14ac:dyDescent="0.3">
      <c r="A430" s="9">
        <v>705902</v>
      </c>
      <c r="B430" s="9" t="s">
        <v>1613</v>
      </c>
      <c r="C430" s="10" t="s">
        <v>15</v>
      </c>
      <c r="D430" s="11">
        <v>46091</v>
      </c>
      <c r="E430" s="9" t="s">
        <v>31</v>
      </c>
      <c r="F430" s="9">
        <v>25201</v>
      </c>
      <c r="G430" s="9" t="s">
        <v>89</v>
      </c>
      <c r="H430" s="9" t="s">
        <v>18</v>
      </c>
      <c r="J430" s="9" t="s">
        <v>19</v>
      </c>
      <c r="K430" s="9" t="s">
        <v>1368</v>
      </c>
      <c r="L430" s="9" t="s">
        <v>20</v>
      </c>
      <c r="M430" s="9" t="s">
        <v>1632</v>
      </c>
      <c r="N430" s="9" t="str">
        <f t="shared" si="6"/>
        <v>THIAGO MARCOS</v>
      </c>
    </row>
    <row r="431" spans="1:14" x14ac:dyDescent="0.3">
      <c r="A431" s="9">
        <v>704933</v>
      </c>
      <c r="B431" s="9" t="s">
        <v>466</v>
      </c>
      <c r="C431" s="10" t="s">
        <v>15</v>
      </c>
      <c r="D431" s="11">
        <v>45607</v>
      </c>
      <c r="E431" s="9" t="s">
        <v>31</v>
      </c>
      <c r="F431" s="9">
        <v>52202</v>
      </c>
      <c r="G431" s="9" t="s">
        <v>32</v>
      </c>
      <c r="H431" s="9" t="s">
        <v>18</v>
      </c>
      <c r="J431" s="9" t="s">
        <v>33</v>
      </c>
      <c r="K431" s="9" t="s">
        <v>1368</v>
      </c>
      <c r="L431" s="9" t="s">
        <v>20</v>
      </c>
      <c r="M431" s="9" t="s">
        <v>1634</v>
      </c>
      <c r="N431" s="9" t="str">
        <f t="shared" si="6"/>
        <v>IRON SANTOS</v>
      </c>
    </row>
    <row r="432" spans="1:14" x14ac:dyDescent="0.3">
      <c r="A432" s="9">
        <v>705903</v>
      </c>
      <c r="B432" s="9" t="s">
        <v>1614</v>
      </c>
      <c r="C432" s="10" t="s">
        <v>15</v>
      </c>
      <c r="D432" s="11">
        <v>46091</v>
      </c>
      <c r="E432" s="9" t="s">
        <v>31</v>
      </c>
      <c r="F432" s="9">
        <v>25201</v>
      </c>
      <c r="G432" s="9" t="s">
        <v>89</v>
      </c>
      <c r="H432" s="9" t="s">
        <v>18</v>
      </c>
      <c r="J432" s="9" t="s">
        <v>19</v>
      </c>
      <c r="K432" s="9" t="s">
        <v>1368</v>
      </c>
      <c r="L432" s="9" t="s">
        <v>20</v>
      </c>
      <c r="M432" s="9" t="s">
        <v>1632</v>
      </c>
      <c r="N432" s="9" t="str">
        <f t="shared" si="6"/>
        <v>THIAGO MARCOS</v>
      </c>
    </row>
    <row r="433" spans="1:14" x14ac:dyDescent="0.3">
      <c r="A433" s="9">
        <v>702406</v>
      </c>
      <c r="B433" s="9" t="s">
        <v>467</v>
      </c>
      <c r="C433" s="10" t="s">
        <v>15</v>
      </c>
      <c r="D433" s="11">
        <v>44383</v>
      </c>
      <c r="E433" s="9" t="s">
        <v>127</v>
      </c>
      <c r="F433" s="9">
        <v>22102</v>
      </c>
      <c r="G433" s="9" t="s">
        <v>68</v>
      </c>
      <c r="H433" s="9" t="s">
        <v>18</v>
      </c>
      <c r="J433" s="9" t="s">
        <v>81</v>
      </c>
      <c r="K433" s="9" t="s">
        <v>1371</v>
      </c>
      <c r="L433" s="9" t="s">
        <v>1509</v>
      </c>
      <c r="M433" s="9" t="s">
        <v>1379</v>
      </c>
      <c r="N433" s="9" t="str">
        <f t="shared" si="6"/>
        <v xml:space="preserve">EDSON/MARCELO LIMA </v>
      </c>
    </row>
    <row r="434" spans="1:14" x14ac:dyDescent="0.3">
      <c r="A434" s="9">
        <v>701126</v>
      </c>
      <c r="B434" s="9" t="s">
        <v>468</v>
      </c>
      <c r="C434" s="10" t="s">
        <v>233</v>
      </c>
      <c r="D434" s="11">
        <v>42380</v>
      </c>
      <c r="E434" s="9" t="s">
        <v>185</v>
      </c>
      <c r="F434" s="9">
        <v>33101</v>
      </c>
      <c r="G434" s="9" t="s">
        <v>186</v>
      </c>
      <c r="H434" s="9" t="s">
        <v>18</v>
      </c>
      <c r="J434" s="9" t="s">
        <v>44</v>
      </c>
      <c r="K434" s="9" t="s">
        <v>25</v>
      </c>
      <c r="L434" s="9" t="s">
        <v>1385</v>
      </c>
      <c r="N434" s="9" t="str">
        <f t="shared" si="6"/>
        <v>TALLES RYAN</v>
      </c>
    </row>
    <row r="435" spans="1:14" x14ac:dyDescent="0.3">
      <c r="A435" s="9">
        <v>704893</v>
      </c>
      <c r="B435" s="9" t="s">
        <v>469</v>
      </c>
      <c r="C435" s="10" t="s">
        <v>15</v>
      </c>
      <c r="D435" s="11">
        <v>45601</v>
      </c>
      <c r="E435" s="9" t="s">
        <v>31</v>
      </c>
      <c r="F435" s="9">
        <v>52202</v>
      </c>
      <c r="G435" s="9" t="s">
        <v>32</v>
      </c>
      <c r="H435" s="9" t="s">
        <v>18</v>
      </c>
      <c r="J435" s="9" t="s">
        <v>33</v>
      </c>
      <c r="K435" s="9" t="s">
        <v>1368</v>
      </c>
      <c r="L435" s="9" t="s">
        <v>20</v>
      </c>
      <c r="M435" s="9" t="s">
        <v>1634</v>
      </c>
      <c r="N435" s="9" t="str">
        <f t="shared" si="6"/>
        <v>IRON SANTOS</v>
      </c>
    </row>
    <row r="436" spans="1:14" x14ac:dyDescent="0.3">
      <c r="A436" s="9">
        <v>705836</v>
      </c>
      <c r="B436" s="9" t="s">
        <v>1551</v>
      </c>
      <c r="C436" s="10" t="s">
        <v>15</v>
      </c>
      <c r="D436" s="11">
        <v>46063</v>
      </c>
      <c r="E436" s="9" t="s">
        <v>31</v>
      </c>
      <c r="F436" s="9">
        <v>52104</v>
      </c>
      <c r="G436" s="9" t="s">
        <v>17</v>
      </c>
      <c r="H436" s="9" t="s">
        <v>18</v>
      </c>
      <c r="J436" s="9" t="s">
        <v>19</v>
      </c>
      <c r="K436" s="9" t="s">
        <v>1368</v>
      </c>
      <c r="L436" s="9" t="s">
        <v>20</v>
      </c>
      <c r="M436" s="9" t="s">
        <v>1632</v>
      </c>
      <c r="N436" s="9" t="str">
        <f t="shared" si="6"/>
        <v>THIAGO MARCOS</v>
      </c>
    </row>
    <row r="437" spans="1:14" x14ac:dyDescent="0.3">
      <c r="A437" s="9">
        <v>77013480</v>
      </c>
      <c r="B437" s="9" t="s">
        <v>1677</v>
      </c>
      <c r="C437" s="10" t="s">
        <v>15</v>
      </c>
      <c r="D437" s="11">
        <v>46119</v>
      </c>
      <c r="E437" s="9" t="s">
        <v>77</v>
      </c>
      <c r="F437" s="9">
        <v>38107</v>
      </c>
      <c r="G437" s="9" t="s">
        <v>1503</v>
      </c>
      <c r="H437" s="9" t="s">
        <v>18</v>
      </c>
      <c r="J437" s="9" t="s">
        <v>78</v>
      </c>
      <c r="K437" s="9" t="s">
        <v>1372</v>
      </c>
      <c r="N437" s="9" t="str">
        <f t="shared" si="6"/>
        <v xml:space="preserve">LEIDJANE MARTINS </v>
      </c>
    </row>
    <row r="438" spans="1:14" x14ac:dyDescent="0.3">
      <c r="A438" s="9">
        <v>704936</v>
      </c>
      <c r="B438" s="9" t="s">
        <v>473</v>
      </c>
      <c r="C438" s="10" t="s">
        <v>15</v>
      </c>
      <c r="D438" s="11">
        <v>45608</v>
      </c>
      <c r="E438" s="9" t="s">
        <v>22</v>
      </c>
      <c r="F438" s="9">
        <v>32101</v>
      </c>
      <c r="G438" s="9" t="s">
        <v>23</v>
      </c>
      <c r="H438" s="9" t="s">
        <v>18</v>
      </c>
      <c r="J438" s="9" t="s">
        <v>24</v>
      </c>
      <c r="K438" s="9" t="s">
        <v>25</v>
      </c>
      <c r="L438" s="9" t="s">
        <v>1369</v>
      </c>
      <c r="M438" s="9" t="s">
        <v>1370</v>
      </c>
      <c r="N438" s="9" t="str">
        <f t="shared" si="6"/>
        <v>JUNIO COSTA</v>
      </c>
    </row>
    <row r="439" spans="1:14" x14ac:dyDescent="0.3">
      <c r="A439" s="9">
        <v>705638</v>
      </c>
      <c r="B439" s="9" t="s">
        <v>1412</v>
      </c>
      <c r="C439" s="10" t="s">
        <v>15</v>
      </c>
      <c r="D439" s="11">
        <v>45937</v>
      </c>
      <c r="E439" s="9" t="s">
        <v>446</v>
      </c>
      <c r="F439" s="9">
        <v>22101</v>
      </c>
      <c r="G439" s="9" t="s">
        <v>122</v>
      </c>
      <c r="H439" s="9" t="s">
        <v>18</v>
      </c>
      <c r="J439" s="9" t="s">
        <v>123</v>
      </c>
      <c r="K439" s="9" t="s">
        <v>124</v>
      </c>
      <c r="N439" s="9" t="str">
        <f t="shared" si="6"/>
        <v>MATHEUS FERNANDES</v>
      </c>
    </row>
    <row r="440" spans="1:14" x14ac:dyDescent="0.3">
      <c r="A440" s="9">
        <v>702887</v>
      </c>
      <c r="B440" s="9" t="s">
        <v>475</v>
      </c>
      <c r="C440" s="10" t="s">
        <v>92</v>
      </c>
      <c r="D440" s="11">
        <v>44634</v>
      </c>
      <c r="E440" s="9" t="s">
        <v>476</v>
      </c>
      <c r="F440" s="9">
        <v>21101</v>
      </c>
      <c r="G440" s="9" t="s">
        <v>196</v>
      </c>
      <c r="H440" s="9" t="s">
        <v>18</v>
      </c>
      <c r="I440" s="11">
        <v>46129</v>
      </c>
      <c r="J440" s="9" t="s">
        <v>1662</v>
      </c>
      <c r="K440" s="9" t="s">
        <v>1508</v>
      </c>
      <c r="N440" s="9" t="str">
        <f t="shared" si="6"/>
        <v xml:space="preserve">CARLOS OLIVEIRA </v>
      </c>
    </row>
    <row r="441" spans="1:14" x14ac:dyDescent="0.3">
      <c r="A441" s="9">
        <v>705741</v>
      </c>
      <c r="B441" s="9" t="s">
        <v>1489</v>
      </c>
      <c r="C441" s="10" t="s">
        <v>15</v>
      </c>
      <c r="D441" s="11">
        <v>45993</v>
      </c>
      <c r="E441" s="9" t="s">
        <v>67</v>
      </c>
      <c r="F441" s="9">
        <v>22101</v>
      </c>
      <c r="G441" s="9" t="s">
        <v>122</v>
      </c>
      <c r="H441" s="9" t="s">
        <v>18</v>
      </c>
      <c r="J441" s="9" t="s">
        <v>123</v>
      </c>
      <c r="K441" s="9" t="s">
        <v>124</v>
      </c>
      <c r="N441" s="9" t="str">
        <f t="shared" si="6"/>
        <v>MATHEUS FERNANDES</v>
      </c>
    </row>
    <row r="442" spans="1:14" x14ac:dyDescent="0.3">
      <c r="A442" s="9">
        <v>106026</v>
      </c>
      <c r="B442" s="9" t="s">
        <v>477</v>
      </c>
      <c r="C442" s="10" t="s">
        <v>15</v>
      </c>
      <c r="D442" s="11">
        <v>43556</v>
      </c>
      <c r="E442" s="9" t="s">
        <v>179</v>
      </c>
      <c r="F442" s="9">
        <v>32101</v>
      </c>
      <c r="G442" s="9" t="s">
        <v>23</v>
      </c>
      <c r="H442" s="9" t="s">
        <v>18</v>
      </c>
      <c r="J442" s="9" t="s">
        <v>24</v>
      </c>
      <c r="K442" s="9" t="s">
        <v>25</v>
      </c>
      <c r="L442" s="9" t="s">
        <v>1369</v>
      </c>
      <c r="M442" s="9" t="s">
        <v>1370</v>
      </c>
      <c r="N442" s="9" t="str">
        <f t="shared" si="6"/>
        <v>JUNIO COSTA</v>
      </c>
    </row>
    <row r="443" spans="1:14" x14ac:dyDescent="0.3">
      <c r="A443" s="9">
        <v>703500</v>
      </c>
      <c r="B443" s="9" t="s">
        <v>478</v>
      </c>
      <c r="C443" s="10" t="s">
        <v>15</v>
      </c>
      <c r="D443" s="11">
        <v>44887</v>
      </c>
      <c r="E443" s="9" t="s">
        <v>97</v>
      </c>
      <c r="F443" s="9">
        <v>32101</v>
      </c>
      <c r="G443" s="9" t="s">
        <v>23</v>
      </c>
      <c r="H443" s="9" t="s">
        <v>18</v>
      </c>
      <c r="J443" s="9" t="s">
        <v>24</v>
      </c>
      <c r="K443" s="9" t="s">
        <v>25</v>
      </c>
      <c r="L443" s="9" t="s">
        <v>1369</v>
      </c>
      <c r="M443" s="9" t="s">
        <v>1370</v>
      </c>
      <c r="N443" s="9" t="str">
        <f t="shared" si="6"/>
        <v>JUNIO COSTA</v>
      </c>
    </row>
    <row r="444" spans="1:14" x14ac:dyDescent="0.3">
      <c r="A444" s="9">
        <v>705690</v>
      </c>
      <c r="B444" s="9" t="s">
        <v>1453</v>
      </c>
      <c r="C444" s="10" t="s">
        <v>15</v>
      </c>
      <c r="D444" s="11">
        <v>45966</v>
      </c>
      <c r="E444" s="9" t="s">
        <v>111</v>
      </c>
      <c r="F444" s="9">
        <v>22102</v>
      </c>
      <c r="G444" s="9" t="s">
        <v>68</v>
      </c>
      <c r="H444" s="9" t="s">
        <v>18</v>
      </c>
      <c r="J444" s="9" t="s">
        <v>1640</v>
      </c>
      <c r="K444" s="9" t="s">
        <v>1371</v>
      </c>
      <c r="N444" s="9" t="str">
        <f t="shared" si="6"/>
        <v>PAULO BONIFÁCIO</v>
      </c>
    </row>
    <row r="445" spans="1:14" x14ac:dyDescent="0.3">
      <c r="A445" s="9">
        <v>100318</v>
      </c>
      <c r="B445" s="9" t="s">
        <v>1505</v>
      </c>
      <c r="C445" s="10" t="s">
        <v>15</v>
      </c>
      <c r="D445" s="11">
        <v>41792</v>
      </c>
      <c r="E445" s="9" t="s">
        <v>245</v>
      </c>
      <c r="F445" s="9">
        <v>37101</v>
      </c>
      <c r="G445" s="9" t="s">
        <v>214</v>
      </c>
      <c r="H445" s="9" t="s">
        <v>18</v>
      </c>
      <c r="J445" s="9" t="s">
        <v>215</v>
      </c>
      <c r="K445" s="9" t="s">
        <v>216</v>
      </c>
      <c r="N445" s="9" t="str">
        <f t="shared" si="6"/>
        <v>CARSON NEVES</v>
      </c>
    </row>
    <row r="446" spans="1:14" x14ac:dyDescent="0.3">
      <c r="A446" s="9">
        <v>705825</v>
      </c>
      <c r="B446" s="9" t="s">
        <v>1552</v>
      </c>
      <c r="C446" s="10" t="s">
        <v>15</v>
      </c>
      <c r="D446" s="11">
        <v>46063</v>
      </c>
      <c r="E446" s="9" t="s">
        <v>31</v>
      </c>
      <c r="F446" s="9">
        <v>52104</v>
      </c>
      <c r="G446" s="9" t="s">
        <v>17</v>
      </c>
      <c r="H446" s="9" t="s">
        <v>18</v>
      </c>
      <c r="J446" s="9" t="s">
        <v>19</v>
      </c>
      <c r="K446" s="9" t="s">
        <v>1368</v>
      </c>
      <c r="L446" s="9" t="s">
        <v>20</v>
      </c>
      <c r="M446" s="9" t="s">
        <v>1632</v>
      </c>
      <c r="N446" s="9" t="str">
        <f t="shared" si="6"/>
        <v>THIAGO MARCOS</v>
      </c>
    </row>
    <row r="447" spans="1:14" x14ac:dyDescent="0.3">
      <c r="A447" s="9">
        <v>703504</v>
      </c>
      <c r="B447" s="9" t="s">
        <v>480</v>
      </c>
      <c r="C447" s="10" t="s">
        <v>15</v>
      </c>
      <c r="D447" s="11">
        <v>44887</v>
      </c>
      <c r="E447" s="9" t="s">
        <v>160</v>
      </c>
      <c r="F447" s="9">
        <v>32101</v>
      </c>
      <c r="G447" s="9" t="s">
        <v>23</v>
      </c>
      <c r="H447" s="9" t="s">
        <v>18</v>
      </c>
      <c r="J447" s="9" t="s">
        <v>24</v>
      </c>
      <c r="K447" s="9" t="s">
        <v>25</v>
      </c>
      <c r="L447" s="9" t="s">
        <v>1369</v>
      </c>
      <c r="M447" s="9" t="s">
        <v>1370</v>
      </c>
      <c r="N447" s="9" t="str">
        <f t="shared" si="6"/>
        <v>JUNIO COSTA</v>
      </c>
    </row>
    <row r="448" spans="1:14" x14ac:dyDescent="0.3">
      <c r="A448" s="9">
        <v>706050</v>
      </c>
      <c r="B448" s="9" t="s">
        <v>1678</v>
      </c>
      <c r="C448" s="10" t="s">
        <v>15</v>
      </c>
      <c r="D448" s="11">
        <v>46119</v>
      </c>
      <c r="E448" s="9" t="s">
        <v>77</v>
      </c>
      <c r="F448" s="9">
        <v>38107</v>
      </c>
      <c r="G448" s="9" t="s">
        <v>1503</v>
      </c>
      <c r="H448" s="9" t="s">
        <v>18</v>
      </c>
      <c r="J448" s="9" t="s">
        <v>78</v>
      </c>
      <c r="K448" s="9" t="s">
        <v>1372</v>
      </c>
      <c r="N448" s="9" t="str">
        <f t="shared" si="6"/>
        <v xml:space="preserve">LEIDJANE MARTINS </v>
      </c>
    </row>
    <row r="449" spans="1:14" x14ac:dyDescent="0.3">
      <c r="A449" s="9">
        <v>706051</v>
      </c>
      <c r="B449" s="9" t="s">
        <v>1679</v>
      </c>
      <c r="C449" s="10" t="s">
        <v>15</v>
      </c>
      <c r="D449" s="11">
        <v>46119</v>
      </c>
      <c r="E449" s="9" t="s">
        <v>77</v>
      </c>
      <c r="F449" s="9">
        <v>38107</v>
      </c>
      <c r="G449" s="9" t="s">
        <v>1503</v>
      </c>
      <c r="H449" s="9" t="s">
        <v>18</v>
      </c>
      <c r="J449" s="9" t="s">
        <v>78</v>
      </c>
      <c r="K449" s="9" t="s">
        <v>1372</v>
      </c>
      <c r="N449" s="9" t="str">
        <f t="shared" si="6"/>
        <v xml:space="preserve">LEIDJANE MARTINS </v>
      </c>
    </row>
    <row r="450" spans="1:14" x14ac:dyDescent="0.3">
      <c r="A450" s="9">
        <v>705800</v>
      </c>
      <c r="B450" s="9" t="s">
        <v>1524</v>
      </c>
      <c r="C450" s="10" t="s">
        <v>15</v>
      </c>
      <c r="D450" s="11">
        <v>46035</v>
      </c>
      <c r="E450" s="9" t="s">
        <v>31</v>
      </c>
      <c r="F450" s="9">
        <v>52104</v>
      </c>
      <c r="G450" s="9" t="s">
        <v>17</v>
      </c>
      <c r="H450" s="9" t="s">
        <v>18</v>
      </c>
      <c r="J450" s="9" t="s">
        <v>19</v>
      </c>
      <c r="K450" s="9" t="s">
        <v>1368</v>
      </c>
      <c r="L450" s="9" t="s">
        <v>20</v>
      </c>
      <c r="M450" s="9" t="s">
        <v>1632</v>
      </c>
      <c r="N450" s="9" t="str">
        <f t="shared" si="6"/>
        <v>THIAGO MARCOS</v>
      </c>
    </row>
    <row r="451" spans="1:14" x14ac:dyDescent="0.3">
      <c r="A451" s="9">
        <v>705198</v>
      </c>
      <c r="B451" s="9" t="s">
        <v>1164</v>
      </c>
      <c r="C451" s="10" t="s">
        <v>15</v>
      </c>
      <c r="D451" s="11">
        <v>45727</v>
      </c>
      <c r="E451" s="9" t="s">
        <v>93</v>
      </c>
      <c r="F451" s="9">
        <v>22102</v>
      </c>
      <c r="G451" s="9" t="s">
        <v>68</v>
      </c>
      <c r="H451" s="9" t="s">
        <v>18</v>
      </c>
      <c r="J451" s="9" t="s">
        <v>69</v>
      </c>
      <c r="K451" s="9" t="s">
        <v>1371</v>
      </c>
      <c r="L451" s="9" t="s">
        <v>1378</v>
      </c>
      <c r="N451" s="9" t="str">
        <f t="shared" ref="N451:N514" si="7">IF(M451&lt;&gt;"", M451, IF(L451&lt;&gt;"", L451, K451))</f>
        <v xml:space="preserve">JOÃO KOMURA </v>
      </c>
    </row>
    <row r="452" spans="1:14" x14ac:dyDescent="0.3">
      <c r="A452" s="9">
        <v>77013478</v>
      </c>
      <c r="B452" s="9" t="s">
        <v>1680</v>
      </c>
      <c r="C452" s="10" t="s">
        <v>15</v>
      </c>
      <c r="D452" s="11">
        <v>46119</v>
      </c>
      <c r="E452" s="9" t="s">
        <v>77</v>
      </c>
      <c r="F452" s="9">
        <v>38107</v>
      </c>
      <c r="G452" s="9" t="s">
        <v>1503</v>
      </c>
      <c r="H452" s="9" t="s">
        <v>18</v>
      </c>
      <c r="J452" s="9" t="s">
        <v>78</v>
      </c>
      <c r="K452" s="9" t="s">
        <v>1372</v>
      </c>
      <c r="N452" s="9" t="str">
        <f t="shared" si="7"/>
        <v xml:space="preserve">LEIDJANE MARTINS </v>
      </c>
    </row>
    <row r="453" spans="1:14" x14ac:dyDescent="0.3">
      <c r="A453" s="9">
        <v>705605</v>
      </c>
      <c r="B453" s="9" t="s">
        <v>1357</v>
      </c>
      <c r="C453" s="10" t="s">
        <v>15</v>
      </c>
      <c r="D453" s="11">
        <v>45902</v>
      </c>
      <c r="E453" s="9" t="s">
        <v>31</v>
      </c>
      <c r="F453" s="9">
        <v>25201</v>
      </c>
      <c r="G453" s="9" t="s">
        <v>89</v>
      </c>
      <c r="H453" s="9" t="s">
        <v>18</v>
      </c>
      <c r="J453" s="9" t="s">
        <v>19</v>
      </c>
      <c r="K453" s="9" t="s">
        <v>1368</v>
      </c>
      <c r="L453" s="9" t="s">
        <v>20</v>
      </c>
      <c r="M453" s="9" t="s">
        <v>1632</v>
      </c>
      <c r="N453" s="9" t="str">
        <f t="shared" si="7"/>
        <v>THIAGO MARCOS</v>
      </c>
    </row>
    <row r="454" spans="1:14" x14ac:dyDescent="0.3">
      <c r="A454" s="9">
        <v>705578</v>
      </c>
      <c r="B454" s="9" t="s">
        <v>1321</v>
      </c>
      <c r="C454" s="10" t="s">
        <v>15</v>
      </c>
      <c r="D454" s="11">
        <v>45881</v>
      </c>
      <c r="E454" s="9" t="s">
        <v>31</v>
      </c>
      <c r="F454" s="9">
        <v>39301</v>
      </c>
      <c r="G454" s="9" t="s">
        <v>73</v>
      </c>
      <c r="H454" s="9" t="s">
        <v>18</v>
      </c>
      <c r="J454" s="9" t="s">
        <v>74</v>
      </c>
      <c r="K454" s="9" t="s">
        <v>1371</v>
      </c>
      <c r="L454" s="9" t="s">
        <v>1376</v>
      </c>
      <c r="M454" s="9" t="s">
        <v>75</v>
      </c>
      <c r="N454" s="9" t="str">
        <f t="shared" si="7"/>
        <v>ISAC NONATO</v>
      </c>
    </row>
    <row r="455" spans="1:14" x14ac:dyDescent="0.3">
      <c r="A455" s="9">
        <v>700691</v>
      </c>
      <c r="B455" s="9" t="s">
        <v>1506</v>
      </c>
      <c r="C455" s="10" t="s">
        <v>15</v>
      </c>
      <c r="D455" s="11">
        <v>43389</v>
      </c>
      <c r="E455" s="9" t="s">
        <v>138</v>
      </c>
      <c r="F455" s="9">
        <v>52104</v>
      </c>
      <c r="G455" s="9" t="s">
        <v>17</v>
      </c>
      <c r="H455" s="9" t="s">
        <v>18</v>
      </c>
      <c r="J455" s="9" t="s">
        <v>37</v>
      </c>
      <c r="K455" s="9" t="s">
        <v>1368</v>
      </c>
      <c r="L455" s="9" t="s">
        <v>20</v>
      </c>
      <c r="M455" s="9" t="s">
        <v>1634</v>
      </c>
      <c r="N455" s="9" t="str">
        <f t="shared" si="7"/>
        <v>IRON SANTOS</v>
      </c>
    </row>
    <row r="456" spans="1:14" x14ac:dyDescent="0.3">
      <c r="A456" s="9">
        <v>703938</v>
      </c>
      <c r="B456" s="9" t="s">
        <v>481</v>
      </c>
      <c r="C456" s="10" t="s">
        <v>15</v>
      </c>
      <c r="D456" s="11">
        <v>45089</v>
      </c>
      <c r="E456" s="9" t="s">
        <v>60</v>
      </c>
      <c r="F456" s="9">
        <v>52104</v>
      </c>
      <c r="G456" s="9" t="s">
        <v>17</v>
      </c>
      <c r="H456" s="9" t="s">
        <v>18</v>
      </c>
      <c r="J456" s="9" t="s">
        <v>19</v>
      </c>
      <c r="K456" s="9" t="s">
        <v>1368</v>
      </c>
      <c r="L456" s="9" t="s">
        <v>20</v>
      </c>
      <c r="M456" s="9" t="s">
        <v>1632</v>
      </c>
      <c r="N456" s="9" t="str">
        <f t="shared" si="7"/>
        <v>THIAGO MARCOS</v>
      </c>
    </row>
    <row r="457" spans="1:14" x14ac:dyDescent="0.3">
      <c r="A457" s="9">
        <v>705601</v>
      </c>
      <c r="B457" s="9" t="s">
        <v>1358</v>
      </c>
      <c r="C457" s="10" t="s">
        <v>15</v>
      </c>
      <c r="D457" s="11">
        <v>45902</v>
      </c>
      <c r="E457" s="9" t="s">
        <v>1359</v>
      </c>
      <c r="F457" s="9">
        <v>38101</v>
      </c>
      <c r="G457" s="9" t="s">
        <v>35</v>
      </c>
      <c r="H457" s="9" t="s">
        <v>18</v>
      </c>
      <c r="J457" s="9" t="s">
        <v>36</v>
      </c>
      <c r="K457" s="9" t="s">
        <v>1372</v>
      </c>
      <c r="L457" s="9" t="s">
        <v>1373</v>
      </c>
      <c r="M457" s="9" t="s">
        <v>1373</v>
      </c>
      <c r="N457" s="9" t="str">
        <f t="shared" si="7"/>
        <v>DENIS ACASSIO</v>
      </c>
    </row>
    <row r="458" spans="1:14" x14ac:dyDescent="0.3">
      <c r="A458" s="9">
        <v>705970</v>
      </c>
      <c r="B458" s="9" t="s">
        <v>1681</v>
      </c>
      <c r="C458" s="10" t="s">
        <v>15</v>
      </c>
      <c r="D458" s="11">
        <v>46119</v>
      </c>
      <c r="E458" s="9" t="s">
        <v>77</v>
      </c>
      <c r="F458" s="9">
        <v>38107</v>
      </c>
      <c r="G458" s="9" t="s">
        <v>1503</v>
      </c>
      <c r="H458" s="9" t="s">
        <v>18</v>
      </c>
      <c r="J458" s="9" t="s">
        <v>78</v>
      </c>
      <c r="K458" s="9" t="s">
        <v>1372</v>
      </c>
      <c r="N458" s="9" t="str">
        <f t="shared" si="7"/>
        <v xml:space="preserve">LEIDJANE MARTINS </v>
      </c>
    </row>
    <row r="459" spans="1:14" x14ac:dyDescent="0.3">
      <c r="A459" s="9">
        <v>705547</v>
      </c>
      <c r="B459" s="9" t="s">
        <v>1342</v>
      </c>
      <c r="C459" s="10" t="s">
        <v>15</v>
      </c>
      <c r="D459" s="11">
        <v>45881</v>
      </c>
      <c r="E459" s="9" t="s">
        <v>1553</v>
      </c>
      <c r="F459" s="9">
        <v>34201</v>
      </c>
      <c r="G459" s="9" t="s">
        <v>84</v>
      </c>
      <c r="H459" s="9" t="s">
        <v>18</v>
      </c>
      <c r="J459" s="9" t="s">
        <v>85</v>
      </c>
      <c r="K459" s="9" t="s">
        <v>1371</v>
      </c>
      <c r="L459" s="9" t="s">
        <v>1380</v>
      </c>
      <c r="M459" s="9" t="s">
        <v>1380</v>
      </c>
      <c r="N459" s="9" t="str">
        <f t="shared" si="7"/>
        <v xml:space="preserve">LEONARDO SANTOS </v>
      </c>
    </row>
    <row r="460" spans="1:14" x14ac:dyDescent="0.3">
      <c r="A460" s="9">
        <v>704872</v>
      </c>
      <c r="B460" s="9" t="s">
        <v>482</v>
      </c>
      <c r="C460" s="10" t="s">
        <v>15</v>
      </c>
      <c r="D460" s="11">
        <v>45573</v>
      </c>
      <c r="E460" s="9" t="s">
        <v>446</v>
      </c>
      <c r="F460" s="9">
        <v>32101</v>
      </c>
      <c r="G460" s="9" t="s">
        <v>23</v>
      </c>
      <c r="H460" s="9" t="s">
        <v>18</v>
      </c>
      <c r="J460" s="9" t="s">
        <v>1643</v>
      </c>
      <c r="K460" s="9" t="s">
        <v>25</v>
      </c>
      <c r="M460" s="9" t="s">
        <v>1780</v>
      </c>
      <c r="N460" s="9" t="str">
        <f t="shared" si="7"/>
        <v>JOSE ALBERISSON</v>
      </c>
    </row>
    <row r="461" spans="1:14" x14ac:dyDescent="0.3">
      <c r="A461" s="9">
        <v>704836</v>
      </c>
      <c r="B461" s="9" t="s">
        <v>483</v>
      </c>
      <c r="C461" s="10" t="s">
        <v>15</v>
      </c>
      <c r="D461" s="11">
        <v>45566</v>
      </c>
      <c r="E461" s="9" t="s">
        <v>27</v>
      </c>
      <c r="F461" s="9">
        <v>39302</v>
      </c>
      <c r="G461" s="9" t="s">
        <v>102</v>
      </c>
      <c r="H461" s="9" t="s">
        <v>18</v>
      </c>
      <c r="J461" s="9" t="s">
        <v>57</v>
      </c>
      <c r="K461" s="9" t="s">
        <v>1371</v>
      </c>
      <c r="L461" s="9" t="s">
        <v>1376</v>
      </c>
      <c r="M461" s="9" t="s">
        <v>1635</v>
      </c>
      <c r="N461" s="9" t="str">
        <f t="shared" si="7"/>
        <v>WARLEY RIBEIRO / EUDES FERNANDES</v>
      </c>
    </row>
    <row r="462" spans="1:14" x14ac:dyDescent="0.3">
      <c r="A462" s="9">
        <v>100753</v>
      </c>
      <c r="B462" s="9" t="s">
        <v>484</v>
      </c>
      <c r="C462" s="10" t="s">
        <v>15</v>
      </c>
      <c r="D462" s="11">
        <v>42179</v>
      </c>
      <c r="E462" s="9" t="s">
        <v>141</v>
      </c>
      <c r="F462" s="9">
        <v>22102</v>
      </c>
      <c r="G462" s="9" t="s">
        <v>68</v>
      </c>
      <c r="H462" s="9" t="s">
        <v>18</v>
      </c>
      <c r="J462" s="9" t="s">
        <v>81</v>
      </c>
      <c r="K462" s="9" t="s">
        <v>1371</v>
      </c>
      <c r="L462" s="9" t="s">
        <v>1509</v>
      </c>
      <c r="M462" s="9" t="s">
        <v>1379</v>
      </c>
      <c r="N462" s="9" t="str">
        <f t="shared" si="7"/>
        <v xml:space="preserve">EDSON/MARCELO LIMA </v>
      </c>
    </row>
    <row r="463" spans="1:14" x14ac:dyDescent="0.3">
      <c r="A463" s="9">
        <v>702692</v>
      </c>
      <c r="B463" s="9" t="s">
        <v>485</v>
      </c>
      <c r="C463" s="10" t="s">
        <v>15</v>
      </c>
      <c r="D463" s="11">
        <v>44537</v>
      </c>
      <c r="E463" s="9" t="s">
        <v>255</v>
      </c>
      <c r="F463" s="9">
        <v>39501</v>
      </c>
      <c r="G463" s="9" t="s">
        <v>28</v>
      </c>
      <c r="H463" s="9" t="s">
        <v>18</v>
      </c>
      <c r="J463" s="9" t="s">
        <v>29</v>
      </c>
      <c r="K463" s="9" t="s">
        <v>1368</v>
      </c>
      <c r="L463" s="9" t="s">
        <v>20</v>
      </c>
      <c r="M463" s="9" t="s">
        <v>1634</v>
      </c>
      <c r="N463" s="9" t="str">
        <f t="shared" si="7"/>
        <v>IRON SANTOS</v>
      </c>
    </row>
    <row r="464" spans="1:14" x14ac:dyDescent="0.3">
      <c r="A464" s="9">
        <v>705367</v>
      </c>
      <c r="B464" s="9" t="s">
        <v>1228</v>
      </c>
      <c r="C464" s="10" t="s">
        <v>15</v>
      </c>
      <c r="D464" s="11">
        <v>45784</v>
      </c>
      <c r="E464" s="9" t="s">
        <v>55</v>
      </c>
      <c r="F464" s="9">
        <v>39304</v>
      </c>
      <c r="G464" s="9" t="s">
        <v>56</v>
      </c>
      <c r="H464" s="9" t="s">
        <v>18</v>
      </c>
      <c r="J464" s="9" t="s">
        <v>57</v>
      </c>
      <c r="K464" s="9" t="s">
        <v>1371</v>
      </c>
      <c r="L464" s="9" t="s">
        <v>1376</v>
      </c>
      <c r="M464" s="9" t="s">
        <v>1635</v>
      </c>
      <c r="N464" s="9" t="str">
        <f t="shared" si="7"/>
        <v>WARLEY RIBEIRO / EUDES FERNANDES</v>
      </c>
    </row>
    <row r="465" spans="1:14" x14ac:dyDescent="0.3">
      <c r="A465" s="9">
        <v>700067</v>
      </c>
      <c r="B465" s="9" t="s">
        <v>486</v>
      </c>
      <c r="C465" s="10" t="s">
        <v>15</v>
      </c>
      <c r="D465" s="11">
        <v>39114</v>
      </c>
      <c r="E465" s="9" t="s">
        <v>158</v>
      </c>
      <c r="F465" s="9">
        <v>15101</v>
      </c>
      <c r="G465" s="9" t="s">
        <v>447</v>
      </c>
      <c r="H465" s="9" t="s">
        <v>18</v>
      </c>
      <c r="J465" s="9" t="s">
        <v>448</v>
      </c>
      <c r="K465" s="9" t="s">
        <v>449</v>
      </c>
      <c r="N465" s="9" t="str">
        <f t="shared" si="7"/>
        <v xml:space="preserve">RAFAEL VIRGENS </v>
      </c>
    </row>
    <row r="466" spans="1:14" x14ac:dyDescent="0.3">
      <c r="A466" s="9">
        <v>704124</v>
      </c>
      <c r="B466" s="9" t="s">
        <v>487</v>
      </c>
      <c r="C466" s="10" t="s">
        <v>15</v>
      </c>
      <c r="D466" s="11">
        <v>45238</v>
      </c>
      <c r="E466" s="9" t="s">
        <v>31</v>
      </c>
      <c r="F466" s="9">
        <v>52104</v>
      </c>
      <c r="G466" s="9" t="s">
        <v>17</v>
      </c>
      <c r="H466" s="9" t="s">
        <v>18</v>
      </c>
      <c r="J466" s="9" t="s">
        <v>19</v>
      </c>
      <c r="K466" s="9" t="s">
        <v>1368</v>
      </c>
      <c r="L466" s="9" t="s">
        <v>20</v>
      </c>
      <c r="M466" s="9" t="s">
        <v>1632</v>
      </c>
      <c r="N466" s="9" t="str">
        <f t="shared" si="7"/>
        <v>THIAGO MARCOS</v>
      </c>
    </row>
    <row r="467" spans="1:14" x14ac:dyDescent="0.3">
      <c r="A467" s="9">
        <v>703843</v>
      </c>
      <c r="B467" s="9" t="s">
        <v>488</v>
      </c>
      <c r="C467" s="10" t="s">
        <v>15</v>
      </c>
      <c r="D467" s="11">
        <v>45054</v>
      </c>
      <c r="E467" s="9" t="s">
        <v>446</v>
      </c>
      <c r="F467" s="9">
        <v>22101</v>
      </c>
      <c r="G467" s="9" t="s">
        <v>122</v>
      </c>
      <c r="H467" s="9" t="s">
        <v>18</v>
      </c>
      <c r="J467" s="9" t="s">
        <v>123</v>
      </c>
      <c r="K467" s="9" t="s">
        <v>124</v>
      </c>
      <c r="N467" s="9" t="str">
        <f t="shared" si="7"/>
        <v>MATHEUS FERNANDES</v>
      </c>
    </row>
    <row r="468" spans="1:14" x14ac:dyDescent="0.3">
      <c r="A468" s="9">
        <v>700103</v>
      </c>
      <c r="B468" s="9" t="s">
        <v>489</v>
      </c>
      <c r="C468" s="10" t="s">
        <v>15</v>
      </c>
      <c r="D468" s="11">
        <v>43164</v>
      </c>
      <c r="E468" s="9" t="s">
        <v>60</v>
      </c>
      <c r="F468" s="9">
        <v>52104</v>
      </c>
      <c r="G468" s="9" t="s">
        <v>17</v>
      </c>
      <c r="H468" s="9" t="s">
        <v>18</v>
      </c>
      <c r="J468" s="9" t="s">
        <v>37</v>
      </c>
      <c r="K468" s="9" t="s">
        <v>1368</v>
      </c>
      <c r="L468" s="9" t="s">
        <v>20</v>
      </c>
      <c r="M468" s="9" t="s">
        <v>1634</v>
      </c>
      <c r="N468" s="9" t="str">
        <f t="shared" si="7"/>
        <v>IRON SANTOS</v>
      </c>
    </row>
    <row r="469" spans="1:14" x14ac:dyDescent="0.3">
      <c r="A469" s="9">
        <v>702152</v>
      </c>
      <c r="B469" s="9" t="s">
        <v>490</v>
      </c>
      <c r="C469" s="10" t="s">
        <v>15</v>
      </c>
      <c r="D469" s="11">
        <v>44299</v>
      </c>
      <c r="E469" s="9" t="s">
        <v>166</v>
      </c>
      <c r="F469" s="9">
        <v>22102</v>
      </c>
      <c r="G469" s="9" t="s">
        <v>68</v>
      </c>
      <c r="H469" s="9" t="s">
        <v>18</v>
      </c>
      <c r="J469" s="9" t="s">
        <v>167</v>
      </c>
      <c r="K469" s="9" t="s">
        <v>1371</v>
      </c>
      <c r="L469" s="9" t="s">
        <v>1509</v>
      </c>
      <c r="M469" s="9" t="s">
        <v>1636</v>
      </c>
      <c r="N469" s="9" t="str">
        <f t="shared" si="7"/>
        <v>FABIANO DIAS</v>
      </c>
    </row>
    <row r="470" spans="1:14" x14ac:dyDescent="0.3">
      <c r="A470" s="9">
        <v>704377</v>
      </c>
      <c r="B470" s="9" t="s">
        <v>491</v>
      </c>
      <c r="C470" s="10" t="s">
        <v>15</v>
      </c>
      <c r="D470" s="11">
        <v>45384</v>
      </c>
      <c r="E470" s="9" t="s">
        <v>138</v>
      </c>
      <c r="F470" s="9">
        <v>52104</v>
      </c>
      <c r="G470" s="9" t="s">
        <v>17</v>
      </c>
      <c r="H470" s="9" t="s">
        <v>18</v>
      </c>
      <c r="J470" s="9" t="s">
        <v>19</v>
      </c>
      <c r="K470" s="9" t="s">
        <v>1368</v>
      </c>
      <c r="L470" s="9" t="s">
        <v>20</v>
      </c>
      <c r="M470" s="9" t="s">
        <v>1632</v>
      </c>
      <c r="N470" s="9" t="str">
        <f t="shared" si="7"/>
        <v>THIAGO MARCOS</v>
      </c>
    </row>
    <row r="471" spans="1:14" x14ac:dyDescent="0.3">
      <c r="A471" s="9">
        <v>705781</v>
      </c>
      <c r="B471" s="9" t="s">
        <v>1525</v>
      </c>
      <c r="C471" s="10" t="s">
        <v>15</v>
      </c>
      <c r="D471" s="11">
        <v>46029</v>
      </c>
      <c r="E471" s="9" t="s">
        <v>31</v>
      </c>
      <c r="F471" s="9">
        <v>25201</v>
      </c>
      <c r="G471" s="9" t="s">
        <v>89</v>
      </c>
      <c r="H471" s="9" t="s">
        <v>18</v>
      </c>
      <c r="J471" s="9" t="s">
        <v>19</v>
      </c>
      <c r="K471" s="9" t="s">
        <v>1368</v>
      </c>
      <c r="L471" s="9" t="s">
        <v>20</v>
      </c>
      <c r="M471" s="9" t="s">
        <v>1632</v>
      </c>
      <c r="N471" s="9" t="str">
        <f t="shared" si="7"/>
        <v>THIAGO MARCOS</v>
      </c>
    </row>
    <row r="472" spans="1:14" x14ac:dyDescent="0.3">
      <c r="A472" s="9">
        <v>77013475</v>
      </c>
      <c r="B472" s="9" t="s">
        <v>1682</v>
      </c>
      <c r="C472" s="10" t="s">
        <v>15</v>
      </c>
      <c r="D472" s="11">
        <v>46119</v>
      </c>
      <c r="E472" s="9" t="s">
        <v>77</v>
      </c>
      <c r="F472" s="9">
        <v>38107</v>
      </c>
      <c r="G472" s="9" t="s">
        <v>1503</v>
      </c>
      <c r="H472" s="9" t="s">
        <v>18</v>
      </c>
      <c r="J472" s="9" t="s">
        <v>78</v>
      </c>
      <c r="K472" s="9" t="s">
        <v>1372</v>
      </c>
      <c r="N472" s="9" t="str">
        <f t="shared" si="7"/>
        <v xml:space="preserve">LEIDJANE MARTINS </v>
      </c>
    </row>
    <row r="473" spans="1:14" x14ac:dyDescent="0.3">
      <c r="A473" s="9">
        <v>703003</v>
      </c>
      <c r="B473" s="9" t="s">
        <v>492</v>
      </c>
      <c r="C473" s="10" t="s">
        <v>15</v>
      </c>
      <c r="D473" s="11">
        <v>44691</v>
      </c>
      <c r="E473" s="9" t="s">
        <v>16</v>
      </c>
      <c r="F473" s="9">
        <v>38101</v>
      </c>
      <c r="G473" s="9" t="s">
        <v>35</v>
      </c>
      <c r="H473" s="9" t="s">
        <v>18</v>
      </c>
      <c r="J473" s="9" t="s">
        <v>36</v>
      </c>
      <c r="K473" s="9" t="s">
        <v>1372</v>
      </c>
      <c r="L473" s="9" t="s">
        <v>1373</v>
      </c>
      <c r="M473" s="9" t="s">
        <v>1373</v>
      </c>
      <c r="N473" s="9" t="str">
        <f t="shared" si="7"/>
        <v>DENIS ACASSIO</v>
      </c>
    </row>
    <row r="474" spans="1:14" x14ac:dyDescent="0.3">
      <c r="A474" s="9">
        <v>705917</v>
      </c>
      <c r="B474" s="9" t="s">
        <v>1615</v>
      </c>
      <c r="C474" s="10" t="s">
        <v>15</v>
      </c>
      <c r="D474" s="11">
        <v>46091</v>
      </c>
      <c r="E474" s="9" t="s">
        <v>31</v>
      </c>
      <c r="F474" s="9">
        <v>52104</v>
      </c>
      <c r="G474" s="9" t="s">
        <v>17</v>
      </c>
      <c r="H474" s="9" t="s">
        <v>18</v>
      </c>
      <c r="J474" s="9" t="s">
        <v>19</v>
      </c>
      <c r="K474" s="9" t="s">
        <v>1368</v>
      </c>
      <c r="L474" s="9" t="s">
        <v>20</v>
      </c>
      <c r="M474" s="9" t="s">
        <v>1632</v>
      </c>
      <c r="N474" s="9" t="str">
        <f t="shared" si="7"/>
        <v>THIAGO MARCOS</v>
      </c>
    </row>
    <row r="475" spans="1:14" x14ac:dyDescent="0.3">
      <c r="A475" s="9">
        <v>703154</v>
      </c>
      <c r="B475" s="9" t="s">
        <v>493</v>
      </c>
      <c r="C475" s="10" t="s">
        <v>15</v>
      </c>
      <c r="D475" s="11">
        <v>44746</v>
      </c>
      <c r="E475" s="9" t="s">
        <v>138</v>
      </c>
      <c r="F475" s="9">
        <v>22102</v>
      </c>
      <c r="G475" s="9" t="s">
        <v>68</v>
      </c>
      <c r="H475" s="9" t="s">
        <v>18</v>
      </c>
      <c r="J475" s="9" t="s">
        <v>81</v>
      </c>
      <c r="K475" s="9" t="s">
        <v>1371</v>
      </c>
      <c r="L475" s="9" t="s">
        <v>1509</v>
      </c>
      <c r="M475" s="9" t="s">
        <v>1379</v>
      </c>
      <c r="N475" s="9" t="str">
        <f t="shared" si="7"/>
        <v xml:space="preserve">EDSON/MARCELO LIMA </v>
      </c>
    </row>
    <row r="476" spans="1:14" x14ac:dyDescent="0.3">
      <c r="A476" s="9">
        <v>704564</v>
      </c>
      <c r="B476" s="9" t="s">
        <v>494</v>
      </c>
      <c r="C476" s="10" t="s">
        <v>15</v>
      </c>
      <c r="D476" s="11">
        <v>45433</v>
      </c>
      <c r="E476" s="9" t="s">
        <v>217</v>
      </c>
      <c r="F476" s="9">
        <v>39302</v>
      </c>
      <c r="G476" s="9" t="s">
        <v>102</v>
      </c>
      <c r="H476" s="9" t="s">
        <v>18</v>
      </c>
      <c r="J476" s="9" t="s">
        <v>57</v>
      </c>
      <c r="K476" s="9" t="s">
        <v>1371</v>
      </c>
      <c r="L476" s="9" t="s">
        <v>1376</v>
      </c>
      <c r="M476" s="9" t="s">
        <v>1635</v>
      </c>
      <c r="N476" s="9" t="str">
        <f t="shared" si="7"/>
        <v>WARLEY RIBEIRO / EUDES FERNANDES</v>
      </c>
    </row>
    <row r="477" spans="1:14" x14ac:dyDescent="0.3">
      <c r="A477" s="9">
        <v>705507</v>
      </c>
      <c r="B477" s="9" t="s">
        <v>1300</v>
      </c>
      <c r="C477" s="10" t="s">
        <v>15</v>
      </c>
      <c r="D477" s="11">
        <v>45847</v>
      </c>
      <c r="E477" s="9" t="s">
        <v>138</v>
      </c>
      <c r="F477" s="9">
        <v>22102</v>
      </c>
      <c r="G477" s="9" t="s">
        <v>68</v>
      </c>
      <c r="H477" s="9" t="s">
        <v>18</v>
      </c>
      <c r="J477" s="9" t="s">
        <v>81</v>
      </c>
      <c r="K477" s="9" t="s">
        <v>1371</v>
      </c>
      <c r="L477" s="9" t="s">
        <v>1509</v>
      </c>
      <c r="M477" s="9" t="s">
        <v>1379</v>
      </c>
      <c r="N477" s="9" t="str">
        <f t="shared" si="7"/>
        <v xml:space="preserve">EDSON/MARCELO LIMA </v>
      </c>
    </row>
    <row r="478" spans="1:14" x14ac:dyDescent="0.3">
      <c r="A478" s="9">
        <v>705775</v>
      </c>
      <c r="B478" s="9" t="s">
        <v>1025</v>
      </c>
      <c r="C478" s="10" t="s">
        <v>15</v>
      </c>
      <c r="D478" s="11">
        <v>45993</v>
      </c>
      <c r="E478" s="9" t="s">
        <v>129</v>
      </c>
      <c r="F478" s="9">
        <v>31104</v>
      </c>
      <c r="G478" s="9" t="s">
        <v>130</v>
      </c>
      <c r="H478" s="9" t="s">
        <v>18</v>
      </c>
      <c r="J478" s="9" t="s">
        <v>131</v>
      </c>
      <c r="K478" s="9" t="s">
        <v>1381</v>
      </c>
      <c r="N478" s="9" t="str">
        <f t="shared" si="7"/>
        <v>MARCOS OLIVEIRA</v>
      </c>
    </row>
    <row r="479" spans="1:14" x14ac:dyDescent="0.3">
      <c r="A479" s="9">
        <v>701027</v>
      </c>
      <c r="B479" s="9" t="s">
        <v>495</v>
      </c>
      <c r="C479" s="10" t="s">
        <v>15</v>
      </c>
      <c r="D479" s="11">
        <v>43605</v>
      </c>
      <c r="E479" s="9" t="s">
        <v>255</v>
      </c>
      <c r="F479" s="9">
        <v>52104</v>
      </c>
      <c r="G479" s="9" t="s">
        <v>17</v>
      </c>
      <c r="H479" s="9" t="s">
        <v>18</v>
      </c>
      <c r="J479" s="9" t="s">
        <v>19</v>
      </c>
      <c r="K479" s="9" t="s">
        <v>1368</v>
      </c>
      <c r="L479" s="9" t="s">
        <v>20</v>
      </c>
      <c r="M479" s="9" t="s">
        <v>1632</v>
      </c>
      <c r="N479" s="9" t="str">
        <f t="shared" si="7"/>
        <v>THIAGO MARCOS</v>
      </c>
    </row>
    <row r="480" spans="1:14" x14ac:dyDescent="0.3">
      <c r="A480" s="9">
        <v>705715</v>
      </c>
      <c r="B480" s="9" t="s">
        <v>1454</v>
      </c>
      <c r="C480" s="10" t="s">
        <v>15</v>
      </c>
      <c r="D480" s="11">
        <v>45971</v>
      </c>
      <c r="E480" s="9" t="s">
        <v>31</v>
      </c>
      <c r="F480" s="9">
        <v>52104</v>
      </c>
      <c r="G480" s="9" t="s">
        <v>17</v>
      </c>
      <c r="H480" s="9" t="s">
        <v>18</v>
      </c>
      <c r="J480" s="9" t="s">
        <v>19</v>
      </c>
      <c r="K480" s="9" t="s">
        <v>1368</v>
      </c>
      <c r="L480" s="9" t="s">
        <v>20</v>
      </c>
      <c r="M480" s="9" t="s">
        <v>1632</v>
      </c>
      <c r="N480" s="9" t="str">
        <f t="shared" si="7"/>
        <v>THIAGO MARCOS</v>
      </c>
    </row>
    <row r="481" spans="1:14" x14ac:dyDescent="0.3">
      <c r="A481" s="9">
        <v>705546</v>
      </c>
      <c r="B481" s="9" t="s">
        <v>1322</v>
      </c>
      <c r="C481" s="10" t="s">
        <v>15</v>
      </c>
      <c r="D481" s="11">
        <v>45874</v>
      </c>
      <c r="E481" s="9" t="s">
        <v>1179</v>
      </c>
      <c r="F481" s="9">
        <v>21101</v>
      </c>
      <c r="G481" s="9" t="s">
        <v>196</v>
      </c>
      <c r="H481" s="9" t="s">
        <v>18</v>
      </c>
      <c r="J481" s="9" t="s">
        <v>1662</v>
      </c>
      <c r="K481" s="9" t="s">
        <v>1508</v>
      </c>
      <c r="N481" s="9" t="str">
        <f t="shared" si="7"/>
        <v xml:space="preserve">CARLOS OLIVEIRA </v>
      </c>
    </row>
    <row r="482" spans="1:14" x14ac:dyDescent="0.3">
      <c r="A482" s="9">
        <v>704144</v>
      </c>
      <c r="B482" s="9" t="s">
        <v>497</v>
      </c>
      <c r="C482" s="10" t="s">
        <v>15</v>
      </c>
      <c r="D482" s="11">
        <v>45264</v>
      </c>
      <c r="E482" s="9" t="s">
        <v>138</v>
      </c>
      <c r="F482" s="9">
        <v>22102</v>
      </c>
      <c r="G482" s="9" t="s">
        <v>68</v>
      </c>
      <c r="H482" s="9" t="s">
        <v>18</v>
      </c>
      <c r="J482" s="9" t="s">
        <v>81</v>
      </c>
      <c r="K482" s="9" t="s">
        <v>1371</v>
      </c>
      <c r="L482" s="9" t="s">
        <v>1509</v>
      </c>
      <c r="M482" s="9" t="s">
        <v>1379</v>
      </c>
      <c r="N482" s="9" t="str">
        <f t="shared" si="7"/>
        <v xml:space="preserve">EDSON/MARCELO LIMA </v>
      </c>
    </row>
    <row r="483" spans="1:14" x14ac:dyDescent="0.3">
      <c r="A483" s="9">
        <v>704974</v>
      </c>
      <c r="B483" s="9" t="s">
        <v>498</v>
      </c>
      <c r="C483" s="10" t="s">
        <v>15</v>
      </c>
      <c r="D483" s="11">
        <v>45629</v>
      </c>
      <c r="E483" s="9" t="s">
        <v>93</v>
      </c>
      <c r="F483" s="9">
        <v>22102</v>
      </c>
      <c r="G483" s="9" t="s">
        <v>68</v>
      </c>
      <c r="H483" s="9" t="s">
        <v>18</v>
      </c>
      <c r="J483" s="9" t="s">
        <v>94</v>
      </c>
      <c r="K483" s="9" t="s">
        <v>1371</v>
      </c>
      <c r="L483" s="9" t="s">
        <v>1378</v>
      </c>
      <c r="M483" s="9" t="s">
        <v>95</v>
      </c>
      <c r="N483" s="9" t="str">
        <f t="shared" si="7"/>
        <v>LUAN ABADIA</v>
      </c>
    </row>
    <row r="484" spans="1:14" x14ac:dyDescent="0.3">
      <c r="A484" s="9">
        <v>705230</v>
      </c>
      <c r="B484" s="9" t="s">
        <v>1185</v>
      </c>
      <c r="C484" s="10" t="s">
        <v>15</v>
      </c>
      <c r="D484" s="11">
        <v>45755</v>
      </c>
      <c r="E484" s="9" t="s">
        <v>446</v>
      </c>
      <c r="F484" s="9">
        <v>22101</v>
      </c>
      <c r="G484" s="9" t="s">
        <v>122</v>
      </c>
      <c r="H484" s="9" t="s">
        <v>18</v>
      </c>
      <c r="J484" s="9" t="s">
        <v>123</v>
      </c>
      <c r="K484" s="9" t="s">
        <v>124</v>
      </c>
      <c r="N484" s="9" t="str">
        <f t="shared" si="7"/>
        <v>MATHEUS FERNANDES</v>
      </c>
    </row>
    <row r="485" spans="1:14" x14ac:dyDescent="0.3">
      <c r="A485" s="9">
        <v>705921</v>
      </c>
      <c r="B485" s="9" t="s">
        <v>1616</v>
      </c>
      <c r="C485" s="10" t="s">
        <v>15</v>
      </c>
      <c r="D485" s="11">
        <v>46091</v>
      </c>
      <c r="E485" s="9" t="s">
        <v>31</v>
      </c>
      <c r="F485" s="9">
        <v>52104</v>
      </c>
      <c r="G485" s="9" t="s">
        <v>17</v>
      </c>
      <c r="H485" s="9" t="s">
        <v>18</v>
      </c>
      <c r="J485" s="9" t="s">
        <v>19</v>
      </c>
      <c r="K485" s="9" t="s">
        <v>1368</v>
      </c>
      <c r="L485" s="9" t="s">
        <v>20</v>
      </c>
      <c r="M485" s="9" t="s">
        <v>1632</v>
      </c>
      <c r="N485" s="9" t="str">
        <f t="shared" si="7"/>
        <v>THIAGO MARCOS</v>
      </c>
    </row>
    <row r="486" spans="1:14" x14ac:dyDescent="0.3">
      <c r="A486" s="9">
        <v>705640</v>
      </c>
      <c r="B486" s="9" t="s">
        <v>499</v>
      </c>
      <c r="C486" s="10" t="s">
        <v>15</v>
      </c>
      <c r="D486" s="11">
        <v>45937</v>
      </c>
      <c r="E486" s="9" t="s">
        <v>302</v>
      </c>
      <c r="F486" s="9">
        <v>39301</v>
      </c>
      <c r="G486" s="9" t="s">
        <v>73</v>
      </c>
      <c r="H486" s="9" t="s">
        <v>18</v>
      </c>
      <c r="J486" s="9" t="s">
        <v>74</v>
      </c>
      <c r="K486" s="9" t="s">
        <v>1371</v>
      </c>
      <c r="L486" s="9" t="s">
        <v>1376</v>
      </c>
      <c r="M486" s="9" t="s">
        <v>75</v>
      </c>
      <c r="N486" s="9" t="str">
        <f t="shared" si="7"/>
        <v>ISAC NONATO</v>
      </c>
    </row>
    <row r="487" spans="1:14" x14ac:dyDescent="0.3">
      <c r="A487" s="9">
        <v>705749</v>
      </c>
      <c r="B487" s="9" t="s">
        <v>1491</v>
      </c>
      <c r="C487" s="10" t="s">
        <v>15</v>
      </c>
      <c r="D487" s="11">
        <v>45993</v>
      </c>
      <c r="E487" s="9" t="s">
        <v>336</v>
      </c>
      <c r="F487" s="9">
        <v>51219</v>
      </c>
      <c r="G487" s="9" t="s">
        <v>61</v>
      </c>
      <c r="H487" s="9" t="s">
        <v>18</v>
      </c>
      <c r="J487" s="9" t="s">
        <v>19</v>
      </c>
      <c r="K487" s="9" t="s">
        <v>1368</v>
      </c>
      <c r="L487" s="9" t="s">
        <v>20</v>
      </c>
      <c r="M487" s="9" t="s">
        <v>1632</v>
      </c>
      <c r="N487" s="9" t="str">
        <f t="shared" si="7"/>
        <v>THIAGO MARCOS</v>
      </c>
    </row>
    <row r="488" spans="1:14" x14ac:dyDescent="0.3">
      <c r="A488" s="9">
        <v>703456</v>
      </c>
      <c r="B488" s="9" t="s">
        <v>500</v>
      </c>
      <c r="C488" s="10" t="s">
        <v>15</v>
      </c>
      <c r="D488" s="11">
        <v>44881</v>
      </c>
      <c r="E488" s="9" t="s">
        <v>91</v>
      </c>
      <c r="F488" s="9">
        <v>34201</v>
      </c>
      <c r="G488" s="9" t="s">
        <v>84</v>
      </c>
      <c r="H488" s="9" t="s">
        <v>18</v>
      </c>
      <c r="J488" s="9" t="s">
        <v>85</v>
      </c>
      <c r="K488" s="9" t="s">
        <v>1371</v>
      </c>
      <c r="L488" s="9" t="s">
        <v>1380</v>
      </c>
      <c r="M488" s="9" t="s">
        <v>1380</v>
      </c>
      <c r="N488" s="9" t="str">
        <f t="shared" si="7"/>
        <v xml:space="preserve">LEONARDO SANTOS </v>
      </c>
    </row>
    <row r="489" spans="1:14" x14ac:dyDescent="0.3">
      <c r="A489" s="9">
        <v>704529</v>
      </c>
      <c r="B489" s="9" t="s">
        <v>501</v>
      </c>
      <c r="C489" s="10" t="s">
        <v>15</v>
      </c>
      <c r="D489" s="11">
        <v>45420</v>
      </c>
      <c r="E489" s="9" t="s">
        <v>55</v>
      </c>
      <c r="F489" s="9">
        <v>39304</v>
      </c>
      <c r="G489" s="9" t="s">
        <v>56</v>
      </c>
      <c r="H489" s="9" t="s">
        <v>18</v>
      </c>
      <c r="J489" s="9" t="s">
        <v>57</v>
      </c>
      <c r="K489" s="9" t="s">
        <v>1371</v>
      </c>
      <c r="L489" s="9" t="s">
        <v>1376</v>
      </c>
      <c r="M489" s="9" t="s">
        <v>1635</v>
      </c>
      <c r="N489" s="9" t="str">
        <f t="shared" si="7"/>
        <v>WARLEY RIBEIRO / EUDES FERNANDES</v>
      </c>
    </row>
    <row r="490" spans="1:14" x14ac:dyDescent="0.3">
      <c r="A490" s="9">
        <v>705882</v>
      </c>
      <c r="B490" s="9" t="s">
        <v>1554</v>
      </c>
      <c r="C490" s="10" t="s">
        <v>15</v>
      </c>
      <c r="D490" s="11">
        <v>46063</v>
      </c>
      <c r="E490" s="9" t="s">
        <v>138</v>
      </c>
      <c r="F490" s="9">
        <v>52104</v>
      </c>
      <c r="G490" s="9" t="s">
        <v>17</v>
      </c>
      <c r="H490" s="9" t="s">
        <v>18</v>
      </c>
      <c r="J490" s="9" t="s">
        <v>19</v>
      </c>
      <c r="K490" s="9" t="s">
        <v>1368</v>
      </c>
      <c r="L490" s="9" t="s">
        <v>20</v>
      </c>
      <c r="M490" s="9" t="s">
        <v>1632</v>
      </c>
      <c r="N490" s="9" t="str">
        <f t="shared" si="7"/>
        <v>THIAGO MARCOS</v>
      </c>
    </row>
    <row r="491" spans="1:14" x14ac:dyDescent="0.3">
      <c r="A491" s="9">
        <v>77013482</v>
      </c>
      <c r="B491" s="9" t="s">
        <v>1683</v>
      </c>
      <c r="C491" s="10" t="s">
        <v>15</v>
      </c>
      <c r="D491" s="11">
        <v>46119</v>
      </c>
      <c r="E491" s="9" t="s">
        <v>77</v>
      </c>
      <c r="F491" s="9">
        <v>38107</v>
      </c>
      <c r="G491" s="9" t="s">
        <v>1503</v>
      </c>
      <c r="H491" s="9" t="s">
        <v>18</v>
      </c>
      <c r="J491" s="9" t="s">
        <v>78</v>
      </c>
      <c r="K491" s="9" t="s">
        <v>1372</v>
      </c>
      <c r="N491" s="9" t="str">
        <f t="shared" si="7"/>
        <v xml:space="preserve">LEIDJANE MARTINS </v>
      </c>
    </row>
    <row r="492" spans="1:14" x14ac:dyDescent="0.3">
      <c r="A492" s="9">
        <v>703706</v>
      </c>
      <c r="B492" s="9" t="s">
        <v>502</v>
      </c>
      <c r="C492" s="10" t="s">
        <v>15</v>
      </c>
      <c r="D492" s="11">
        <v>45019</v>
      </c>
      <c r="E492" s="9" t="s">
        <v>276</v>
      </c>
      <c r="F492" s="9">
        <v>14101</v>
      </c>
      <c r="G492" s="9" t="s">
        <v>277</v>
      </c>
      <c r="H492" s="9" t="s">
        <v>18</v>
      </c>
      <c r="J492" s="9" t="s">
        <v>278</v>
      </c>
      <c r="K492" s="9" t="s">
        <v>1372</v>
      </c>
      <c r="N492" s="9" t="str">
        <f t="shared" si="7"/>
        <v xml:space="preserve">LEIDJANE MARTINS </v>
      </c>
    </row>
    <row r="493" spans="1:14" x14ac:dyDescent="0.3">
      <c r="A493" s="9">
        <v>77013477</v>
      </c>
      <c r="B493" s="9" t="s">
        <v>1684</v>
      </c>
      <c r="C493" s="10" t="s">
        <v>15</v>
      </c>
      <c r="D493" s="11">
        <v>46119</v>
      </c>
      <c r="E493" s="9" t="s">
        <v>77</v>
      </c>
      <c r="F493" s="9">
        <v>38107</v>
      </c>
      <c r="G493" s="9" t="s">
        <v>1503</v>
      </c>
      <c r="H493" s="9" t="s">
        <v>18</v>
      </c>
      <c r="J493" s="9" t="s">
        <v>78</v>
      </c>
      <c r="K493" s="9" t="s">
        <v>1372</v>
      </c>
      <c r="N493" s="9" t="str">
        <f t="shared" si="7"/>
        <v xml:space="preserve">LEIDJANE MARTINS </v>
      </c>
    </row>
    <row r="494" spans="1:14" x14ac:dyDescent="0.3">
      <c r="A494" s="9">
        <v>705833</v>
      </c>
      <c r="B494" s="9" t="s">
        <v>1555</v>
      </c>
      <c r="C494" s="10" t="s">
        <v>15</v>
      </c>
      <c r="D494" s="11">
        <v>46063</v>
      </c>
      <c r="E494" s="9" t="s">
        <v>31</v>
      </c>
      <c r="F494" s="9">
        <v>52104</v>
      </c>
      <c r="G494" s="9" t="s">
        <v>17</v>
      </c>
      <c r="H494" s="9" t="s">
        <v>18</v>
      </c>
      <c r="J494" s="9" t="s">
        <v>19</v>
      </c>
      <c r="K494" s="9" t="s">
        <v>1368</v>
      </c>
      <c r="L494" s="9" t="s">
        <v>20</v>
      </c>
      <c r="M494" s="9" t="s">
        <v>1632</v>
      </c>
      <c r="N494" s="9" t="str">
        <f t="shared" si="7"/>
        <v>THIAGO MARCOS</v>
      </c>
    </row>
    <row r="495" spans="1:14" x14ac:dyDescent="0.3">
      <c r="A495" s="9">
        <v>704795</v>
      </c>
      <c r="B495" s="9" t="s">
        <v>503</v>
      </c>
      <c r="C495" s="10" t="s">
        <v>15</v>
      </c>
      <c r="D495" s="11">
        <v>45572</v>
      </c>
      <c r="E495" s="9" t="s">
        <v>31</v>
      </c>
      <c r="F495" s="9">
        <v>52104</v>
      </c>
      <c r="G495" s="9" t="s">
        <v>17</v>
      </c>
      <c r="H495" s="9" t="s">
        <v>18</v>
      </c>
      <c r="J495" s="9" t="s">
        <v>19</v>
      </c>
      <c r="K495" s="9" t="s">
        <v>1368</v>
      </c>
      <c r="L495" s="9" t="s">
        <v>20</v>
      </c>
      <c r="M495" s="9" t="s">
        <v>1632</v>
      </c>
      <c r="N495" s="9" t="str">
        <f t="shared" si="7"/>
        <v>THIAGO MARCOS</v>
      </c>
    </row>
    <row r="496" spans="1:14" x14ac:dyDescent="0.3">
      <c r="A496" s="9">
        <v>705224</v>
      </c>
      <c r="B496" s="9" t="s">
        <v>1165</v>
      </c>
      <c r="C496" s="10" t="s">
        <v>15</v>
      </c>
      <c r="D496" s="11">
        <v>45734</v>
      </c>
      <c r="E496" s="9" t="s">
        <v>31</v>
      </c>
      <c r="F496" s="9">
        <v>22102</v>
      </c>
      <c r="G496" s="9" t="s">
        <v>68</v>
      </c>
      <c r="H496" s="9" t="s">
        <v>18</v>
      </c>
      <c r="J496" s="9" t="s">
        <v>167</v>
      </c>
      <c r="K496" s="9" t="s">
        <v>1371</v>
      </c>
      <c r="L496" s="9" t="s">
        <v>1509</v>
      </c>
      <c r="M496" s="9" t="s">
        <v>1636</v>
      </c>
      <c r="N496" s="9" t="str">
        <f t="shared" si="7"/>
        <v>FABIANO DIAS</v>
      </c>
    </row>
    <row r="497" spans="1:14" x14ac:dyDescent="0.3">
      <c r="A497" s="9">
        <v>705793</v>
      </c>
      <c r="B497" s="9" t="s">
        <v>1526</v>
      </c>
      <c r="C497" s="10" t="s">
        <v>92</v>
      </c>
      <c r="D497" s="11">
        <v>46029</v>
      </c>
      <c r="E497" s="9" t="s">
        <v>31</v>
      </c>
      <c r="F497" s="9">
        <v>52104</v>
      </c>
      <c r="G497" s="9" t="s">
        <v>17</v>
      </c>
      <c r="H497" s="9" t="s">
        <v>18</v>
      </c>
      <c r="I497" s="11">
        <v>46118</v>
      </c>
      <c r="J497" s="9" t="s">
        <v>19</v>
      </c>
      <c r="K497" s="9" t="s">
        <v>1368</v>
      </c>
      <c r="L497" s="9" t="s">
        <v>20</v>
      </c>
      <c r="M497" s="9" t="s">
        <v>1632</v>
      </c>
      <c r="N497" s="9" t="str">
        <f t="shared" si="7"/>
        <v>THIAGO MARCOS</v>
      </c>
    </row>
    <row r="498" spans="1:14" x14ac:dyDescent="0.3">
      <c r="A498" s="9">
        <v>703495</v>
      </c>
      <c r="B498" s="9" t="s">
        <v>505</v>
      </c>
      <c r="C498" s="10" t="s">
        <v>15</v>
      </c>
      <c r="D498" s="11">
        <v>44887</v>
      </c>
      <c r="E498" s="9" t="s">
        <v>1556</v>
      </c>
      <c r="F498" s="9">
        <v>37101</v>
      </c>
      <c r="G498" s="9" t="s">
        <v>214</v>
      </c>
      <c r="H498" s="9" t="s">
        <v>18</v>
      </c>
      <c r="J498" s="9" t="s">
        <v>239</v>
      </c>
      <c r="K498" s="9" t="s">
        <v>216</v>
      </c>
      <c r="N498" s="9" t="str">
        <f t="shared" si="7"/>
        <v>CARSON NEVES</v>
      </c>
    </row>
    <row r="499" spans="1:14" x14ac:dyDescent="0.3">
      <c r="A499" s="9">
        <v>705950</v>
      </c>
      <c r="B499" s="9" t="s">
        <v>1685</v>
      </c>
      <c r="C499" s="10" t="s">
        <v>15</v>
      </c>
      <c r="D499" s="11">
        <v>46119</v>
      </c>
      <c r="E499" s="9" t="s">
        <v>77</v>
      </c>
      <c r="F499" s="9">
        <v>38107</v>
      </c>
      <c r="G499" s="9" t="s">
        <v>1503</v>
      </c>
      <c r="H499" s="9" t="s">
        <v>18</v>
      </c>
      <c r="J499" s="9" t="s">
        <v>78</v>
      </c>
      <c r="K499" s="9" t="s">
        <v>1372</v>
      </c>
      <c r="N499" s="9" t="str">
        <f t="shared" si="7"/>
        <v xml:space="preserve">LEIDJANE MARTINS </v>
      </c>
    </row>
    <row r="500" spans="1:14" x14ac:dyDescent="0.3">
      <c r="A500" s="9">
        <v>705066</v>
      </c>
      <c r="B500" s="9" t="s">
        <v>506</v>
      </c>
      <c r="C500" s="10" t="s">
        <v>15</v>
      </c>
      <c r="D500" s="11">
        <v>45670</v>
      </c>
      <c r="E500" s="9" t="s">
        <v>31</v>
      </c>
      <c r="F500" s="9">
        <v>25201</v>
      </c>
      <c r="G500" s="9" t="s">
        <v>89</v>
      </c>
      <c r="H500" s="9" t="s">
        <v>18</v>
      </c>
      <c r="J500" s="9" t="s">
        <v>37</v>
      </c>
      <c r="K500" s="9" t="s">
        <v>1368</v>
      </c>
      <c r="L500" s="9" t="s">
        <v>20</v>
      </c>
      <c r="M500" s="9" t="s">
        <v>1634</v>
      </c>
      <c r="N500" s="9" t="str">
        <f t="shared" si="7"/>
        <v>IRON SANTOS</v>
      </c>
    </row>
    <row r="501" spans="1:14" x14ac:dyDescent="0.3">
      <c r="A501" s="9">
        <v>701476</v>
      </c>
      <c r="B501" s="9" t="s">
        <v>509</v>
      </c>
      <c r="C501" s="10" t="s">
        <v>15</v>
      </c>
      <c r="D501" s="11">
        <v>41400</v>
      </c>
      <c r="E501" s="9" t="s">
        <v>105</v>
      </c>
      <c r="F501" s="9">
        <v>22102</v>
      </c>
      <c r="G501" s="9" t="s">
        <v>68</v>
      </c>
      <c r="H501" s="9" t="s">
        <v>18</v>
      </c>
      <c r="J501" s="9" t="s">
        <v>167</v>
      </c>
      <c r="K501" s="9" t="s">
        <v>1371</v>
      </c>
      <c r="L501" s="9" t="s">
        <v>1509</v>
      </c>
      <c r="M501" s="9" t="s">
        <v>1636</v>
      </c>
      <c r="N501" s="9" t="str">
        <f t="shared" si="7"/>
        <v>FABIANO DIAS</v>
      </c>
    </row>
    <row r="502" spans="1:14" x14ac:dyDescent="0.3">
      <c r="A502" s="9">
        <v>101347</v>
      </c>
      <c r="B502" s="9" t="s">
        <v>510</v>
      </c>
      <c r="C502" s="10" t="s">
        <v>15</v>
      </c>
      <c r="D502" s="11">
        <v>42905</v>
      </c>
      <c r="E502" s="9" t="s">
        <v>276</v>
      </c>
      <c r="F502" s="9">
        <v>14101</v>
      </c>
      <c r="G502" s="9" t="s">
        <v>277</v>
      </c>
      <c r="H502" s="9" t="s">
        <v>18</v>
      </c>
      <c r="J502" s="9" t="s">
        <v>278</v>
      </c>
      <c r="K502" s="9" t="s">
        <v>1372</v>
      </c>
      <c r="N502" s="9" t="str">
        <f t="shared" si="7"/>
        <v xml:space="preserve">LEIDJANE MARTINS </v>
      </c>
    </row>
    <row r="503" spans="1:14" x14ac:dyDescent="0.3">
      <c r="A503" s="9">
        <v>703009</v>
      </c>
      <c r="B503" s="9" t="s">
        <v>1042</v>
      </c>
      <c r="C503" s="10" t="s">
        <v>15</v>
      </c>
      <c r="D503" s="11">
        <v>44691</v>
      </c>
      <c r="E503" s="9" t="s">
        <v>457</v>
      </c>
      <c r="F503" s="9">
        <v>22102</v>
      </c>
      <c r="G503" s="9" t="s">
        <v>68</v>
      </c>
      <c r="H503" s="9" t="s">
        <v>18</v>
      </c>
      <c r="J503" s="9" t="s">
        <v>1648</v>
      </c>
      <c r="K503" s="9" t="s">
        <v>1371</v>
      </c>
      <c r="L503" s="9" t="s">
        <v>1509</v>
      </c>
      <c r="N503" s="9" t="str">
        <f t="shared" si="7"/>
        <v>MAURICIO SANTOS</v>
      </c>
    </row>
    <row r="504" spans="1:14" x14ac:dyDescent="0.3">
      <c r="A504" s="9">
        <v>705909</v>
      </c>
      <c r="B504" s="9" t="s">
        <v>1617</v>
      </c>
      <c r="C504" s="10" t="s">
        <v>15</v>
      </c>
      <c r="D504" s="11">
        <v>46091</v>
      </c>
      <c r="E504" s="9" t="s">
        <v>31</v>
      </c>
      <c r="F504" s="9">
        <v>52104</v>
      </c>
      <c r="G504" s="9" t="s">
        <v>17</v>
      </c>
      <c r="H504" s="9" t="s">
        <v>18</v>
      </c>
      <c r="J504" s="9" t="s">
        <v>19</v>
      </c>
      <c r="K504" s="9" t="s">
        <v>1368</v>
      </c>
      <c r="L504" s="9" t="s">
        <v>20</v>
      </c>
      <c r="M504" s="9" t="s">
        <v>1632</v>
      </c>
      <c r="N504" s="9" t="str">
        <f t="shared" si="7"/>
        <v>THIAGO MARCOS</v>
      </c>
    </row>
    <row r="505" spans="1:14" x14ac:dyDescent="0.3">
      <c r="A505" s="9">
        <v>704940</v>
      </c>
      <c r="B505" s="9" t="s">
        <v>512</v>
      </c>
      <c r="C505" s="10" t="s">
        <v>15</v>
      </c>
      <c r="D505" s="11">
        <v>45607</v>
      </c>
      <c r="E505" s="9" t="s">
        <v>31</v>
      </c>
      <c r="F505" s="9">
        <v>22102</v>
      </c>
      <c r="G505" s="9" t="s">
        <v>68</v>
      </c>
      <c r="H505" s="9" t="s">
        <v>18</v>
      </c>
      <c r="J505" s="9" t="s">
        <v>81</v>
      </c>
      <c r="K505" s="9" t="s">
        <v>1371</v>
      </c>
      <c r="L505" s="9" t="s">
        <v>1509</v>
      </c>
      <c r="M505" s="9" t="s">
        <v>1379</v>
      </c>
      <c r="N505" s="9" t="str">
        <f t="shared" si="7"/>
        <v xml:space="preserve">EDSON/MARCELO LIMA </v>
      </c>
    </row>
    <row r="506" spans="1:14" x14ac:dyDescent="0.3">
      <c r="A506" s="9">
        <v>705222</v>
      </c>
      <c r="B506" s="9" t="s">
        <v>1166</v>
      </c>
      <c r="C506" s="10" t="s">
        <v>15</v>
      </c>
      <c r="D506" s="11">
        <v>45734</v>
      </c>
      <c r="E506" s="9" t="s">
        <v>31</v>
      </c>
      <c r="F506" s="9">
        <v>22101</v>
      </c>
      <c r="G506" s="9" t="s">
        <v>122</v>
      </c>
      <c r="H506" s="9" t="s">
        <v>18</v>
      </c>
      <c r="J506" s="9" t="s">
        <v>167</v>
      </c>
      <c r="K506" s="9" t="s">
        <v>1371</v>
      </c>
      <c r="L506" s="9" t="s">
        <v>1509</v>
      </c>
      <c r="M506" s="9" t="s">
        <v>1636</v>
      </c>
      <c r="N506" s="9" t="str">
        <f t="shared" si="7"/>
        <v>FABIANO DIAS</v>
      </c>
    </row>
    <row r="507" spans="1:14" x14ac:dyDescent="0.3">
      <c r="A507" s="9">
        <v>701016</v>
      </c>
      <c r="B507" s="9" t="s">
        <v>514</v>
      </c>
      <c r="C507" s="10" t="s">
        <v>15</v>
      </c>
      <c r="D507" s="11">
        <v>41764</v>
      </c>
      <c r="E507" s="9" t="s">
        <v>515</v>
      </c>
      <c r="F507" s="9">
        <v>22102</v>
      </c>
      <c r="G507" s="9" t="s">
        <v>68</v>
      </c>
      <c r="H507" s="9" t="s">
        <v>18</v>
      </c>
      <c r="J507" s="9" t="s">
        <v>81</v>
      </c>
      <c r="K507" s="9" t="s">
        <v>1371</v>
      </c>
      <c r="L507" s="9" t="s">
        <v>1509</v>
      </c>
      <c r="M507" s="9" t="s">
        <v>1379</v>
      </c>
      <c r="N507" s="9" t="str">
        <f t="shared" si="7"/>
        <v xml:space="preserve">EDSON/MARCELO LIMA </v>
      </c>
    </row>
    <row r="508" spans="1:14" x14ac:dyDescent="0.3">
      <c r="A508" s="9">
        <v>703285</v>
      </c>
      <c r="B508" s="9" t="s">
        <v>516</v>
      </c>
      <c r="C508" s="10" t="s">
        <v>15</v>
      </c>
      <c r="D508" s="11">
        <v>44788</v>
      </c>
      <c r="E508" s="9" t="s">
        <v>185</v>
      </c>
      <c r="F508" s="9">
        <v>33101</v>
      </c>
      <c r="G508" s="9" t="s">
        <v>186</v>
      </c>
      <c r="H508" s="9" t="s">
        <v>18</v>
      </c>
      <c r="J508" s="9" t="s">
        <v>44</v>
      </c>
      <c r="K508" s="9" t="s">
        <v>25</v>
      </c>
      <c r="L508" s="9" t="s">
        <v>1385</v>
      </c>
      <c r="N508" s="9" t="str">
        <f t="shared" si="7"/>
        <v>TALLES RYAN</v>
      </c>
    </row>
    <row r="509" spans="1:14" x14ac:dyDescent="0.3">
      <c r="A509" s="9">
        <v>705918</v>
      </c>
      <c r="B509" s="9" t="s">
        <v>1618</v>
      </c>
      <c r="C509" s="10" t="s">
        <v>15</v>
      </c>
      <c r="D509" s="11">
        <v>46091</v>
      </c>
      <c r="E509" s="9" t="s">
        <v>31</v>
      </c>
      <c r="F509" s="9">
        <v>52104</v>
      </c>
      <c r="G509" s="9" t="s">
        <v>17</v>
      </c>
      <c r="H509" s="9" t="s">
        <v>18</v>
      </c>
      <c r="J509" s="9" t="s">
        <v>19</v>
      </c>
      <c r="K509" s="9" t="s">
        <v>1368</v>
      </c>
      <c r="L509" s="9" t="s">
        <v>20</v>
      </c>
      <c r="M509" s="9" t="s">
        <v>1632</v>
      </c>
      <c r="N509" s="9" t="str">
        <f t="shared" si="7"/>
        <v>THIAGO MARCOS</v>
      </c>
    </row>
    <row r="510" spans="1:14" x14ac:dyDescent="0.3">
      <c r="A510" s="9">
        <v>101445</v>
      </c>
      <c r="B510" s="9" t="s">
        <v>517</v>
      </c>
      <c r="C510" s="10" t="s">
        <v>15</v>
      </c>
      <c r="D510" s="11">
        <v>42954</v>
      </c>
      <c r="E510" s="9" t="s">
        <v>160</v>
      </c>
      <c r="F510" s="9">
        <v>32101</v>
      </c>
      <c r="G510" s="9" t="s">
        <v>23</v>
      </c>
      <c r="H510" s="9" t="s">
        <v>18</v>
      </c>
      <c r="J510" s="9" t="s">
        <v>24</v>
      </c>
      <c r="K510" s="9" t="s">
        <v>25</v>
      </c>
      <c r="L510" s="9" t="s">
        <v>1369</v>
      </c>
      <c r="M510" s="9" t="s">
        <v>1370</v>
      </c>
      <c r="N510" s="9" t="str">
        <f t="shared" si="7"/>
        <v>JUNIO COSTA</v>
      </c>
    </row>
    <row r="511" spans="1:14" x14ac:dyDescent="0.3">
      <c r="A511" s="9">
        <v>702675</v>
      </c>
      <c r="B511" s="9" t="s">
        <v>518</v>
      </c>
      <c r="C511" s="10" t="s">
        <v>15</v>
      </c>
      <c r="D511" s="11">
        <v>44517</v>
      </c>
      <c r="E511" s="9" t="s">
        <v>166</v>
      </c>
      <c r="F511" s="9">
        <v>22102</v>
      </c>
      <c r="G511" s="9" t="s">
        <v>68</v>
      </c>
      <c r="H511" s="9" t="s">
        <v>18</v>
      </c>
      <c r="J511" s="9" t="s">
        <v>69</v>
      </c>
      <c r="K511" s="9" t="s">
        <v>1371</v>
      </c>
      <c r="L511" s="9" t="s">
        <v>1378</v>
      </c>
      <c r="N511" s="9" t="str">
        <f t="shared" si="7"/>
        <v xml:space="preserve">JOÃO KOMURA </v>
      </c>
    </row>
    <row r="512" spans="1:14" x14ac:dyDescent="0.3">
      <c r="A512" s="9">
        <v>704179</v>
      </c>
      <c r="B512" s="9" t="s">
        <v>519</v>
      </c>
      <c r="C512" s="10" t="s">
        <v>15</v>
      </c>
      <c r="D512" s="11">
        <v>45300</v>
      </c>
      <c r="E512" s="9" t="s">
        <v>67</v>
      </c>
      <c r="F512" s="9">
        <v>22102</v>
      </c>
      <c r="G512" s="9" t="s">
        <v>68</v>
      </c>
      <c r="H512" s="9" t="s">
        <v>18</v>
      </c>
      <c r="J512" s="9" t="s">
        <v>94</v>
      </c>
      <c r="K512" s="9" t="s">
        <v>1371</v>
      </c>
      <c r="L512" s="9" t="s">
        <v>1378</v>
      </c>
      <c r="M512" s="9" t="s">
        <v>95</v>
      </c>
      <c r="N512" s="9" t="str">
        <f t="shared" si="7"/>
        <v>LUAN ABADIA</v>
      </c>
    </row>
    <row r="513" spans="1:14" x14ac:dyDescent="0.3">
      <c r="A513" s="9">
        <v>705062</v>
      </c>
      <c r="B513" s="9" t="s">
        <v>520</v>
      </c>
      <c r="C513" s="10" t="s">
        <v>92</v>
      </c>
      <c r="D513" s="11">
        <v>45664</v>
      </c>
      <c r="E513" s="9" t="s">
        <v>138</v>
      </c>
      <c r="F513" s="9">
        <v>22102</v>
      </c>
      <c r="G513" s="9" t="s">
        <v>68</v>
      </c>
      <c r="H513" s="9" t="s">
        <v>18</v>
      </c>
      <c r="I513" s="11">
        <v>46133</v>
      </c>
      <c r="J513" s="9" t="s">
        <v>142</v>
      </c>
      <c r="K513" s="9" t="s">
        <v>1371</v>
      </c>
      <c r="L513" s="9" t="s">
        <v>1509</v>
      </c>
      <c r="M513" s="9" t="s">
        <v>1633</v>
      </c>
      <c r="N513" s="9" t="str">
        <f t="shared" si="7"/>
        <v>CRISTIANO BARBOSA</v>
      </c>
    </row>
    <row r="514" spans="1:14" x14ac:dyDescent="0.3">
      <c r="A514" s="9">
        <v>706028</v>
      </c>
      <c r="B514" s="9" t="s">
        <v>1686</v>
      </c>
      <c r="C514" s="10" t="s">
        <v>15</v>
      </c>
      <c r="D514" s="11">
        <v>46126</v>
      </c>
      <c r="E514" s="9" t="s">
        <v>138</v>
      </c>
      <c r="F514" s="9">
        <v>52104</v>
      </c>
      <c r="G514" s="9" t="s">
        <v>17</v>
      </c>
      <c r="H514" s="9" t="s">
        <v>18</v>
      </c>
      <c r="J514" s="9" t="s">
        <v>19</v>
      </c>
      <c r="K514" s="9" t="s">
        <v>1368</v>
      </c>
      <c r="L514" s="9" t="s">
        <v>20</v>
      </c>
      <c r="M514" s="9" t="s">
        <v>1632</v>
      </c>
      <c r="N514" s="9" t="str">
        <f t="shared" si="7"/>
        <v>THIAGO MARCOS</v>
      </c>
    </row>
    <row r="515" spans="1:14" x14ac:dyDescent="0.3">
      <c r="A515" s="9">
        <v>703682</v>
      </c>
      <c r="B515" s="9" t="s">
        <v>521</v>
      </c>
      <c r="C515" s="10" t="s">
        <v>15</v>
      </c>
      <c r="D515" s="11">
        <v>45019</v>
      </c>
      <c r="E515" s="9" t="s">
        <v>109</v>
      </c>
      <c r="F515" s="9">
        <v>32101</v>
      </c>
      <c r="G515" s="9" t="s">
        <v>23</v>
      </c>
      <c r="H515" s="9" t="s">
        <v>18</v>
      </c>
      <c r="J515" s="9" t="s">
        <v>24</v>
      </c>
      <c r="K515" s="9" t="s">
        <v>25</v>
      </c>
      <c r="L515" s="9" t="s">
        <v>1369</v>
      </c>
      <c r="M515" s="9" t="s">
        <v>1370</v>
      </c>
      <c r="N515" s="9" t="str">
        <f t="shared" ref="N515:N578" si="8">IF(M515&lt;&gt;"", M515, IF(L515&lt;&gt;"", L515, K515))</f>
        <v>JUNIO COSTA</v>
      </c>
    </row>
    <row r="516" spans="1:14" x14ac:dyDescent="0.3">
      <c r="A516" s="9">
        <v>705575</v>
      </c>
      <c r="B516" s="9" t="s">
        <v>1323</v>
      </c>
      <c r="C516" s="10" t="s">
        <v>15</v>
      </c>
      <c r="D516" s="11">
        <v>45874</v>
      </c>
      <c r="E516" s="9" t="s">
        <v>138</v>
      </c>
      <c r="F516" s="9">
        <v>22102</v>
      </c>
      <c r="G516" s="9" t="s">
        <v>68</v>
      </c>
      <c r="H516" s="9" t="s">
        <v>18</v>
      </c>
      <c r="J516" s="9" t="s">
        <v>81</v>
      </c>
      <c r="K516" s="9" t="s">
        <v>1371</v>
      </c>
      <c r="L516" s="9" t="s">
        <v>1509</v>
      </c>
      <c r="M516" s="9" t="s">
        <v>1379</v>
      </c>
      <c r="N516" s="9" t="str">
        <f t="shared" si="8"/>
        <v xml:space="preserve">EDSON/MARCELO LIMA </v>
      </c>
    </row>
    <row r="517" spans="1:14" x14ac:dyDescent="0.3">
      <c r="A517" s="9">
        <v>705895</v>
      </c>
      <c r="B517" s="9" t="s">
        <v>1619</v>
      </c>
      <c r="C517" s="10" t="s">
        <v>15</v>
      </c>
      <c r="D517" s="11">
        <v>46091</v>
      </c>
      <c r="E517" s="9" t="s">
        <v>1620</v>
      </c>
      <c r="F517" s="9">
        <v>37101</v>
      </c>
      <c r="G517" s="9" t="s">
        <v>214</v>
      </c>
      <c r="H517" s="9" t="s">
        <v>18</v>
      </c>
      <c r="J517" s="9" t="s">
        <v>239</v>
      </c>
      <c r="K517" s="9" t="s">
        <v>216</v>
      </c>
      <c r="N517" s="9" t="str">
        <f t="shared" si="8"/>
        <v>CARSON NEVES</v>
      </c>
    </row>
    <row r="518" spans="1:14" x14ac:dyDescent="0.3">
      <c r="A518" s="9">
        <v>705808</v>
      </c>
      <c r="B518" s="9" t="s">
        <v>1529</v>
      </c>
      <c r="C518" s="10" t="s">
        <v>15</v>
      </c>
      <c r="D518" s="11">
        <v>46035</v>
      </c>
      <c r="E518" s="9" t="s">
        <v>31</v>
      </c>
      <c r="F518" s="9">
        <v>52104</v>
      </c>
      <c r="G518" s="9" t="s">
        <v>17</v>
      </c>
      <c r="H518" s="9" t="s">
        <v>18</v>
      </c>
      <c r="J518" s="9" t="s">
        <v>19</v>
      </c>
      <c r="K518" s="9" t="s">
        <v>1368</v>
      </c>
      <c r="L518" s="9" t="s">
        <v>20</v>
      </c>
      <c r="M518" s="9" t="s">
        <v>1632</v>
      </c>
      <c r="N518" s="9" t="str">
        <f t="shared" si="8"/>
        <v>THIAGO MARCOS</v>
      </c>
    </row>
    <row r="519" spans="1:14" x14ac:dyDescent="0.3">
      <c r="A519" s="9">
        <v>704741</v>
      </c>
      <c r="B519" s="9" t="s">
        <v>522</v>
      </c>
      <c r="C519" s="10" t="s">
        <v>15</v>
      </c>
      <c r="D519" s="11">
        <v>45538</v>
      </c>
      <c r="E519" s="9" t="s">
        <v>87</v>
      </c>
      <c r="F519" s="9">
        <v>33301</v>
      </c>
      <c r="G519" s="9" t="s">
        <v>64</v>
      </c>
      <c r="H519" s="9" t="s">
        <v>18</v>
      </c>
      <c r="J519" s="9" t="s">
        <v>65</v>
      </c>
      <c r="K519" s="9" t="s">
        <v>25</v>
      </c>
      <c r="L519" s="9" t="s">
        <v>1375</v>
      </c>
      <c r="N519" s="9" t="str">
        <f t="shared" si="8"/>
        <v>ANDRÉ CUBA</v>
      </c>
    </row>
    <row r="520" spans="1:14" x14ac:dyDescent="0.3">
      <c r="A520" s="9">
        <v>703016</v>
      </c>
      <c r="B520" s="9" t="s">
        <v>523</v>
      </c>
      <c r="C520" s="10" t="s">
        <v>15</v>
      </c>
      <c r="D520" s="11">
        <v>44691</v>
      </c>
      <c r="E520" s="9" t="s">
        <v>60</v>
      </c>
      <c r="F520" s="9">
        <v>22102</v>
      </c>
      <c r="G520" s="9" t="s">
        <v>68</v>
      </c>
      <c r="H520" s="9" t="s">
        <v>18</v>
      </c>
      <c r="J520" s="9" t="s">
        <v>81</v>
      </c>
      <c r="K520" s="9" t="s">
        <v>1371</v>
      </c>
      <c r="L520" s="9" t="s">
        <v>1509</v>
      </c>
      <c r="M520" s="9" t="s">
        <v>1379</v>
      </c>
      <c r="N520" s="9" t="str">
        <f t="shared" si="8"/>
        <v xml:space="preserve">EDSON/MARCELO LIMA </v>
      </c>
    </row>
    <row r="521" spans="1:14" x14ac:dyDescent="0.3">
      <c r="A521" s="9">
        <v>705706</v>
      </c>
      <c r="B521" s="9" t="s">
        <v>524</v>
      </c>
      <c r="C521" s="10" t="s">
        <v>15</v>
      </c>
      <c r="D521" s="11">
        <v>45971</v>
      </c>
      <c r="E521" s="9" t="s">
        <v>31</v>
      </c>
      <c r="F521" s="9">
        <v>52104</v>
      </c>
      <c r="G521" s="9" t="s">
        <v>17</v>
      </c>
      <c r="H521" s="9" t="s">
        <v>18</v>
      </c>
      <c r="J521" s="9" t="s">
        <v>19</v>
      </c>
      <c r="K521" s="9" t="s">
        <v>1368</v>
      </c>
      <c r="L521" s="9" t="s">
        <v>20</v>
      </c>
      <c r="M521" s="9" t="s">
        <v>1632</v>
      </c>
      <c r="N521" s="9" t="str">
        <f t="shared" si="8"/>
        <v>THIAGO MARCOS</v>
      </c>
    </row>
    <row r="522" spans="1:14" x14ac:dyDescent="0.3">
      <c r="A522" s="9">
        <v>704646</v>
      </c>
      <c r="B522" s="9" t="s">
        <v>525</v>
      </c>
      <c r="C522" s="10" t="s">
        <v>15</v>
      </c>
      <c r="D522" s="11">
        <v>45476</v>
      </c>
      <c r="E522" s="9" t="s">
        <v>27</v>
      </c>
      <c r="F522" s="9">
        <v>39304</v>
      </c>
      <c r="G522" s="9" t="s">
        <v>56</v>
      </c>
      <c r="H522" s="9" t="s">
        <v>18</v>
      </c>
      <c r="J522" s="9" t="s">
        <v>57</v>
      </c>
      <c r="K522" s="9" t="s">
        <v>1371</v>
      </c>
      <c r="L522" s="9" t="s">
        <v>1376</v>
      </c>
      <c r="M522" s="9" t="s">
        <v>1635</v>
      </c>
      <c r="N522" s="9" t="str">
        <f t="shared" si="8"/>
        <v>WARLEY RIBEIRO / EUDES FERNANDES</v>
      </c>
    </row>
    <row r="523" spans="1:14" x14ac:dyDescent="0.3">
      <c r="A523" s="9">
        <v>702124</v>
      </c>
      <c r="B523" s="9" t="s">
        <v>526</v>
      </c>
      <c r="C523" s="10" t="s">
        <v>15</v>
      </c>
      <c r="D523" s="11">
        <v>44298</v>
      </c>
      <c r="E523" s="9" t="s">
        <v>292</v>
      </c>
      <c r="F523" s="9">
        <v>39304</v>
      </c>
      <c r="G523" s="9" t="s">
        <v>56</v>
      </c>
      <c r="H523" s="9" t="s">
        <v>18</v>
      </c>
      <c r="J523" s="9" t="s">
        <v>57</v>
      </c>
      <c r="K523" s="9" t="s">
        <v>1371</v>
      </c>
      <c r="L523" s="9" t="s">
        <v>1376</v>
      </c>
      <c r="M523" s="9" t="s">
        <v>1635</v>
      </c>
      <c r="N523" s="9" t="str">
        <f t="shared" si="8"/>
        <v>WARLEY RIBEIRO / EUDES FERNANDES</v>
      </c>
    </row>
    <row r="524" spans="1:14" x14ac:dyDescent="0.3">
      <c r="A524" s="9">
        <v>105712</v>
      </c>
      <c r="B524" s="9" t="s">
        <v>527</v>
      </c>
      <c r="C524" s="10" t="s">
        <v>15</v>
      </c>
      <c r="D524" s="11">
        <v>43136</v>
      </c>
      <c r="E524" s="9" t="s">
        <v>60</v>
      </c>
      <c r="F524" s="9">
        <v>22102</v>
      </c>
      <c r="G524" s="9" t="s">
        <v>68</v>
      </c>
      <c r="H524" s="9" t="s">
        <v>18</v>
      </c>
      <c r="J524" s="9" t="s">
        <v>81</v>
      </c>
      <c r="K524" s="9" t="s">
        <v>1371</v>
      </c>
      <c r="L524" s="9" t="s">
        <v>1509</v>
      </c>
      <c r="M524" s="9" t="s">
        <v>1379</v>
      </c>
      <c r="N524" s="9" t="str">
        <f t="shared" si="8"/>
        <v xml:space="preserve">EDSON/MARCELO LIMA </v>
      </c>
    </row>
    <row r="525" spans="1:14" x14ac:dyDescent="0.3">
      <c r="A525" s="9">
        <v>705510</v>
      </c>
      <c r="B525" s="9" t="s">
        <v>1301</v>
      </c>
      <c r="C525" s="10" t="s">
        <v>15</v>
      </c>
      <c r="D525" s="11">
        <v>45847</v>
      </c>
      <c r="E525" s="9" t="s">
        <v>31</v>
      </c>
      <c r="F525" s="9">
        <v>39301</v>
      </c>
      <c r="G525" s="9" t="s">
        <v>73</v>
      </c>
      <c r="H525" s="9" t="s">
        <v>18</v>
      </c>
      <c r="J525" s="9" t="s">
        <v>74</v>
      </c>
      <c r="K525" s="9" t="s">
        <v>1371</v>
      </c>
      <c r="L525" s="9" t="s">
        <v>1376</v>
      </c>
      <c r="M525" s="9" t="s">
        <v>75</v>
      </c>
      <c r="N525" s="9" t="str">
        <f t="shared" si="8"/>
        <v>ISAC NONATO</v>
      </c>
    </row>
    <row r="526" spans="1:14" x14ac:dyDescent="0.3">
      <c r="A526" s="9">
        <v>705248</v>
      </c>
      <c r="B526" s="9" t="s">
        <v>1186</v>
      </c>
      <c r="C526" s="10" t="s">
        <v>15</v>
      </c>
      <c r="D526" s="11">
        <v>45762</v>
      </c>
      <c r="E526" s="9" t="s">
        <v>31</v>
      </c>
      <c r="F526" s="9">
        <v>39304</v>
      </c>
      <c r="G526" s="9" t="s">
        <v>56</v>
      </c>
      <c r="H526" s="9" t="s">
        <v>18</v>
      </c>
      <c r="J526" s="9" t="s">
        <v>57</v>
      </c>
      <c r="K526" s="9" t="s">
        <v>1371</v>
      </c>
      <c r="L526" s="9" t="s">
        <v>1376</v>
      </c>
      <c r="M526" s="9" t="s">
        <v>1635</v>
      </c>
      <c r="N526" s="9" t="str">
        <f t="shared" si="8"/>
        <v>WARLEY RIBEIRO / EUDES FERNANDES</v>
      </c>
    </row>
    <row r="527" spans="1:14" x14ac:dyDescent="0.3">
      <c r="A527" s="9">
        <v>705403</v>
      </c>
      <c r="B527" s="9" t="s">
        <v>1229</v>
      </c>
      <c r="C527" s="10" t="s">
        <v>15</v>
      </c>
      <c r="D527" s="11">
        <v>45790</v>
      </c>
      <c r="E527" s="9" t="s">
        <v>249</v>
      </c>
      <c r="F527" s="9">
        <v>37101</v>
      </c>
      <c r="G527" s="9" t="s">
        <v>214</v>
      </c>
      <c r="H527" s="9" t="s">
        <v>18</v>
      </c>
      <c r="J527" s="9" t="s">
        <v>239</v>
      </c>
      <c r="K527" s="9" t="s">
        <v>216</v>
      </c>
      <c r="N527" s="9" t="str">
        <f t="shared" si="8"/>
        <v>CARSON NEVES</v>
      </c>
    </row>
    <row r="528" spans="1:14" x14ac:dyDescent="0.3">
      <c r="A528" s="9">
        <v>705922</v>
      </c>
      <c r="B528" s="9" t="s">
        <v>1621</v>
      </c>
      <c r="C528" s="10" t="s">
        <v>15</v>
      </c>
      <c r="D528" s="11">
        <v>46091</v>
      </c>
      <c r="E528" s="9" t="s">
        <v>31</v>
      </c>
      <c r="F528" s="9">
        <v>52104</v>
      </c>
      <c r="G528" s="9" t="s">
        <v>17</v>
      </c>
      <c r="H528" s="9" t="s">
        <v>18</v>
      </c>
      <c r="J528" s="9" t="s">
        <v>19</v>
      </c>
      <c r="K528" s="9" t="s">
        <v>1368</v>
      </c>
      <c r="L528" s="9" t="s">
        <v>20</v>
      </c>
      <c r="M528" s="9" t="s">
        <v>1632</v>
      </c>
      <c r="N528" s="9" t="str">
        <f t="shared" si="8"/>
        <v>THIAGO MARCOS</v>
      </c>
    </row>
    <row r="529" spans="1:14" x14ac:dyDescent="0.3">
      <c r="A529" s="9">
        <v>705069</v>
      </c>
      <c r="B529" s="9" t="s">
        <v>528</v>
      </c>
      <c r="C529" s="10" t="s">
        <v>15</v>
      </c>
      <c r="D529" s="11">
        <v>45670</v>
      </c>
      <c r="E529" s="9" t="s">
        <v>22</v>
      </c>
      <c r="F529" s="9">
        <v>34101</v>
      </c>
      <c r="G529" s="9" t="s">
        <v>43</v>
      </c>
      <c r="H529" s="9" t="s">
        <v>18</v>
      </c>
      <c r="J529" s="9" t="s">
        <v>237</v>
      </c>
      <c r="K529" s="9" t="s">
        <v>25</v>
      </c>
      <c r="L529" s="9" t="s">
        <v>1384</v>
      </c>
      <c r="N529" s="9" t="str">
        <f t="shared" si="8"/>
        <v xml:space="preserve">MARCOS VINICIUS </v>
      </c>
    </row>
    <row r="530" spans="1:14" x14ac:dyDescent="0.3">
      <c r="A530" s="9">
        <v>705839</v>
      </c>
      <c r="B530" s="9" t="s">
        <v>1557</v>
      </c>
      <c r="C530" s="10" t="s">
        <v>15</v>
      </c>
      <c r="D530" s="11">
        <v>46063</v>
      </c>
      <c r="E530" s="9" t="s">
        <v>31</v>
      </c>
      <c r="F530" s="9">
        <v>52104</v>
      </c>
      <c r="G530" s="9" t="s">
        <v>17</v>
      </c>
      <c r="H530" s="9" t="s">
        <v>18</v>
      </c>
      <c r="J530" s="9" t="s">
        <v>19</v>
      </c>
      <c r="K530" s="9" t="s">
        <v>1368</v>
      </c>
      <c r="L530" s="9" t="s">
        <v>20</v>
      </c>
      <c r="M530" s="9" t="s">
        <v>1632</v>
      </c>
      <c r="N530" s="9" t="str">
        <f t="shared" si="8"/>
        <v>THIAGO MARCOS</v>
      </c>
    </row>
    <row r="531" spans="1:14" x14ac:dyDescent="0.3">
      <c r="A531" s="9">
        <v>703611</v>
      </c>
      <c r="B531" s="9" t="s">
        <v>529</v>
      </c>
      <c r="C531" s="10" t="s">
        <v>15</v>
      </c>
      <c r="D531" s="11">
        <v>44991</v>
      </c>
      <c r="E531" s="9" t="s">
        <v>22</v>
      </c>
      <c r="F531" s="9">
        <v>34101</v>
      </c>
      <c r="G531" s="9" t="s">
        <v>43</v>
      </c>
      <c r="H531" s="9" t="s">
        <v>18</v>
      </c>
      <c r="J531" s="9" t="s">
        <v>237</v>
      </c>
      <c r="K531" s="9" t="s">
        <v>25</v>
      </c>
      <c r="L531" s="9" t="s">
        <v>1384</v>
      </c>
      <c r="N531" s="9" t="str">
        <f t="shared" si="8"/>
        <v xml:space="preserve">MARCOS VINICIUS </v>
      </c>
    </row>
    <row r="532" spans="1:14" x14ac:dyDescent="0.3">
      <c r="A532" s="9">
        <v>705117</v>
      </c>
      <c r="B532" s="9" t="s">
        <v>530</v>
      </c>
      <c r="C532" s="10" t="s">
        <v>15</v>
      </c>
      <c r="D532" s="11">
        <v>45678</v>
      </c>
      <c r="E532" s="9" t="s">
        <v>31</v>
      </c>
      <c r="F532" s="9">
        <v>25201</v>
      </c>
      <c r="G532" s="9" t="s">
        <v>89</v>
      </c>
      <c r="H532" s="9" t="s">
        <v>18</v>
      </c>
      <c r="J532" s="9" t="s">
        <v>37</v>
      </c>
      <c r="K532" s="9" t="s">
        <v>1368</v>
      </c>
      <c r="L532" s="9" t="s">
        <v>20</v>
      </c>
      <c r="M532" s="9" t="s">
        <v>1634</v>
      </c>
      <c r="N532" s="9" t="str">
        <f t="shared" si="8"/>
        <v>IRON SANTOS</v>
      </c>
    </row>
    <row r="533" spans="1:14" x14ac:dyDescent="0.3">
      <c r="A533" s="9">
        <v>100263</v>
      </c>
      <c r="B533" s="9" t="s">
        <v>532</v>
      </c>
      <c r="C533" s="10" t="s">
        <v>15</v>
      </c>
      <c r="D533" s="11">
        <v>41736</v>
      </c>
      <c r="E533" s="9" t="s">
        <v>158</v>
      </c>
      <c r="F533" s="9">
        <v>38101</v>
      </c>
      <c r="G533" s="9" t="s">
        <v>35</v>
      </c>
      <c r="H533" s="9" t="s">
        <v>18</v>
      </c>
      <c r="J533" s="9" t="s">
        <v>36</v>
      </c>
      <c r="K533" s="9" t="s">
        <v>1372</v>
      </c>
      <c r="L533" s="9" t="s">
        <v>1373</v>
      </c>
      <c r="M533" s="9" t="s">
        <v>1373</v>
      </c>
      <c r="N533" s="9" t="str">
        <f t="shared" si="8"/>
        <v>DENIS ACASSIO</v>
      </c>
    </row>
    <row r="534" spans="1:14" x14ac:dyDescent="0.3">
      <c r="A534" s="9">
        <v>705705</v>
      </c>
      <c r="B534" s="9" t="s">
        <v>1455</v>
      </c>
      <c r="C534" s="10" t="s">
        <v>15</v>
      </c>
      <c r="D534" s="11">
        <v>45971</v>
      </c>
      <c r="E534" s="9" t="s">
        <v>31</v>
      </c>
      <c r="F534" s="9">
        <v>52104</v>
      </c>
      <c r="G534" s="9" t="s">
        <v>17</v>
      </c>
      <c r="H534" s="9" t="s">
        <v>18</v>
      </c>
      <c r="J534" s="9" t="s">
        <v>19</v>
      </c>
      <c r="K534" s="9" t="s">
        <v>1368</v>
      </c>
      <c r="L534" s="9" t="s">
        <v>20</v>
      </c>
      <c r="M534" s="9" t="s">
        <v>1632</v>
      </c>
      <c r="N534" s="9" t="str">
        <f t="shared" si="8"/>
        <v>THIAGO MARCOS</v>
      </c>
    </row>
    <row r="535" spans="1:14" x14ac:dyDescent="0.3">
      <c r="A535" s="9">
        <v>705730</v>
      </c>
      <c r="B535" s="9" t="s">
        <v>1456</v>
      </c>
      <c r="C535" s="10" t="s">
        <v>15</v>
      </c>
      <c r="D535" s="11">
        <v>45972</v>
      </c>
      <c r="E535" s="9" t="s">
        <v>31</v>
      </c>
      <c r="F535" s="9">
        <v>52104</v>
      </c>
      <c r="G535" s="9" t="s">
        <v>17</v>
      </c>
      <c r="H535" s="9" t="s">
        <v>18</v>
      </c>
      <c r="J535" s="9" t="s">
        <v>19</v>
      </c>
      <c r="K535" s="9" t="s">
        <v>1368</v>
      </c>
      <c r="L535" s="9" t="s">
        <v>20</v>
      </c>
      <c r="M535" s="9" t="s">
        <v>1632</v>
      </c>
      <c r="N535" s="9" t="str">
        <f t="shared" si="8"/>
        <v>THIAGO MARCOS</v>
      </c>
    </row>
    <row r="536" spans="1:14" x14ac:dyDescent="0.3">
      <c r="A536" s="9">
        <v>100077</v>
      </c>
      <c r="B536" s="9" t="s">
        <v>533</v>
      </c>
      <c r="C536" s="10" t="s">
        <v>15</v>
      </c>
      <c r="D536" s="11">
        <v>40941</v>
      </c>
      <c r="E536" s="9" t="s">
        <v>158</v>
      </c>
      <c r="F536" s="9">
        <v>38101</v>
      </c>
      <c r="G536" s="9" t="s">
        <v>35</v>
      </c>
      <c r="H536" s="9" t="s">
        <v>18</v>
      </c>
      <c r="J536" s="9" t="s">
        <v>36</v>
      </c>
      <c r="K536" s="9" t="s">
        <v>1372</v>
      </c>
      <c r="L536" s="9" t="s">
        <v>1373</v>
      </c>
      <c r="M536" s="9" t="s">
        <v>1373</v>
      </c>
      <c r="N536" s="9" t="str">
        <f t="shared" si="8"/>
        <v>DENIS ACASSIO</v>
      </c>
    </row>
    <row r="537" spans="1:14" x14ac:dyDescent="0.3">
      <c r="A537" s="9">
        <v>705938</v>
      </c>
      <c r="B537" s="9" t="s">
        <v>1687</v>
      </c>
      <c r="C537" s="10" t="s">
        <v>15</v>
      </c>
      <c r="D537" s="11">
        <v>46119</v>
      </c>
      <c r="E537" s="9" t="s">
        <v>77</v>
      </c>
      <c r="F537" s="9">
        <v>38107</v>
      </c>
      <c r="G537" s="9" t="s">
        <v>1503</v>
      </c>
      <c r="H537" s="9" t="s">
        <v>18</v>
      </c>
      <c r="J537" s="9" t="s">
        <v>78</v>
      </c>
      <c r="K537" s="9" t="s">
        <v>1372</v>
      </c>
      <c r="N537" s="9" t="str">
        <f t="shared" si="8"/>
        <v xml:space="preserve">LEIDJANE MARTINS </v>
      </c>
    </row>
    <row r="538" spans="1:14" x14ac:dyDescent="0.3">
      <c r="A538" s="9">
        <v>704913</v>
      </c>
      <c r="B538" s="9" t="s">
        <v>1072</v>
      </c>
      <c r="C538" s="10" t="s">
        <v>15</v>
      </c>
      <c r="D538" s="11">
        <v>45601</v>
      </c>
      <c r="E538" s="9" t="s">
        <v>129</v>
      </c>
      <c r="F538" s="9">
        <v>31104</v>
      </c>
      <c r="G538" s="9" t="s">
        <v>130</v>
      </c>
      <c r="H538" s="9" t="s">
        <v>18</v>
      </c>
      <c r="J538" s="9" t="s">
        <v>131</v>
      </c>
      <c r="K538" s="9" t="s">
        <v>1381</v>
      </c>
      <c r="N538" s="9" t="str">
        <f t="shared" si="8"/>
        <v>MARCOS OLIVEIRA</v>
      </c>
    </row>
    <row r="539" spans="1:14" x14ac:dyDescent="0.3">
      <c r="A539" s="9">
        <v>705646</v>
      </c>
      <c r="B539" s="9" t="s">
        <v>1413</v>
      </c>
      <c r="C539" s="10" t="s">
        <v>15</v>
      </c>
      <c r="D539" s="11">
        <v>45943</v>
      </c>
      <c r="E539" s="9" t="s">
        <v>392</v>
      </c>
      <c r="F539" s="9">
        <v>12105</v>
      </c>
      <c r="G539" s="9" t="s">
        <v>393</v>
      </c>
      <c r="H539" s="9" t="s">
        <v>18</v>
      </c>
      <c r="J539" s="9" t="s">
        <v>394</v>
      </c>
      <c r="K539" s="9" t="s">
        <v>1386</v>
      </c>
      <c r="N539" s="9" t="str">
        <f t="shared" si="8"/>
        <v>JOÃO GORGULHO</v>
      </c>
    </row>
    <row r="540" spans="1:14" x14ac:dyDescent="0.3">
      <c r="A540" s="9">
        <v>105713</v>
      </c>
      <c r="B540" s="9" t="s">
        <v>534</v>
      </c>
      <c r="C540" s="10" t="s">
        <v>15</v>
      </c>
      <c r="D540" s="11">
        <v>43136</v>
      </c>
      <c r="E540" s="9" t="s">
        <v>1230</v>
      </c>
      <c r="F540" s="9">
        <v>39301</v>
      </c>
      <c r="G540" s="9" t="s">
        <v>73</v>
      </c>
      <c r="H540" s="9" t="s">
        <v>18</v>
      </c>
      <c r="J540" s="9" t="s">
        <v>74</v>
      </c>
      <c r="K540" s="9" t="s">
        <v>1371</v>
      </c>
      <c r="L540" s="9" t="s">
        <v>1376</v>
      </c>
      <c r="M540" s="9" t="s">
        <v>75</v>
      </c>
      <c r="N540" s="9" t="str">
        <f t="shared" si="8"/>
        <v>ISAC NONATO</v>
      </c>
    </row>
    <row r="541" spans="1:14" x14ac:dyDescent="0.3">
      <c r="A541" s="9">
        <v>705439</v>
      </c>
      <c r="B541" s="9" t="s">
        <v>535</v>
      </c>
      <c r="C541" s="10" t="s">
        <v>15</v>
      </c>
      <c r="D541" s="11">
        <v>45796</v>
      </c>
      <c r="E541" s="9" t="s">
        <v>185</v>
      </c>
      <c r="F541" s="9">
        <v>33101</v>
      </c>
      <c r="G541" s="9" t="s">
        <v>186</v>
      </c>
      <c r="H541" s="9" t="s">
        <v>18</v>
      </c>
      <c r="J541" s="9" t="s">
        <v>44</v>
      </c>
      <c r="K541" s="9" t="s">
        <v>25</v>
      </c>
      <c r="L541" s="9" t="s">
        <v>1385</v>
      </c>
      <c r="N541" s="9" t="str">
        <f t="shared" si="8"/>
        <v>TALLES RYAN</v>
      </c>
    </row>
    <row r="542" spans="1:14" x14ac:dyDescent="0.3">
      <c r="A542" s="9">
        <v>703960</v>
      </c>
      <c r="B542" s="9" t="s">
        <v>536</v>
      </c>
      <c r="C542" s="10" t="s">
        <v>15</v>
      </c>
      <c r="D542" s="11">
        <v>45111</v>
      </c>
      <c r="E542" s="9" t="s">
        <v>446</v>
      </c>
      <c r="F542" s="9">
        <v>38101</v>
      </c>
      <c r="G542" s="9" t="s">
        <v>35</v>
      </c>
      <c r="H542" s="9" t="s">
        <v>18</v>
      </c>
      <c r="J542" s="9" t="s">
        <v>36</v>
      </c>
      <c r="K542" s="9" t="s">
        <v>1372</v>
      </c>
      <c r="L542" s="9" t="s">
        <v>1373</v>
      </c>
      <c r="M542" s="9" t="s">
        <v>1373</v>
      </c>
      <c r="N542" s="9" t="str">
        <f t="shared" si="8"/>
        <v>DENIS ACASSIO</v>
      </c>
    </row>
    <row r="543" spans="1:14" x14ac:dyDescent="0.3">
      <c r="A543" s="9">
        <v>7051121</v>
      </c>
      <c r="B543" s="9" t="s">
        <v>537</v>
      </c>
      <c r="C543" s="10" t="s">
        <v>15</v>
      </c>
      <c r="D543" s="11">
        <v>45678</v>
      </c>
      <c r="E543" s="9" t="s">
        <v>77</v>
      </c>
      <c r="F543" s="9">
        <v>38107</v>
      </c>
      <c r="G543" s="9" t="s">
        <v>1503</v>
      </c>
      <c r="H543" s="9" t="s">
        <v>18</v>
      </c>
      <c r="J543" s="9" t="s">
        <v>78</v>
      </c>
      <c r="K543" s="9" t="s">
        <v>1372</v>
      </c>
      <c r="N543" s="9" t="str">
        <f t="shared" si="8"/>
        <v xml:space="preserve">LEIDJANE MARTINS </v>
      </c>
    </row>
    <row r="544" spans="1:14" x14ac:dyDescent="0.3">
      <c r="A544" s="9">
        <v>705905</v>
      </c>
      <c r="B544" s="9" t="s">
        <v>1622</v>
      </c>
      <c r="C544" s="10" t="s">
        <v>15</v>
      </c>
      <c r="D544" s="11">
        <v>46091</v>
      </c>
      <c r="E544" s="9" t="s">
        <v>31</v>
      </c>
      <c r="F544" s="9">
        <v>25201</v>
      </c>
      <c r="G544" s="9" t="s">
        <v>89</v>
      </c>
      <c r="H544" s="9" t="s">
        <v>18</v>
      </c>
      <c r="J544" s="9" t="s">
        <v>19</v>
      </c>
      <c r="K544" s="9" t="s">
        <v>1368</v>
      </c>
      <c r="L544" s="9" t="s">
        <v>20</v>
      </c>
      <c r="M544" s="9" t="s">
        <v>1632</v>
      </c>
      <c r="N544" s="9" t="str">
        <f t="shared" si="8"/>
        <v>THIAGO MARCOS</v>
      </c>
    </row>
    <row r="545" spans="1:14" x14ac:dyDescent="0.3">
      <c r="A545" s="9">
        <v>704571</v>
      </c>
      <c r="B545" s="9" t="s">
        <v>1688</v>
      </c>
      <c r="C545" s="10" t="s">
        <v>15</v>
      </c>
      <c r="D545" s="11">
        <v>45448</v>
      </c>
      <c r="E545" s="9" t="s">
        <v>31</v>
      </c>
      <c r="F545" s="9">
        <v>25201</v>
      </c>
      <c r="G545" s="9" t="s">
        <v>89</v>
      </c>
      <c r="H545" s="9" t="s">
        <v>18</v>
      </c>
      <c r="J545" s="9" t="s">
        <v>37</v>
      </c>
      <c r="K545" s="9" t="s">
        <v>1368</v>
      </c>
      <c r="L545" s="9" t="s">
        <v>20</v>
      </c>
      <c r="M545" s="9" t="s">
        <v>1634</v>
      </c>
      <c r="N545" s="9" t="str">
        <f t="shared" si="8"/>
        <v>IRON SANTOS</v>
      </c>
    </row>
    <row r="546" spans="1:14" x14ac:dyDescent="0.3">
      <c r="A546" s="9">
        <v>77013483</v>
      </c>
      <c r="B546" s="9" t="s">
        <v>1689</v>
      </c>
      <c r="C546" s="10" t="s">
        <v>15</v>
      </c>
      <c r="D546" s="11">
        <v>46119</v>
      </c>
      <c r="E546" s="9" t="s">
        <v>77</v>
      </c>
      <c r="F546" s="9">
        <v>38107</v>
      </c>
      <c r="G546" s="9" t="s">
        <v>1503</v>
      </c>
      <c r="H546" s="9" t="s">
        <v>18</v>
      </c>
      <c r="J546" s="9" t="s">
        <v>78</v>
      </c>
      <c r="K546" s="9" t="s">
        <v>1372</v>
      </c>
      <c r="N546" s="9" t="str">
        <f t="shared" si="8"/>
        <v xml:space="preserve">LEIDJANE MARTINS </v>
      </c>
    </row>
    <row r="547" spans="1:14" x14ac:dyDescent="0.3">
      <c r="A547" s="9">
        <v>704711</v>
      </c>
      <c r="B547" s="9" t="s">
        <v>539</v>
      </c>
      <c r="C547" s="10" t="s">
        <v>15</v>
      </c>
      <c r="D547" s="11">
        <v>45518</v>
      </c>
      <c r="E547" s="9" t="s">
        <v>315</v>
      </c>
      <c r="F547" s="9">
        <v>33101</v>
      </c>
      <c r="G547" s="9" t="s">
        <v>186</v>
      </c>
      <c r="H547" s="9" t="s">
        <v>18</v>
      </c>
      <c r="J547" s="9" t="s">
        <v>1642</v>
      </c>
      <c r="K547" s="9" t="s">
        <v>25</v>
      </c>
      <c r="N547" s="9" t="str">
        <f t="shared" si="8"/>
        <v>RAFAEL XAVIER</v>
      </c>
    </row>
    <row r="548" spans="1:14" x14ac:dyDescent="0.3">
      <c r="A548" s="9">
        <v>705196</v>
      </c>
      <c r="B548" s="9" t="s">
        <v>1167</v>
      </c>
      <c r="C548" s="10" t="s">
        <v>15</v>
      </c>
      <c r="D548" s="11">
        <v>45734</v>
      </c>
      <c r="E548" s="9" t="s">
        <v>260</v>
      </c>
      <c r="F548" s="9">
        <v>25201</v>
      </c>
      <c r="G548" s="9" t="s">
        <v>89</v>
      </c>
      <c r="H548" s="9" t="s">
        <v>18</v>
      </c>
      <c r="J548" s="9" t="s">
        <v>1641</v>
      </c>
      <c r="K548" s="9" t="s">
        <v>1368</v>
      </c>
      <c r="N548" s="9" t="str">
        <f t="shared" si="8"/>
        <v>JOSÉ GOUVEA</v>
      </c>
    </row>
    <row r="549" spans="1:14" x14ac:dyDescent="0.3">
      <c r="A549" s="9">
        <v>703559</v>
      </c>
      <c r="B549" s="9" t="s">
        <v>540</v>
      </c>
      <c r="C549" s="10" t="s">
        <v>15</v>
      </c>
      <c r="D549" s="11">
        <v>44935</v>
      </c>
      <c r="E549" s="9" t="s">
        <v>217</v>
      </c>
      <c r="F549" s="9">
        <v>39302</v>
      </c>
      <c r="G549" s="9" t="s">
        <v>102</v>
      </c>
      <c r="H549" s="9" t="s">
        <v>18</v>
      </c>
      <c r="J549" s="9" t="s">
        <v>57</v>
      </c>
      <c r="K549" s="9" t="s">
        <v>1371</v>
      </c>
      <c r="L549" s="9" t="s">
        <v>1376</v>
      </c>
      <c r="M549" s="9" t="s">
        <v>1635</v>
      </c>
      <c r="N549" s="9" t="str">
        <f t="shared" si="8"/>
        <v>WARLEY RIBEIRO / EUDES FERNANDES</v>
      </c>
    </row>
    <row r="550" spans="1:14" x14ac:dyDescent="0.3">
      <c r="A550" s="9">
        <v>705785</v>
      </c>
      <c r="B550" s="9" t="s">
        <v>1531</v>
      </c>
      <c r="C550" s="10" t="s">
        <v>15</v>
      </c>
      <c r="D550" s="11">
        <v>46035</v>
      </c>
      <c r="E550" s="9" t="s">
        <v>31</v>
      </c>
      <c r="F550" s="9">
        <v>25201</v>
      </c>
      <c r="G550" s="9" t="s">
        <v>89</v>
      </c>
      <c r="H550" s="9" t="s">
        <v>18</v>
      </c>
      <c r="J550" s="9" t="s">
        <v>19</v>
      </c>
      <c r="K550" s="9" t="s">
        <v>1368</v>
      </c>
      <c r="L550" s="9" t="s">
        <v>20</v>
      </c>
      <c r="M550" s="9" t="s">
        <v>1632</v>
      </c>
      <c r="N550" s="9" t="str">
        <f t="shared" si="8"/>
        <v>THIAGO MARCOS</v>
      </c>
    </row>
    <row r="551" spans="1:14" x14ac:dyDescent="0.3">
      <c r="A551" s="9">
        <v>705369</v>
      </c>
      <c r="B551" s="9" t="s">
        <v>1232</v>
      </c>
      <c r="C551" s="10" t="s">
        <v>15</v>
      </c>
      <c r="D551" s="11">
        <v>45784</v>
      </c>
      <c r="E551" s="9" t="s">
        <v>270</v>
      </c>
      <c r="F551" s="9">
        <v>39302</v>
      </c>
      <c r="G551" s="9" t="s">
        <v>102</v>
      </c>
      <c r="H551" s="9" t="s">
        <v>18</v>
      </c>
      <c r="J551" s="9" t="s">
        <v>57</v>
      </c>
      <c r="K551" s="9" t="s">
        <v>1371</v>
      </c>
      <c r="L551" s="9" t="s">
        <v>1376</v>
      </c>
      <c r="M551" s="9" t="s">
        <v>1635</v>
      </c>
      <c r="N551" s="9" t="str">
        <f t="shared" si="8"/>
        <v>WARLEY RIBEIRO / EUDES FERNANDES</v>
      </c>
    </row>
    <row r="552" spans="1:14" x14ac:dyDescent="0.3">
      <c r="A552" s="9">
        <v>705692</v>
      </c>
      <c r="B552" s="9" t="s">
        <v>541</v>
      </c>
      <c r="C552" s="10" t="s">
        <v>15</v>
      </c>
      <c r="D552" s="11">
        <v>45972</v>
      </c>
      <c r="E552" s="9" t="s">
        <v>446</v>
      </c>
      <c r="F552" s="9">
        <v>32101</v>
      </c>
      <c r="G552" s="9" t="s">
        <v>23</v>
      </c>
      <c r="H552" s="9" t="s">
        <v>18</v>
      </c>
      <c r="J552" s="9" t="s">
        <v>1643</v>
      </c>
      <c r="K552" s="9" t="s">
        <v>25</v>
      </c>
      <c r="M552" s="9" t="s">
        <v>1780</v>
      </c>
      <c r="N552" s="9" t="str">
        <f t="shared" si="8"/>
        <v>JOSE ALBERISSON</v>
      </c>
    </row>
    <row r="553" spans="1:14" x14ac:dyDescent="0.3">
      <c r="A553" s="9">
        <v>701608</v>
      </c>
      <c r="B553" s="9" t="s">
        <v>542</v>
      </c>
      <c r="C553" s="10" t="s">
        <v>15</v>
      </c>
      <c r="D553" s="11">
        <v>43999</v>
      </c>
      <c r="E553" s="9" t="s">
        <v>27</v>
      </c>
      <c r="F553" s="9">
        <v>39501</v>
      </c>
      <c r="G553" s="9" t="s">
        <v>28</v>
      </c>
      <c r="H553" s="9" t="s">
        <v>18</v>
      </c>
      <c r="J553" s="9" t="s">
        <v>29</v>
      </c>
      <c r="K553" s="9" t="s">
        <v>1368</v>
      </c>
      <c r="L553" s="9" t="s">
        <v>20</v>
      </c>
      <c r="M553" s="9" t="s">
        <v>1634</v>
      </c>
      <c r="N553" s="9" t="str">
        <f t="shared" si="8"/>
        <v>IRON SANTOS</v>
      </c>
    </row>
    <row r="554" spans="1:14" x14ac:dyDescent="0.3">
      <c r="A554" s="9">
        <v>704307</v>
      </c>
      <c r="B554" s="9" t="s">
        <v>543</v>
      </c>
      <c r="C554" s="10" t="s">
        <v>15</v>
      </c>
      <c r="D554" s="11">
        <v>45356</v>
      </c>
      <c r="E554" s="9" t="s">
        <v>31</v>
      </c>
      <c r="F554" s="9">
        <v>34201</v>
      </c>
      <c r="G554" s="9" t="s">
        <v>84</v>
      </c>
      <c r="H554" s="9" t="s">
        <v>18</v>
      </c>
      <c r="J554" s="9" t="s">
        <v>85</v>
      </c>
      <c r="K554" s="9" t="s">
        <v>1371</v>
      </c>
      <c r="L554" s="9" t="s">
        <v>1380</v>
      </c>
      <c r="M554" s="9" t="s">
        <v>1380</v>
      </c>
      <c r="N554" s="9" t="str">
        <f t="shared" si="8"/>
        <v xml:space="preserve">LEONARDO SANTOS </v>
      </c>
    </row>
    <row r="555" spans="1:14" x14ac:dyDescent="0.3">
      <c r="A555" s="9">
        <v>705752</v>
      </c>
      <c r="B555" s="9" t="s">
        <v>1492</v>
      </c>
      <c r="C555" s="10" t="s">
        <v>15</v>
      </c>
      <c r="D555" s="11">
        <v>45993</v>
      </c>
      <c r="E555" s="9" t="s">
        <v>31</v>
      </c>
      <c r="F555" s="9">
        <v>52104</v>
      </c>
      <c r="G555" s="9" t="s">
        <v>17</v>
      </c>
      <c r="H555" s="9" t="s">
        <v>18</v>
      </c>
      <c r="J555" s="9" t="s">
        <v>19</v>
      </c>
      <c r="K555" s="9" t="s">
        <v>1368</v>
      </c>
      <c r="L555" s="9" t="s">
        <v>20</v>
      </c>
      <c r="M555" s="9" t="s">
        <v>1632</v>
      </c>
      <c r="N555" s="9" t="str">
        <f t="shared" si="8"/>
        <v>THIAGO MARCOS</v>
      </c>
    </row>
    <row r="556" spans="1:14" x14ac:dyDescent="0.3">
      <c r="A556" s="9">
        <v>705815</v>
      </c>
      <c r="B556" s="9" t="s">
        <v>1532</v>
      </c>
      <c r="C556" s="10" t="s">
        <v>15</v>
      </c>
      <c r="D556" s="11">
        <v>46035</v>
      </c>
      <c r="E556" s="9" t="s">
        <v>31</v>
      </c>
      <c r="F556" s="9">
        <v>52104</v>
      </c>
      <c r="G556" s="9" t="s">
        <v>17</v>
      </c>
      <c r="H556" s="9" t="s">
        <v>18</v>
      </c>
      <c r="J556" s="9" t="s">
        <v>19</v>
      </c>
      <c r="K556" s="9" t="s">
        <v>1368</v>
      </c>
      <c r="L556" s="9" t="s">
        <v>20</v>
      </c>
      <c r="M556" s="9" t="s">
        <v>1632</v>
      </c>
      <c r="N556" s="9" t="str">
        <f t="shared" si="8"/>
        <v>THIAGO MARCOS</v>
      </c>
    </row>
    <row r="557" spans="1:14" x14ac:dyDescent="0.3">
      <c r="A557" s="9">
        <v>705686</v>
      </c>
      <c r="B557" s="9" t="s">
        <v>1415</v>
      </c>
      <c r="C557" s="10" t="s">
        <v>15</v>
      </c>
      <c r="D557" s="11">
        <v>45945</v>
      </c>
      <c r="E557" s="9" t="s">
        <v>238</v>
      </c>
      <c r="F557" s="9">
        <v>37101</v>
      </c>
      <c r="G557" s="9" t="s">
        <v>214</v>
      </c>
      <c r="H557" s="9" t="s">
        <v>18</v>
      </c>
      <c r="J557" s="9" t="s">
        <v>239</v>
      </c>
      <c r="K557" s="9" t="s">
        <v>216</v>
      </c>
      <c r="N557" s="9" t="str">
        <f t="shared" si="8"/>
        <v>CARSON NEVES</v>
      </c>
    </row>
    <row r="558" spans="1:14" x14ac:dyDescent="0.3">
      <c r="A558" s="9">
        <v>702662</v>
      </c>
      <c r="B558" s="9" t="s">
        <v>544</v>
      </c>
      <c r="C558" s="10" t="s">
        <v>15</v>
      </c>
      <c r="D558" s="11">
        <v>44509</v>
      </c>
      <c r="E558" s="9" t="s">
        <v>105</v>
      </c>
      <c r="F558" s="9">
        <v>22102</v>
      </c>
      <c r="G558" s="9" t="s">
        <v>68</v>
      </c>
      <c r="H558" s="9" t="s">
        <v>18</v>
      </c>
      <c r="J558" s="9" t="s">
        <v>167</v>
      </c>
      <c r="K558" s="9" t="s">
        <v>1371</v>
      </c>
      <c r="L558" s="9" t="s">
        <v>1509</v>
      </c>
      <c r="M558" s="9" t="s">
        <v>1636</v>
      </c>
      <c r="N558" s="9" t="str">
        <f t="shared" si="8"/>
        <v>FABIANO DIAS</v>
      </c>
    </row>
    <row r="559" spans="1:14" x14ac:dyDescent="0.3">
      <c r="A559" s="9">
        <v>700622</v>
      </c>
      <c r="B559" s="9" t="s">
        <v>545</v>
      </c>
      <c r="C559" s="10" t="s">
        <v>15</v>
      </c>
      <c r="D559" s="11">
        <v>43367</v>
      </c>
      <c r="E559" s="9" t="s">
        <v>116</v>
      </c>
      <c r="F559" s="9">
        <v>34201</v>
      </c>
      <c r="G559" s="9" t="s">
        <v>84</v>
      </c>
      <c r="H559" s="9" t="s">
        <v>18</v>
      </c>
      <c r="J559" s="9" t="s">
        <v>85</v>
      </c>
      <c r="K559" s="9" t="s">
        <v>1371</v>
      </c>
      <c r="L559" s="9" t="s">
        <v>1380</v>
      </c>
      <c r="M559" s="9" t="s">
        <v>1380</v>
      </c>
      <c r="N559" s="9" t="str">
        <f t="shared" si="8"/>
        <v xml:space="preserve">LEONARDO SANTOS </v>
      </c>
    </row>
    <row r="560" spans="1:14" x14ac:dyDescent="0.3">
      <c r="A560" s="9">
        <v>701013</v>
      </c>
      <c r="B560" s="9" t="s">
        <v>546</v>
      </c>
      <c r="C560" s="10" t="s">
        <v>15</v>
      </c>
      <c r="D560" s="11">
        <v>43598</v>
      </c>
      <c r="E560" s="9" t="s">
        <v>40</v>
      </c>
      <c r="F560" s="9">
        <v>52104</v>
      </c>
      <c r="G560" s="9" t="s">
        <v>17</v>
      </c>
      <c r="H560" s="9" t="s">
        <v>18</v>
      </c>
      <c r="J560" s="9" t="s">
        <v>19</v>
      </c>
      <c r="K560" s="9" t="s">
        <v>1368</v>
      </c>
      <c r="L560" s="9" t="s">
        <v>20</v>
      </c>
      <c r="M560" s="9" t="s">
        <v>1632</v>
      </c>
      <c r="N560" s="9" t="str">
        <f t="shared" si="8"/>
        <v>THIAGO MARCOS</v>
      </c>
    </row>
    <row r="561" spans="1:14" x14ac:dyDescent="0.3">
      <c r="A561" s="9">
        <v>700241</v>
      </c>
      <c r="B561" s="9" t="s">
        <v>1091</v>
      </c>
      <c r="C561" s="10" t="s">
        <v>15</v>
      </c>
      <c r="D561" s="11">
        <v>43255</v>
      </c>
      <c r="E561" s="9" t="s">
        <v>219</v>
      </c>
      <c r="F561" s="9">
        <v>32101</v>
      </c>
      <c r="G561" s="9" t="s">
        <v>23</v>
      </c>
      <c r="H561" s="9" t="s">
        <v>18</v>
      </c>
      <c r="J561" s="9" t="s">
        <v>24</v>
      </c>
      <c r="K561" s="9" t="s">
        <v>25</v>
      </c>
      <c r="L561" s="9" t="s">
        <v>1369</v>
      </c>
      <c r="M561" s="9" t="s">
        <v>1370</v>
      </c>
      <c r="N561" s="9" t="str">
        <f t="shared" si="8"/>
        <v>JUNIO COSTA</v>
      </c>
    </row>
    <row r="562" spans="1:14" x14ac:dyDescent="0.3">
      <c r="A562" s="9">
        <v>705995</v>
      </c>
      <c r="B562" s="9" t="s">
        <v>1690</v>
      </c>
      <c r="C562" s="10" t="s">
        <v>15</v>
      </c>
      <c r="D562" s="11">
        <v>46119</v>
      </c>
      <c r="E562" s="9" t="s">
        <v>31</v>
      </c>
      <c r="F562" s="9">
        <v>25201</v>
      </c>
      <c r="G562" s="9" t="s">
        <v>89</v>
      </c>
      <c r="H562" s="9" t="s">
        <v>18</v>
      </c>
      <c r="J562" s="9" t="s">
        <v>19</v>
      </c>
      <c r="K562" s="9" t="s">
        <v>1368</v>
      </c>
      <c r="L562" s="9" t="s">
        <v>20</v>
      </c>
      <c r="M562" s="9" t="s">
        <v>1632</v>
      </c>
      <c r="N562" s="9" t="str">
        <f t="shared" si="8"/>
        <v>THIAGO MARCOS</v>
      </c>
    </row>
    <row r="563" spans="1:14" x14ac:dyDescent="0.3">
      <c r="A563" s="9">
        <v>705245</v>
      </c>
      <c r="B563" s="9" t="s">
        <v>1187</v>
      </c>
      <c r="C563" s="10" t="s">
        <v>15</v>
      </c>
      <c r="D563" s="11">
        <v>45754</v>
      </c>
      <c r="E563" s="9" t="s">
        <v>31</v>
      </c>
      <c r="F563" s="9">
        <v>52104</v>
      </c>
      <c r="G563" s="9" t="s">
        <v>17</v>
      </c>
      <c r="H563" s="9" t="s">
        <v>18</v>
      </c>
      <c r="J563" s="9" t="s">
        <v>19</v>
      </c>
      <c r="K563" s="9" t="s">
        <v>1368</v>
      </c>
      <c r="L563" s="9" t="s">
        <v>20</v>
      </c>
      <c r="M563" s="9" t="s">
        <v>1632</v>
      </c>
      <c r="N563" s="9" t="str">
        <f t="shared" si="8"/>
        <v>THIAGO MARCOS</v>
      </c>
    </row>
    <row r="564" spans="1:14" x14ac:dyDescent="0.3">
      <c r="A564" s="9">
        <v>704505</v>
      </c>
      <c r="B564" s="9" t="s">
        <v>1092</v>
      </c>
      <c r="C564" s="10" t="s">
        <v>15</v>
      </c>
      <c r="D564" s="11">
        <v>45419</v>
      </c>
      <c r="E564" s="9" t="s">
        <v>31</v>
      </c>
      <c r="F564" s="9">
        <v>25201</v>
      </c>
      <c r="G564" s="9" t="s">
        <v>89</v>
      </c>
      <c r="H564" s="9" t="s">
        <v>18</v>
      </c>
      <c r="J564" s="9" t="s">
        <v>19</v>
      </c>
      <c r="K564" s="9" t="s">
        <v>1368</v>
      </c>
      <c r="L564" s="9" t="s">
        <v>20</v>
      </c>
      <c r="M564" s="9" t="s">
        <v>1632</v>
      </c>
      <c r="N564" s="9" t="str">
        <f t="shared" si="8"/>
        <v>THIAGO MARCOS</v>
      </c>
    </row>
    <row r="565" spans="1:14" x14ac:dyDescent="0.3">
      <c r="A565" s="9">
        <v>701522</v>
      </c>
      <c r="B565" s="9" t="s">
        <v>547</v>
      </c>
      <c r="C565" s="10" t="s">
        <v>15</v>
      </c>
      <c r="D565" s="11">
        <v>43957</v>
      </c>
      <c r="E565" s="9" t="s">
        <v>179</v>
      </c>
      <c r="F565" s="9">
        <v>32101</v>
      </c>
      <c r="G565" s="9" t="s">
        <v>23</v>
      </c>
      <c r="H565" s="9" t="s">
        <v>18</v>
      </c>
      <c r="J565" s="9" t="s">
        <v>24</v>
      </c>
      <c r="K565" s="9" t="s">
        <v>25</v>
      </c>
      <c r="L565" s="9" t="s">
        <v>1369</v>
      </c>
      <c r="M565" s="9" t="s">
        <v>1370</v>
      </c>
      <c r="N565" s="9" t="str">
        <f t="shared" si="8"/>
        <v>JUNIO COSTA</v>
      </c>
    </row>
    <row r="566" spans="1:14" x14ac:dyDescent="0.3">
      <c r="A566" s="9">
        <v>705580</v>
      </c>
      <c r="B566" s="9" t="s">
        <v>1326</v>
      </c>
      <c r="C566" s="10" t="s">
        <v>15</v>
      </c>
      <c r="D566" s="11">
        <v>45881</v>
      </c>
      <c r="E566" s="9" t="s">
        <v>31</v>
      </c>
      <c r="F566" s="9">
        <v>39301</v>
      </c>
      <c r="G566" s="9" t="s">
        <v>73</v>
      </c>
      <c r="H566" s="9" t="s">
        <v>18</v>
      </c>
      <c r="J566" s="9" t="s">
        <v>74</v>
      </c>
      <c r="K566" s="9" t="s">
        <v>1371</v>
      </c>
      <c r="L566" s="9" t="s">
        <v>1376</v>
      </c>
      <c r="M566" s="9" t="s">
        <v>75</v>
      </c>
      <c r="N566" s="9" t="str">
        <f t="shared" si="8"/>
        <v>ISAC NONATO</v>
      </c>
    </row>
    <row r="567" spans="1:14" x14ac:dyDescent="0.3">
      <c r="A567" s="9">
        <v>702811</v>
      </c>
      <c r="B567" s="9" t="s">
        <v>548</v>
      </c>
      <c r="C567" s="10" t="s">
        <v>15</v>
      </c>
      <c r="D567" s="11">
        <v>44613</v>
      </c>
      <c r="E567" s="9" t="s">
        <v>31</v>
      </c>
      <c r="F567" s="9">
        <v>52104</v>
      </c>
      <c r="G567" s="9" t="s">
        <v>17</v>
      </c>
      <c r="H567" s="9" t="s">
        <v>18</v>
      </c>
      <c r="J567" s="9" t="s">
        <v>19</v>
      </c>
      <c r="K567" s="9" t="s">
        <v>1368</v>
      </c>
      <c r="L567" s="9" t="s">
        <v>20</v>
      </c>
      <c r="M567" s="9" t="s">
        <v>1632</v>
      </c>
      <c r="N567" s="9" t="str">
        <f t="shared" si="8"/>
        <v>THIAGO MARCOS</v>
      </c>
    </row>
    <row r="568" spans="1:14" x14ac:dyDescent="0.3">
      <c r="A568" s="9">
        <v>704073</v>
      </c>
      <c r="B568" s="9" t="s">
        <v>549</v>
      </c>
      <c r="C568" s="10" t="s">
        <v>15</v>
      </c>
      <c r="D568" s="11">
        <v>45175</v>
      </c>
      <c r="E568" s="9" t="s">
        <v>60</v>
      </c>
      <c r="F568" s="9">
        <v>52104</v>
      </c>
      <c r="G568" s="9" t="s">
        <v>17</v>
      </c>
      <c r="H568" s="9" t="s">
        <v>18</v>
      </c>
      <c r="J568" s="9" t="s">
        <v>19</v>
      </c>
      <c r="K568" s="9" t="s">
        <v>1368</v>
      </c>
      <c r="L568" s="9" t="s">
        <v>20</v>
      </c>
      <c r="M568" s="9" t="s">
        <v>1632</v>
      </c>
      <c r="N568" s="9" t="str">
        <f t="shared" si="8"/>
        <v>THIAGO MARCOS</v>
      </c>
    </row>
    <row r="569" spans="1:14" x14ac:dyDescent="0.3">
      <c r="A569" s="9">
        <v>101542</v>
      </c>
      <c r="B569" s="9" t="s">
        <v>550</v>
      </c>
      <c r="C569" s="10" t="s">
        <v>15</v>
      </c>
      <c r="D569" s="11">
        <v>40779</v>
      </c>
      <c r="E569" s="9" t="s">
        <v>158</v>
      </c>
      <c r="F569" s="9">
        <v>38101</v>
      </c>
      <c r="G569" s="9" t="s">
        <v>35</v>
      </c>
      <c r="H569" s="9" t="s">
        <v>18</v>
      </c>
      <c r="J569" s="9" t="s">
        <v>36</v>
      </c>
      <c r="K569" s="9" t="s">
        <v>1372</v>
      </c>
      <c r="L569" s="9" t="s">
        <v>1373</v>
      </c>
      <c r="M569" s="9" t="s">
        <v>1373</v>
      </c>
      <c r="N569" s="9" t="str">
        <f t="shared" si="8"/>
        <v>DENIS ACASSIO</v>
      </c>
    </row>
    <row r="570" spans="1:14" x14ac:dyDescent="0.3">
      <c r="A570" s="9">
        <v>705830</v>
      </c>
      <c r="B570" s="9" t="s">
        <v>1558</v>
      </c>
      <c r="C570" s="10" t="s">
        <v>15</v>
      </c>
      <c r="D570" s="11">
        <v>46063</v>
      </c>
      <c r="E570" s="9" t="s">
        <v>31</v>
      </c>
      <c r="F570" s="9">
        <v>52104</v>
      </c>
      <c r="G570" s="9" t="s">
        <v>17</v>
      </c>
      <c r="H570" s="9" t="s">
        <v>18</v>
      </c>
      <c r="J570" s="9" t="s">
        <v>19</v>
      </c>
      <c r="K570" s="9" t="s">
        <v>1368</v>
      </c>
      <c r="L570" s="9" t="s">
        <v>20</v>
      </c>
      <c r="M570" s="9" t="s">
        <v>1632</v>
      </c>
      <c r="N570" s="9" t="str">
        <f t="shared" si="8"/>
        <v>THIAGO MARCOS</v>
      </c>
    </row>
    <row r="571" spans="1:14" x14ac:dyDescent="0.3">
      <c r="A571" s="9">
        <v>705744</v>
      </c>
      <c r="B571" s="9" t="s">
        <v>551</v>
      </c>
      <c r="C571" s="10" t="s">
        <v>15</v>
      </c>
      <c r="D571" s="11">
        <v>45993</v>
      </c>
      <c r="E571" s="9" t="s">
        <v>31</v>
      </c>
      <c r="F571" s="9">
        <v>22102</v>
      </c>
      <c r="G571" s="9" t="s">
        <v>68</v>
      </c>
      <c r="H571" s="9" t="s">
        <v>18</v>
      </c>
      <c r="J571" s="9" t="s">
        <v>81</v>
      </c>
      <c r="K571" s="9" t="s">
        <v>1371</v>
      </c>
      <c r="L571" s="9" t="s">
        <v>1509</v>
      </c>
      <c r="M571" s="9" t="s">
        <v>1379</v>
      </c>
      <c r="N571" s="9" t="str">
        <f t="shared" si="8"/>
        <v xml:space="preserve">EDSON/MARCELO LIMA </v>
      </c>
    </row>
    <row r="572" spans="1:14" x14ac:dyDescent="0.3">
      <c r="A572" s="9">
        <v>705829</v>
      </c>
      <c r="B572" s="9" t="s">
        <v>1559</v>
      </c>
      <c r="C572" s="10" t="s">
        <v>15</v>
      </c>
      <c r="D572" s="11">
        <v>46063</v>
      </c>
      <c r="E572" s="9" t="s">
        <v>31</v>
      </c>
      <c r="F572" s="9">
        <v>52104</v>
      </c>
      <c r="G572" s="9" t="s">
        <v>17</v>
      </c>
      <c r="H572" s="9" t="s">
        <v>18</v>
      </c>
      <c r="J572" s="9" t="s">
        <v>19</v>
      </c>
      <c r="K572" s="9" t="s">
        <v>1368</v>
      </c>
      <c r="L572" s="9" t="s">
        <v>20</v>
      </c>
      <c r="M572" s="9" t="s">
        <v>1632</v>
      </c>
      <c r="N572" s="9" t="str">
        <f t="shared" si="8"/>
        <v>THIAGO MARCOS</v>
      </c>
    </row>
    <row r="573" spans="1:14" x14ac:dyDescent="0.3">
      <c r="A573" s="9">
        <v>705584</v>
      </c>
      <c r="B573" s="9" t="s">
        <v>1327</v>
      </c>
      <c r="C573" s="10" t="s">
        <v>15</v>
      </c>
      <c r="D573" s="11">
        <v>45881</v>
      </c>
      <c r="E573" s="9" t="s">
        <v>31</v>
      </c>
      <c r="F573" s="9">
        <v>52104</v>
      </c>
      <c r="G573" s="9" t="s">
        <v>17</v>
      </c>
      <c r="H573" s="9" t="s">
        <v>18</v>
      </c>
      <c r="J573" s="9" t="s">
        <v>19</v>
      </c>
      <c r="K573" s="9" t="s">
        <v>1368</v>
      </c>
      <c r="L573" s="9" t="s">
        <v>20</v>
      </c>
      <c r="M573" s="9" t="s">
        <v>1632</v>
      </c>
      <c r="N573" s="9" t="str">
        <f t="shared" si="8"/>
        <v>THIAGO MARCOS</v>
      </c>
    </row>
    <row r="574" spans="1:14" x14ac:dyDescent="0.3">
      <c r="A574" s="9">
        <v>704572</v>
      </c>
      <c r="B574" s="9" t="s">
        <v>552</v>
      </c>
      <c r="C574" s="10" t="s">
        <v>15</v>
      </c>
      <c r="D574" s="11">
        <v>45448</v>
      </c>
      <c r="E574" s="9" t="s">
        <v>31</v>
      </c>
      <c r="F574" s="9">
        <v>52104</v>
      </c>
      <c r="G574" s="9" t="s">
        <v>17</v>
      </c>
      <c r="H574" s="9" t="s">
        <v>18</v>
      </c>
      <c r="J574" s="9" t="s">
        <v>19</v>
      </c>
      <c r="K574" s="9" t="s">
        <v>1368</v>
      </c>
      <c r="L574" s="9" t="s">
        <v>20</v>
      </c>
      <c r="M574" s="9" t="s">
        <v>1632</v>
      </c>
      <c r="N574" s="9" t="str">
        <f t="shared" si="8"/>
        <v>THIAGO MARCOS</v>
      </c>
    </row>
    <row r="575" spans="1:14" x14ac:dyDescent="0.3">
      <c r="A575" s="9">
        <v>77013479</v>
      </c>
      <c r="B575" s="9" t="s">
        <v>1691</v>
      </c>
      <c r="C575" s="10" t="s">
        <v>15</v>
      </c>
      <c r="D575" s="11">
        <v>46119</v>
      </c>
      <c r="E575" s="9" t="s">
        <v>77</v>
      </c>
      <c r="F575" s="9">
        <v>38107</v>
      </c>
      <c r="G575" s="9" t="s">
        <v>1503</v>
      </c>
      <c r="H575" s="9" t="s">
        <v>18</v>
      </c>
      <c r="J575" s="9" t="s">
        <v>78</v>
      </c>
      <c r="K575" s="9" t="s">
        <v>1372</v>
      </c>
      <c r="N575" s="9" t="str">
        <f t="shared" si="8"/>
        <v xml:space="preserve">LEIDJANE MARTINS </v>
      </c>
    </row>
    <row r="576" spans="1:14" x14ac:dyDescent="0.3">
      <c r="A576" s="9">
        <v>705710</v>
      </c>
      <c r="B576" s="9" t="s">
        <v>1106</v>
      </c>
      <c r="C576" s="10" t="s">
        <v>15</v>
      </c>
      <c r="D576" s="11">
        <v>45971</v>
      </c>
      <c r="E576" s="9" t="s">
        <v>31</v>
      </c>
      <c r="F576" s="9">
        <v>22102</v>
      </c>
      <c r="G576" s="9" t="s">
        <v>68</v>
      </c>
      <c r="H576" s="9" t="s">
        <v>18</v>
      </c>
      <c r="J576" s="9" t="s">
        <v>81</v>
      </c>
      <c r="K576" s="9" t="s">
        <v>1371</v>
      </c>
      <c r="L576" s="9" t="s">
        <v>1509</v>
      </c>
      <c r="M576" s="9" t="s">
        <v>1379</v>
      </c>
      <c r="N576" s="9" t="str">
        <f t="shared" si="8"/>
        <v xml:space="preserve">EDSON/MARCELO LIMA </v>
      </c>
    </row>
    <row r="577" spans="1:14" x14ac:dyDescent="0.3">
      <c r="A577" s="9">
        <v>705831</v>
      </c>
      <c r="B577" s="9" t="s">
        <v>1560</v>
      </c>
      <c r="C577" s="10" t="s">
        <v>15</v>
      </c>
      <c r="D577" s="11">
        <v>46063</v>
      </c>
      <c r="E577" s="9" t="s">
        <v>31</v>
      </c>
      <c r="F577" s="9">
        <v>52104</v>
      </c>
      <c r="G577" s="9" t="s">
        <v>17</v>
      </c>
      <c r="H577" s="9" t="s">
        <v>18</v>
      </c>
      <c r="J577" s="9" t="s">
        <v>19</v>
      </c>
      <c r="K577" s="9" t="s">
        <v>1368</v>
      </c>
      <c r="L577" s="9" t="s">
        <v>20</v>
      </c>
      <c r="M577" s="9" t="s">
        <v>1632</v>
      </c>
      <c r="N577" s="9" t="str">
        <f t="shared" si="8"/>
        <v>THIAGO MARCOS</v>
      </c>
    </row>
    <row r="578" spans="1:14" x14ac:dyDescent="0.3">
      <c r="A578" s="9">
        <v>702870</v>
      </c>
      <c r="B578" s="9" t="s">
        <v>554</v>
      </c>
      <c r="C578" s="10" t="s">
        <v>15</v>
      </c>
      <c r="D578" s="11">
        <v>44635</v>
      </c>
      <c r="E578" s="9" t="s">
        <v>294</v>
      </c>
      <c r="F578" s="9">
        <v>34202</v>
      </c>
      <c r="G578" s="9" t="s">
        <v>385</v>
      </c>
      <c r="H578" s="9" t="s">
        <v>18</v>
      </c>
      <c r="J578" s="9" t="s">
        <v>123</v>
      </c>
      <c r="K578" s="9" t="s">
        <v>124</v>
      </c>
      <c r="N578" s="9" t="str">
        <f t="shared" si="8"/>
        <v>MATHEUS FERNANDES</v>
      </c>
    </row>
    <row r="579" spans="1:14" x14ac:dyDescent="0.3">
      <c r="A579" s="9">
        <v>705120</v>
      </c>
      <c r="B579" s="9" t="s">
        <v>556</v>
      </c>
      <c r="C579" s="10" t="s">
        <v>15</v>
      </c>
      <c r="D579" s="11">
        <v>45678</v>
      </c>
      <c r="E579" s="9" t="s">
        <v>418</v>
      </c>
      <c r="F579" s="9">
        <v>39301</v>
      </c>
      <c r="G579" s="9" t="s">
        <v>73</v>
      </c>
      <c r="H579" s="9" t="s">
        <v>18</v>
      </c>
      <c r="J579" s="9" t="s">
        <v>74</v>
      </c>
      <c r="K579" s="9" t="s">
        <v>1371</v>
      </c>
      <c r="L579" s="9" t="s">
        <v>1376</v>
      </c>
      <c r="M579" s="9" t="s">
        <v>75</v>
      </c>
      <c r="N579" s="9" t="str">
        <f t="shared" ref="N579:N642" si="9">IF(M579&lt;&gt;"", M579, IF(L579&lt;&gt;"", L579, K579))</f>
        <v>ISAC NONATO</v>
      </c>
    </row>
    <row r="580" spans="1:14" x14ac:dyDescent="0.3">
      <c r="A580" s="9">
        <v>704175</v>
      </c>
      <c r="B580" s="9" t="s">
        <v>557</v>
      </c>
      <c r="C580" s="10" t="s">
        <v>15</v>
      </c>
      <c r="D580" s="11">
        <v>45272</v>
      </c>
      <c r="E580" s="9" t="s">
        <v>80</v>
      </c>
      <c r="F580" s="9">
        <v>22102</v>
      </c>
      <c r="G580" s="9" t="s">
        <v>68</v>
      </c>
      <c r="H580" s="9" t="s">
        <v>18</v>
      </c>
      <c r="J580" s="9" t="s">
        <v>81</v>
      </c>
      <c r="K580" s="9" t="s">
        <v>1371</v>
      </c>
      <c r="L580" s="9" t="s">
        <v>1509</v>
      </c>
      <c r="M580" s="9" t="s">
        <v>1379</v>
      </c>
      <c r="N580" s="9" t="str">
        <f t="shared" si="9"/>
        <v xml:space="preserve">EDSON/MARCELO LIMA </v>
      </c>
    </row>
    <row r="581" spans="1:14" x14ac:dyDescent="0.3">
      <c r="A581" s="9">
        <v>705920</v>
      </c>
      <c r="B581" s="9" t="s">
        <v>1623</v>
      </c>
      <c r="C581" s="10" t="s">
        <v>15</v>
      </c>
      <c r="D581" s="11">
        <v>46091</v>
      </c>
      <c r="E581" s="9" t="s">
        <v>31</v>
      </c>
      <c r="F581" s="9">
        <v>52104</v>
      </c>
      <c r="G581" s="9" t="s">
        <v>17</v>
      </c>
      <c r="H581" s="9" t="s">
        <v>18</v>
      </c>
      <c r="J581" s="9" t="s">
        <v>19</v>
      </c>
      <c r="K581" s="9" t="s">
        <v>1368</v>
      </c>
      <c r="L581" s="9" t="s">
        <v>20</v>
      </c>
      <c r="M581" s="9" t="s">
        <v>1632</v>
      </c>
      <c r="N581" s="9" t="str">
        <f t="shared" si="9"/>
        <v>THIAGO MARCOS</v>
      </c>
    </row>
    <row r="582" spans="1:14" x14ac:dyDescent="0.3">
      <c r="A582" s="9">
        <v>703146</v>
      </c>
      <c r="B582" s="9" t="s">
        <v>558</v>
      </c>
      <c r="C582" s="10" t="s">
        <v>15</v>
      </c>
      <c r="D582" s="11">
        <v>44718</v>
      </c>
      <c r="E582" s="9" t="s">
        <v>199</v>
      </c>
      <c r="F582" s="9">
        <v>22102</v>
      </c>
      <c r="G582" s="9" t="s">
        <v>68</v>
      </c>
      <c r="H582" s="9" t="s">
        <v>18</v>
      </c>
      <c r="J582" s="9" t="s">
        <v>1674</v>
      </c>
      <c r="K582" s="9" t="s">
        <v>1371</v>
      </c>
      <c r="L582" s="9" t="s">
        <v>1378</v>
      </c>
      <c r="N582" s="9" t="str">
        <f t="shared" si="9"/>
        <v xml:space="preserve">JOÃO KOMURA </v>
      </c>
    </row>
    <row r="583" spans="1:14" x14ac:dyDescent="0.3">
      <c r="A583" s="9">
        <v>700402</v>
      </c>
      <c r="B583" s="9" t="s">
        <v>559</v>
      </c>
      <c r="C583" s="10" t="s">
        <v>15</v>
      </c>
      <c r="D583" s="11">
        <v>43318</v>
      </c>
      <c r="E583" s="9" t="s">
        <v>1360</v>
      </c>
      <c r="F583" s="9">
        <v>39302</v>
      </c>
      <c r="G583" s="9" t="s">
        <v>102</v>
      </c>
      <c r="H583" s="9" t="s">
        <v>18</v>
      </c>
      <c r="J583" s="9" t="s">
        <v>1652</v>
      </c>
      <c r="K583" s="9" t="s">
        <v>1371</v>
      </c>
      <c r="L583" s="9" t="s">
        <v>1376</v>
      </c>
      <c r="N583" s="9" t="str">
        <f t="shared" si="9"/>
        <v>ALDAIR BORGES</v>
      </c>
    </row>
    <row r="584" spans="1:14" x14ac:dyDescent="0.3">
      <c r="A584" s="9">
        <v>702404</v>
      </c>
      <c r="B584" s="9" t="s">
        <v>560</v>
      </c>
      <c r="C584" s="10" t="s">
        <v>15</v>
      </c>
      <c r="D584" s="11">
        <v>44383</v>
      </c>
      <c r="E584" s="9" t="s">
        <v>83</v>
      </c>
      <c r="F584" s="9">
        <v>34201</v>
      </c>
      <c r="G584" s="9" t="s">
        <v>84</v>
      </c>
      <c r="H584" s="9" t="s">
        <v>18</v>
      </c>
      <c r="J584" s="9" t="s">
        <v>85</v>
      </c>
      <c r="K584" s="9" t="s">
        <v>1371</v>
      </c>
      <c r="L584" s="9" t="s">
        <v>1380</v>
      </c>
      <c r="M584" s="9" t="s">
        <v>1380</v>
      </c>
      <c r="N584" s="9" t="str">
        <f t="shared" si="9"/>
        <v xml:space="preserve">LEONARDO SANTOS </v>
      </c>
    </row>
    <row r="585" spans="1:14" x14ac:dyDescent="0.3">
      <c r="A585" s="9">
        <v>701090</v>
      </c>
      <c r="B585" s="9" t="s">
        <v>561</v>
      </c>
      <c r="C585" s="10" t="s">
        <v>15</v>
      </c>
      <c r="D585" s="11">
        <v>43626</v>
      </c>
      <c r="E585" s="9" t="s">
        <v>127</v>
      </c>
      <c r="F585" s="9">
        <v>22102</v>
      </c>
      <c r="G585" s="9" t="s">
        <v>68</v>
      </c>
      <c r="H585" s="9" t="s">
        <v>18</v>
      </c>
      <c r="J585" s="9" t="s">
        <v>81</v>
      </c>
      <c r="K585" s="9" t="s">
        <v>1371</v>
      </c>
      <c r="L585" s="9" t="s">
        <v>1509</v>
      </c>
      <c r="M585" s="9" t="s">
        <v>1379</v>
      </c>
      <c r="N585" s="9" t="str">
        <f t="shared" si="9"/>
        <v xml:space="preserve">EDSON/MARCELO LIMA </v>
      </c>
    </row>
    <row r="586" spans="1:14" x14ac:dyDescent="0.3">
      <c r="A586" s="9">
        <v>705014</v>
      </c>
      <c r="B586" s="9" t="s">
        <v>562</v>
      </c>
      <c r="C586" s="10" t="s">
        <v>15</v>
      </c>
      <c r="D586" s="11">
        <v>45635</v>
      </c>
      <c r="E586" s="9" t="s">
        <v>93</v>
      </c>
      <c r="F586" s="9">
        <v>34201</v>
      </c>
      <c r="G586" s="9" t="s">
        <v>84</v>
      </c>
      <c r="H586" s="9" t="s">
        <v>18</v>
      </c>
      <c r="J586" s="9" t="s">
        <v>85</v>
      </c>
      <c r="K586" s="9" t="s">
        <v>1371</v>
      </c>
      <c r="L586" s="9" t="s">
        <v>1380</v>
      </c>
      <c r="M586" s="9" t="s">
        <v>1380</v>
      </c>
      <c r="N586" s="9" t="str">
        <f t="shared" si="9"/>
        <v xml:space="preserve">LEONARDO SANTOS </v>
      </c>
    </row>
    <row r="587" spans="1:14" x14ac:dyDescent="0.3">
      <c r="A587" s="9">
        <v>702813</v>
      </c>
      <c r="B587" s="9" t="s">
        <v>563</v>
      </c>
      <c r="C587" s="10" t="s">
        <v>15</v>
      </c>
      <c r="D587" s="11">
        <v>44613</v>
      </c>
      <c r="E587" s="9" t="s">
        <v>138</v>
      </c>
      <c r="F587" s="9">
        <v>52104</v>
      </c>
      <c r="G587" s="9" t="s">
        <v>17</v>
      </c>
      <c r="H587" s="9" t="s">
        <v>18</v>
      </c>
      <c r="J587" s="9" t="s">
        <v>19</v>
      </c>
      <c r="K587" s="9" t="s">
        <v>1368</v>
      </c>
      <c r="L587" s="9" t="s">
        <v>20</v>
      </c>
      <c r="M587" s="9" t="s">
        <v>1632</v>
      </c>
      <c r="N587" s="9" t="str">
        <f t="shared" si="9"/>
        <v>THIAGO MARCOS</v>
      </c>
    </row>
    <row r="588" spans="1:14" x14ac:dyDescent="0.3">
      <c r="A588" s="9">
        <v>705128</v>
      </c>
      <c r="B588" s="9" t="s">
        <v>1145</v>
      </c>
      <c r="C588" s="10" t="s">
        <v>15</v>
      </c>
      <c r="D588" s="11">
        <v>45698</v>
      </c>
      <c r="E588" s="9" t="s">
        <v>93</v>
      </c>
      <c r="F588" s="9">
        <v>22102</v>
      </c>
      <c r="G588" s="9" t="s">
        <v>68</v>
      </c>
      <c r="H588" s="9" t="s">
        <v>18</v>
      </c>
      <c r="J588" s="9" t="s">
        <v>94</v>
      </c>
      <c r="K588" s="9" t="s">
        <v>1371</v>
      </c>
      <c r="L588" s="9" t="s">
        <v>1378</v>
      </c>
      <c r="M588" s="9" t="s">
        <v>95</v>
      </c>
      <c r="N588" s="9" t="str">
        <f t="shared" si="9"/>
        <v>LUAN ABADIA</v>
      </c>
    </row>
    <row r="589" spans="1:14" x14ac:dyDescent="0.3">
      <c r="A589" s="9">
        <v>703536</v>
      </c>
      <c r="B589" s="9" t="s">
        <v>564</v>
      </c>
      <c r="C589" s="10" t="s">
        <v>15</v>
      </c>
      <c r="D589" s="11">
        <v>44907</v>
      </c>
      <c r="E589" s="9" t="s">
        <v>188</v>
      </c>
      <c r="F589" s="9">
        <v>22102</v>
      </c>
      <c r="G589" s="9" t="s">
        <v>68</v>
      </c>
      <c r="H589" s="9" t="s">
        <v>18</v>
      </c>
      <c r="J589" s="9" t="s">
        <v>81</v>
      </c>
      <c r="K589" s="9" t="s">
        <v>1371</v>
      </c>
      <c r="L589" s="9" t="s">
        <v>1509</v>
      </c>
      <c r="M589" s="9" t="s">
        <v>1379</v>
      </c>
      <c r="N589" s="9" t="str">
        <f t="shared" si="9"/>
        <v xml:space="preserve">EDSON/MARCELO LIMA </v>
      </c>
    </row>
    <row r="590" spans="1:14" x14ac:dyDescent="0.3">
      <c r="A590" s="9">
        <v>703564</v>
      </c>
      <c r="B590" s="9" t="s">
        <v>565</v>
      </c>
      <c r="C590" s="10" t="s">
        <v>15</v>
      </c>
      <c r="D590" s="11">
        <v>44942</v>
      </c>
      <c r="E590" s="9" t="s">
        <v>97</v>
      </c>
      <c r="F590" s="9">
        <v>32101</v>
      </c>
      <c r="G590" s="9" t="s">
        <v>23</v>
      </c>
      <c r="H590" s="9" t="s">
        <v>18</v>
      </c>
      <c r="J590" s="9" t="s">
        <v>24</v>
      </c>
      <c r="K590" s="9" t="s">
        <v>25</v>
      </c>
      <c r="L590" s="9" t="s">
        <v>1369</v>
      </c>
      <c r="M590" s="9" t="s">
        <v>1370</v>
      </c>
      <c r="N590" s="9" t="str">
        <f t="shared" si="9"/>
        <v>JUNIO COSTA</v>
      </c>
    </row>
    <row r="591" spans="1:14" x14ac:dyDescent="0.3">
      <c r="A591" s="9">
        <v>703147</v>
      </c>
      <c r="B591" s="9" t="s">
        <v>566</v>
      </c>
      <c r="C591" s="10" t="s">
        <v>15</v>
      </c>
      <c r="D591" s="11">
        <v>44718</v>
      </c>
      <c r="E591" s="9" t="s">
        <v>71</v>
      </c>
      <c r="F591" s="9">
        <v>25201</v>
      </c>
      <c r="G591" s="9" t="s">
        <v>89</v>
      </c>
      <c r="H591" s="9" t="s">
        <v>18</v>
      </c>
      <c r="J591" s="9" t="s">
        <v>19</v>
      </c>
      <c r="K591" s="9" t="s">
        <v>1368</v>
      </c>
      <c r="L591" s="9" t="s">
        <v>20</v>
      </c>
      <c r="M591" s="9" t="s">
        <v>1632</v>
      </c>
      <c r="N591" s="9" t="str">
        <f t="shared" si="9"/>
        <v>THIAGO MARCOS</v>
      </c>
    </row>
    <row r="592" spans="1:14" x14ac:dyDescent="0.3">
      <c r="A592" s="9">
        <v>705787</v>
      </c>
      <c r="B592" s="9" t="s">
        <v>1533</v>
      </c>
      <c r="C592" s="10" t="s">
        <v>15</v>
      </c>
      <c r="D592" s="11">
        <v>46035</v>
      </c>
      <c r="E592" s="9" t="s">
        <v>31</v>
      </c>
      <c r="F592" s="9">
        <v>52104</v>
      </c>
      <c r="G592" s="9" t="s">
        <v>17</v>
      </c>
      <c r="H592" s="9" t="s">
        <v>18</v>
      </c>
      <c r="J592" s="9" t="s">
        <v>19</v>
      </c>
      <c r="K592" s="9" t="s">
        <v>1368</v>
      </c>
      <c r="L592" s="9" t="s">
        <v>20</v>
      </c>
      <c r="M592" s="9" t="s">
        <v>1632</v>
      </c>
      <c r="N592" s="9" t="str">
        <f t="shared" si="9"/>
        <v>THIAGO MARCOS</v>
      </c>
    </row>
    <row r="593" spans="1:14" x14ac:dyDescent="0.3">
      <c r="A593" s="9">
        <v>705392</v>
      </c>
      <c r="B593" s="9" t="s">
        <v>1272</v>
      </c>
      <c r="C593" s="10" t="s">
        <v>15</v>
      </c>
      <c r="D593" s="11">
        <v>45791</v>
      </c>
      <c r="E593" s="9" t="s">
        <v>22</v>
      </c>
      <c r="F593" s="9">
        <v>34101</v>
      </c>
      <c r="G593" s="9" t="s">
        <v>43</v>
      </c>
      <c r="H593" s="9" t="s">
        <v>18</v>
      </c>
      <c r="J593" s="9" t="s">
        <v>237</v>
      </c>
      <c r="K593" s="9" t="s">
        <v>25</v>
      </c>
      <c r="L593" s="9" t="s">
        <v>1384</v>
      </c>
      <c r="N593" s="9" t="str">
        <f t="shared" si="9"/>
        <v xml:space="preserve">MARCOS VINICIUS </v>
      </c>
    </row>
    <row r="594" spans="1:14" x14ac:dyDescent="0.3">
      <c r="A594" s="9">
        <v>705219</v>
      </c>
      <c r="B594" s="9" t="s">
        <v>1168</v>
      </c>
      <c r="C594" s="10" t="s">
        <v>15</v>
      </c>
      <c r="D594" s="11">
        <v>45734</v>
      </c>
      <c r="E594" s="9" t="s">
        <v>31</v>
      </c>
      <c r="F594" s="9">
        <v>22102</v>
      </c>
      <c r="G594" s="9" t="s">
        <v>68</v>
      </c>
      <c r="H594" s="9" t="s">
        <v>18</v>
      </c>
      <c r="J594" s="9" t="s">
        <v>167</v>
      </c>
      <c r="K594" s="9" t="s">
        <v>1371</v>
      </c>
      <c r="L594" s="9" t="s">
        <v>1509</v>
      </c>
      <c r="M594" s="9" t="s">
        <v>1636</v>
      </c>
      <c r="N594" s="9" t="str">
        <f t="shared" si="9"/>
        <v>FABIANO DIAS</v>
      </c>
    </row>
    <row r="595" spans="1:14" x14ac:dyDescent="0.3">
      <c r="A595" s="9">
        <v>704229</v>
      </c>
      <c r="B595" s="9" t="s">
        <v>568</v>
      </c>
      <c r="C595" s="10" t="s">
        <v>15</v>
      </c>
      <c r="D595" s="11">
        <v>45328</v>
      </c>
      <c r="E595" s="9" t="s">
        <v>230</v>
      </c>
      <c r="F595" s="9">
        <v>38101</v>
      </c>
      <c r="G595" s="9" t="s">
        <v>35</v>
      </c>
      <c r="H595" s="9" t="s">
        <v>18</v>
      </c>
      <c r="J595" s="9" t="s">
        <v>36</v>
      </c>
      <c r="K595" s="9" t="s">
        <v>1372</v>
      </c>
      <c r="L595" s="9" t="s">
        <v>1373</v>
      </c>
      <c r="M595" s="9" t="s">
        <v>1373</v>
      </c>
      <c r="N595" s="9" t="str">
        <f t="shared" si="9"/>
        <v>DENIS ACASSIO</v>
      </c>
    </row>
    <row r="596" spans="1:14" x14ac:dyDescent="0.3">
      <c r="A596" s="9">
        <v>705731</v>
      </c>
      <c r="B596" s="9" t="s">
        <v>1457</v>
      </c>
      <c r="C596" s="10" t="s">
        <v>15</v>
      </c>
      <c r="D596" s="11">
        <v>45972</v>
      </c>
      <c r="E596" s="9" t="s">
        <v>31</v>
      </c>
      <c r="F596" s="9">
        <v>52104</v>
      </c>
      <c r="G596" s="9" t="s">
        <v>17</v>
      </c>
      <c r="H596" s="9" t="s">
        <v>18</v>
      </c>
      <c r="J596" s="9" t="s">
        <v>19</v>
      </c>
      <c r="K596" s="9" t="s">
        <v>1368</v>
      </c>
      <c r="L596" s="9" t="s">
        <v>20</v>
      </c>
      <c r="M596" s="9" t="s">
        <v>1632</v>
      </c>
      <c r="N596" s="9" t="str">
        <f t="shared" si="9"/>
        <v>THIAGO MARCOS</v>
      </c>
    </row>
    <row r="597" spans="1:14" x14ac:dyDescent="0.3">
      <c r="A597" s="9">
        <v>705126</v>
      </c>
      <c r="B597" s="9" t="s">
        <v>1146</v>
      </c>
      <c r="C597" s="10" t="s">
        <v>15</v>
      </c>
      <c r="D597" s="11">
        <v>45698</v>
      </c>
      <c r="E597" s="9" t="s">
        <v>31</v>
      </c>
      <c r="F597" s="9">
        <v>22102</v>
      </c>
      <c r="G597" s="9" t="s">
        <v>68</v>
      </c>
      <c r="H597" s="9" t="s">
        <v>18</v>
      </c>
      <c r="J597" s="9" t="s">
        <v>94</v>
      </c>
      <c r="K597" s="9" t="s">
        <v>1371</v>
      </c>
      <c r="L597" s="9" t="s">
        <v>1378</v>
      </c>
      <c r="M597" s="9" t="s">
        <v>95</v>
      </c>
      <c r="N597" s="9" t="str">
        <f t="shared" si="9"/>
        <v>LUAN ABADIA</v>
      </c>
    </row>
    <row r="598" spans="1:14" x14ac:dyDescent="0.3">
      <c r="A598" s="9">
        <v>705370</v>
      </c>
      <c r="B598" s="9" t="s">
        <v>1233</v>
      </c>
      <c r="C598" s="10" t="s">
        <v>15</v>
      </c>
      <c r="D598" s="11">
        <v>45784</v>
      </c>
      <c r="E598" s="9" t="s">
        <v>166</v>
      </c>
      <c r="F598" s="9">
        <v>22102</v>
      </c>
      <c r="G598" s="9" t="s">
        <v>68</v>
      </c>
      <c r="H598" s="9" t="s">
        <v>18</v>
      </c>
      <c r="J598" s="9" t="s">
        <v>94</v>
      </c>
      <c r="K598" s="9" t="s">
        <v>1371</v>
      </c>
      <c r="L598" s="9" t="s">
        <v>1378</v>
      </c>
      <c r="M598" s="9" t="s">
        <v>95</v>
      </c>
      <c r="N598" s="9" t="str">
        <f t="shared" si="9"/>
        <v>LUAN ABADIA</v>
      </c>
    </row>
    <row r="599" spans="1:14" x14ac:dyDescent="0.3">
      <c r="A599" s="9">
        <v>703488</v>
      </c>
      <c r="B599" s="9" t="s">
        <v>569</v>
      </c>
      <c r="C599" s="10" t="s">
        <v>15</v>
      </c>
      <c r="D599" s="11">
        <v>44887</v>
      </c>
      <c r="E599" s="9" t="s">
        <v>31</v>
      </c>
      <c r="F599" s="9">
        <v>52104</v>
      </c>
      <c r="G599" s="9" t="s">
        <v>17</v>
      </c>
      <c r="H599" s="9" t="s">
        <v>18</v>
      </c>
      <c r="J599" s="9" t="s">
        <v>19</v>
      </c>
      <c r="K599" s="9" t="s">
        <v>1368</v>
      </c>
      <c r="L599" s="9" t="s">
        <v>20</v>
      </c>
      <c r="M599" s="9" t="s">
        <v>1632</v>
      </c>
      <c r="N599" s="9" t="str">
        <f t="shared" si="9"/>
        <v>THIAGO MARCOS</v>
      </c>
    </row>
    <row r="600" spans="1:14" x14ac:dyDescent="0.3">
      <c r="A600" s="9">
        <v>159</v>
      </c>
      <c r="B600" s="9" t="s">
        <v>570</v>
      </c>
      <c r="C600" s="10" t="s">
        <v>15</v>
      </c>
      <c r="D600" s="11">
        <v>45352</v>
      </c>
      <c r="E600" s="9" t="s">
        <v>276</v>
      </c>
      <c r="F600" s="9">
        <v>14101</v>
      </c>
      <c r="G600" s="9" t="s">
        <v>277</v>
      </c>
      <c r="H600" s="9" t="s">
        <v>571</v>
      </c>
      <c r="J600" s="9" t="s">
        <v>278</v>
      </c>
      <c r="K600" s="9" t="s">
        <v>1372</v>
      </c>
      <c r="N600" s="9" t="str">
        <f t="shared" si="9"/>
        <v xml:space="preserve">LEIDJANE MARTINS </v>
      </c>
    </row>
    <row r="601" spans="1:14" x14ac:dyDescent="0.3">
      <c r="A601" s="9">
        <v>132</v>
      </c>
      <c r="B601" s="9" t="s">
        <v>573</v>
      </c>
      <c r="C601" s="10" t="s">
        <v>15</v>
      </c>
      <c r="D601" s="11">
        <v>44718</v>
      </c>
      <c r="E601" s="9" t="s">
        <v>574</v>
      </c>
      <c r="F601" s="9">
        <v>17101</v>
      </c>
      <c r="G601" s="9" t="s">
        <v>575</v>
      </c>
      <c r="H601" s="9" t="s">
        <v>571</v>
      </c>
      <c r="J601" s="9" t="s">
        <v>576</v>
      </c>
      <c r="K601" s="9" t="s">
        <v>577</v>
      </c>
      <c r="N601" s="9" t="str">
        <f t="shared" si="9"/>
        <v>RAFAEL NETTO</v>
      </c>
    </row>
    <row r="602" spans="1:14" x14ac:dyDescent="0.3">
      <c r="A602" s="9">
        <v>92</v>
      </c>
      <c r="B602" s="9" t="s">
        <v>50</v>
      </c>
      <c r="C602" s="10" t="s">
        <v>15</v>
      </c>
      <c r="D602" s="11">
        <v>42772</v>
      </c>
      <c r="E602" s="9" t="s">
        <v>578</v>
      </c>
      <c r="F602" s="9">
        <v>12101</v>
      </c>
      <c r="G602" s="9" t="s">
        <v>579</v>
      </c>
      <c r="H602" s="9" t="s">
        <v>571</v>
      </c>
      <c r="J602" s="9" t="s">
        <v>1692</v>
      </c>
      <c r="K602" s="9" t="s">
        <v>581</v>
      </c>
      <c r="N602" s="9" t="str">
        <f t="shared" si="9"/>
        <v>RENAN ROVAI</v>
      </c>
    </row>
    <row r="603" spans="1:14" x14ac:dyDescent="0.3">
      <c r="A603" s="9">
        <v>157</v>
      </c>
      <c r="B603" s="9" t="s">
        <v>582</v>
      </c>
      <c r="C603" s="10" t="s">
        <v>15</v>
      </c>
      <c r="D603" s="11">
        <v>45355</v>
      </c>
      <c r="E603" s="9" t="s">
        <v>1234</v>
      </c>
      <c r="F603" s="9">
        <v>12104</v>
      </c>
      <c r="G603" s="9" t="s">
        <v>583</v>
      </c>
      <c r="H603" s="9" t="s">
        <v>571</v>
      </c>
      <c r="J603" s="9" t="s">
        <v>584</v>
      </c>
      <c r="K603" s="9" t="s">
        <v>585</v>
      </c>
      <c r="N603" s="9" t="str">
        <f t="shared" si="9"/>
        <v>RAFAEL PREVELATO</v>
      </c>
    </row>
    <row r="604" spans="1:14" x14ac:dyDescent="0.3">
      <c r="A604" s="9">
        <v>139</v>
      </c>
      <c r="B604" s="9" t="s">
        <v>586</v>
      </c>
      <c r="C604" s="10" t="s">
        <v>15</v>
      </c>
      <c r="D604" s="11">
        <v>44927</v>
      </c>
      <c r="E604" s="9" t="s">
        <v>587</v>
      </c>
      <c r="F604" s="9">
        <v>17101</v>
      </c>
      <c r="G604" s="9" t="s">
        <v>575</v>
      </c>
      <c r="H604" s="9" t="s">
        <v>571</v>
      </c>
      <c r="J604" s="9" t="s">
        <v>576</v>
      </c>
      <c r="K604" s="9" t="s">
        <v>577</v>
      </c>
      <c r="N604" s="9" t="str">
        <f t="shared" si="9"/>
        <v>RAFAEL NETTO</v>
      </c>
    </row>
    <row r="605" spans="1:14" x14ac:dyDescent="0.3">
      <c r="A605" s="9">
        <v>152</v>
      </c>
      <c r="B605" s="9" t="s">
        <v>588</v>
      </c>
      <c r="C605" s="10" t="s">
        <v>15</v>
      </c>
      <c r="D605" s="11">
        <v>45145</v>
      </c>
      <c r="E605" s="9" t="s">
        <v>589</v>
      </c>
      <c r="F605" s="9">
        <v>12106</v>
      </c>
      <c r="G605" s="9" t="s">
        <v>590</v>
      </c>
      <c r="H605" s="9" t="s">
        <v>571</v>
      </c>
      <c r="J605" s="9" t="s">
        <v>591</v>
      </c>
      <c r="K605" s="9" t="s">
        <v>592</v>
      </c>
      <c r="N605" s="9" t="str">
        <f t="shared" si="9"/>
        <v>THALITA SABINA</v>
      </c>
    </row>
    <row r="606" spans="1:14" x14ac:dyDescent="0.3">
      <c r="A606" s="9">
        <v>702550</v>
      </c>
      <c r="B606" s="9" t="s">
        <v>593</v>
      </c>
      <c r="C606" s="10" t="s">
        <v>15</v>
      </c>
      <c r="D606" s="11">
        <v>44452</v>
      </c>
      <c r="E606" s="9" t="s">
        <v>594</v>
      </c>
      <c r="F606" s="9">
        <v>11101</v>
      </c>
      <c r="G606" s="9" t="s">
        <v>595</v>
      </c>
      <c r="H606" s="9" t="s">
        <v>571</v>
      </c>
      <c r="J606" s="9" t="s">
        <v>197</v>
      </c>
      <c r="K606" s="9" t="s">
        <v>597</v>
      </c>
      <c r="N606" s="9" t="str">
        <f t="shared" si="9"/>
        <v>MIGUEL PRADO</v>
      </c>
    </row>
    <row r="607" spans="1:14" x14ac:dyDescent="0.3">
      <c r="A607" s="9">
        <v>21</v>
      </c>
      <c r="B607" s="9" t="s">
        <v>598</v>
      </c>
      <c r="C607" s="10" t="s">
        <v>15</v>
      </c>
      <c r="D607" s="11">
        <v>40708</v>
      </c>
      <c r="E607" s="9" t="s">
        <v>599</v>
      </c>
      <c r="F607" s="9">
        <v>12107</v>
      </c>
      <c r="G607" s="9" t="s">
        <v>600</v>
      </c>
      <c r="H607" s="9" t="s">
        <v>571</v>
      </c>
      <c r="J607" s="9" t="s">
        <v>601</v>
      </c>
      <c r="K607" s="9" t="s">
        <v>592</v>
      </c>
      <c r="N607" s="9" t="str">
        <f t="shared" si="9"/>
        <v>THALITA SABINA</v>
      </c>
    </row>
    <row r="608" spans="1:14" x14ac:dyDescent="0.3">
      <c r="A608" s="9">
        <v>115</v>
      </c>
      <c r="B608" s="9" t="s">
        <v>602</v>
      </c>
      <c r="C608" s="10" t="s">
        <v>15</v>
      </c>
      <c r="D608" s="11">
        <v>44361</v>
      </c>
      <c r="E608" s="9" t="s">
        <v>47</v>
      </c>
      <c r="F608" s="9">
        <v>35101</v>
      </c>
      <c r="G608" s="9" t="s">
        <v>48</v>
      </c>
      <c r="H608" s="9" t="s">
        <v>571</v>
      </c>
      <c r="J608" s="9" t="s">
        <v>49</v>
      </c>
      <c r="K608" s="9" t="s">
        <v>50</v>
      </c>
      <c r="L608" s="9" t="s">
        <v>1474</v>
      </c>
      <c r="N608" s="9" t="str">
        <f t="shared" si="9"/>
        <v>NICHOLLAS OLIVEIRA</v>
      </c>
    </row>
    <row r="609" spans="1:14" x14ac:dyDescent="0.3">
      <c r="A609" s="9">
        <v>177</v>
      </c>
      <c r="B609" s="9" t="s">
        <v>1561</v>
      </c>
      <c r="C609" s="10" t="s">
        <v>15</v>
      </c>
      <c r="D609" s="11">
        <v>46063</v>
      </c>
      <c r="E609" s="9" t="s">
        <v>603</v>
      </c>
      <c r="F609" s="9">
        <v>14105</v>
      </c>
      <c r="G609" s="9" t="s">
        <v>1442</v>
      </c>
      <c r="H609" s="9" t="s">
        <v>571</v>
      </c>
      <c r="J609" s="9" t="s">
        <v>607</v>
      </c>
      <c r="K609" s="9" t="s">
        <v>1386</v>
      </c>
      <c r="N609" s="9" t="str">
        <f t="shared" si="9"/>
        <v>JOÃO GORGULHO</v>
      </c>
    </row>
    <row r="610" spans="1:14" x14ac:dyDescent="0.3">
      <c r="A610" s="9">
        <v>173</v>
      </c>
      <c r="B610" s="9" t="s">
        <v>1458</v>
      </c>
      <c r="C610" s="10" t="s">
        <v>15</v>
      </c>
      <c r="D610" s="11">
        <v>45965</v>
      </c>
      <c r="E610" s="9" t="s">
        <v>1459</v>
      </c>
      <c r="F610" s="9">
        <v>12104</v>
      </c>
      <c r="G610" s="9" t="s">
        <v>583</v>
      </c>
      <c r="H610" s="9" t="s">
        <v>571</v>
      </c>
      <c r="J610" s="9" t="s">
        <v>584</v>
      </c>
      <c r="K610" s="9" t="s">
        <v>585</v>
      </c>
      <c r="N610" s="9" t="str">
        <f t="shared" si="9"/>
        <v>RAFAEL PREVELATO</v>
      </c>
    </row>
    <row r="611" spans="1:14" x14ac:dyDescent="0.3">
      <c r="A611" s="9">
        <v>82</v>
      </c>
      <c r="B611" s="9" t="s">
        <v>604</v>
      </c>
      <c r="C611" s="10" t="s">
        <v>15</v>
      </c>
      <c r="D611" s="11">
        <v>43052</v>
      </c>
      <c r="E611" s="9" t="s">
        <v>605</v>
      </c>
      <c r="F611" s="9">
        <v>14102</v>
      </c>
      <c r="G611" s="9" t="s">
        <v>606</v>
      </c>
      <c r="H611" s="9" t="s">
        <v>571</v>
      </c>
      <c r="J611" s="9" t="s">
        <v>1672</v>
      </c>
      <c r="K611" s="9" t="s">
        <v>132</v>
      </c>
      <c r="N611" s="9" t="str">
        <f t="shared" si="9"/>
        <v xml:space="preserve">GISELE NASCENTE </v>
      </c>
    </row>
    <row r="612" spans="1:14" x14ac:dyDescent="0.3">
      <c r="A612" s="9">
        <v>67</v>
      </c>
      <c r="B612" s="9" t="s">
        <v>608</v>
      </c>
      <c r="C612" s="10" t="s">
        <v>15</v>
      </c>
      <c r="D612" s="11">
        <v>42681</v>
      </c>
      <c r="E612" s="9" t="s">
        <v>609</v>
      </c>
      <c r="F612" s="9">
        <v>11101</v>
      </c>
      <c r="G612" s="9" t="s">
        <v>595</v>
      </c>
      <c r="H612" s="9" t="s">
        <v>571</v>
      </c>
      <c r="J612" s="9" t="s">
        <v>197</v>
      </c>
      <c r="K612" s="9" t="s">
        <v>597</v>
      </c>
      <c r="N612" s="9" t="str">
        <f t="shared" si="9"/>
        <v>MIGUEL PRADO</v>
      </c>
    </row>
    <row r="613" spans="1:14" x14ac:dyDescent="0.3">
      <c r="A613" s="9">
        <v>112</v>
      </c>
      <c r="B613" s="9" t="s">
        <v>611</v>
      </c>
      <c r="C613" s="10" t="s">
        <v>15</v>
      </c>
      <c r="D613" s="11">
        <v>44249</v>
      </c>
      <c r="E613" s="9" t="s">
        <v>1507</v>
      </c>
      <c r="F613" s="9">
        <v>35101</v>
      </c>
      <c r="G613" s="9" t="s">
        <v>48</v>
      </c>
      <c r="H613" s="9" t="s">
        <v>571</v>
      </c>
      <c r="J613" s="9" t="s">
        <v>49</v>
      </c>
      <c r="K613" s="9" t="s">
        <v>50</v>
      </c>
      <c r="L613" s="9" t="s">
        <v>1474</v>
      </c>
      <c r="N613" s="9" t="str">
        <f t="shared" si="9"/>
        <v>NICHOLLAS OLIVEIRA</v>
      </c>
    </row>
    <row r="614" spans="1:14" x14ac:dyDescent="0.3">
      <c r="A614" s="9">
        <v>174</v>
      </c>
      <c r="B614" s="9" t="s">
        <v>1460</v>
      </c>
      <c r="C614" s="10" t="s">
        <v>15</v>
      </c>
      <c r="D614" s="11">
        <v>45973</v>
      </c>
      <c r="E614" s="9" t="s">
        <v>77</v>
      </c>
      <c r="F614" s="9">
        <v>14105</v>
      </c>
      <c r="G614" s="9" t="s">
        <v>1442</v>
      </c>
      <c r="H614" s="9" t="s">
        <v>571</v>
      </c>
      <c r="J614" s="9" t="s">
        <v>49</v>
      </c>
      <c r="K614" s="9" t="s">
        <v>50</v>
      </c>
      <c r="L614" s="9" t="s">
        <v>1474</v>
      </c>
      <c r="N614" s="9" t="str">
        <f t="shared" si="9"/>
        <v>NICHOLLAS OLIVEIRA</v>
      </c>
    </row>
    <row r="615" spans="1:14" x14ac:dyDescent="0.3">
      <c r="A615" s="9">
        <v>161</v>
      </c>
      <c r="B615" s="9" t="s">
        <v>612</v>
      </c>
      <c r="C615" s="10" t="s">
        <v>15</v>
      </c>
      <c r="D615" s="11">
        <v>45446</v>
      </c>
      <c r="E615" s="9" t="s">
        <v>613</v>
      </c>
      <c r="F615" s="9">
        <v>12107</v>
      </c>
      <c r="G615" s="9" t="s">
        <v>600</v>
      </c>
      <c r="H615" s="9" t="s">
        <v>571</v>
      </c>
      <c r="J615" s="9" t="s">
        <v>601</v>
      </c>
      <c r="K615" s="9" t="s">
        <v>592</v>
      </c>
      <c r="N615" s="9" t="str">
        <f t="shared" si="9"/>
        <v>THALITA SABINA</v>
      </c>
    </row>
    <row r="616" spans="1:14" x14ac:dyDescent="0.3">
      <c r="A616" s="9">
        <v>120</v>
      </c>
      <c r="B616" s="9" t="s">
        <v>614</v>
      </c>
      <c r="C616" s="10" t="s">
        <v>15</v>
      </c>
      <c r="D616" s="11">
        <v>44447</v>
      </c>
      <c r="E616" s="9" t="s">
        <v>615</v>
      </c>
      <c r="F616" s="9">
        <v>12101</v>
      </c>
      <c r="G616" s="9" t="s">
        <v>579</v>
      </c>
      <c r="H616" s="9" t="s">
        <v>571</v>
      </c>
      <c r="J616" s="9" t="s">
        <v>1692</v>
      </c>
      <c r="K616" s="9" t="s">
        <v>581</v>
      </c>
      <c r="N616" s="9" t="str">
        <f t="shared" si="9"/>
        <v>RENAN ROVAI</v>
      </c>
    </row>
    <row r="617" spans="1:14" x14ac:dyDescent="0.3">
      <c r="A617" s="9">
        <v>155</v>
      </c>
      <c r="B617" s="9" t="s">
        <v>617</v>
      </c>
      <c r="C617" s="10" t="s">
        <v>15</v>
      </c>
      <c r="D617" s="11">
        <v>45341</v>
      </c>
      <c r="E617" s="9" t="s">
        <v>47</v>
      </c>
      <c r="F617" s="9">
        <v>35101</v>
      </c>
      <c r="G617" s="9" t="s">
        <v>48</v>
      </c>
      <c r="H617" s="9" t="s">
        <v>571</v>
      </c>
      <c r="J617" s="9" t="s">
        <v>49</v>
      </c>
      <c r="K617" s="9" t="s">
        <v>50</v>
      </c>
      <c r="L617" s="9" t="s">
        <v>1474</v>
      </c>
      <c r="N617" s="9" t="str">
        <f t="shared" si="9"/>
        <v>NICHOLLAS OLIVEIRA</v>
      </c>
    </row>
    <row r="618" spans="1:14" x14ac:dyDescent="0.3">
      <c r="A618" s="9">
        <v>178</v>
      </c>
      <c r="B618" s="9" t="s">
        <v>1562</v>
      </c>
      <c r="C618" s="10" t="s">
        <v>15</v>
      </c>
      <c r="D618" s="11">
        <v>46062</v>
      </c>
      <c r="E618" s="9" t="s">
        <v>618</v>
      </c>
      <c r="F618" s="9">
        <v>35101</v>
      </c>
      <c r="G618" s="9" t="s">
        <v>48</v>
      </c>
      <c r="H618" s="9" t="s">
        <v>571</v>
      </c>
      <c r="J618" s="9" t="s">
        <v>49</v>
      </c>
      <c r="K618" s="9" t="s">
        <v>50</v>
      </c>
      <c r="L618" s="9" t="s">
        <v>1474</v>
      </c>
      <c r="N618" s="9" t="str">
        <f t="shared" si="9"/>
        <v>NICHOLLAS OLIVEIRA</v>
      </c>
    </row>
    <row r="619" spans="1:14" x14ac:dyDescent="0.3">
      <c r="A619" s="9">
        <v>170</v>
      </c>
      <c r="B619" s="9" t="s">
        <v>619</v>
      </c>
      <c r="C619" s="10" t="s">
        <v>15</v>
      </c>
      <c r="D619" s="11">
        <v>45602</v>
      </c>
      <c r="E619" s="9" t="s">
        <v>620</v>
      </c>
      <c r="F619" s="9">
        <v>12106</v>
      </c>
      <c r="G619" s="9" t="s">
        <v>590</v>
      </c>
      <c r="H619" s="9" t="s">
        <v>571</v>
      </c>
      <c r="J619" s="9" t="s">
        <v>591</v>
      </c>
      <c r="K619" s="9" t="s">
        <v>592</v>
      </c>
      <c r="N619" s="9" t="str">
        <f t="shared" si="9"/>
        <v>THALITA SABINA</v>
      </c>
    </row>
    <row r="620" spans="1:14" x14ac:dyDescent="0.3">
      <c r="A620" s="9">
        <v>179</v>
      </c>
      <c r="B620" s="9" t="s">
        <v>1563</v>
      </c>
      <c r="C620" s="10" t="s">
        <v>15</v>
      </c>
      <c r="D620" s="11">
        <v>46062</v>
      </c>
      <c r="E620" s="9" t="s">
        <v>77</v>
      </c>
      <c r="F620" s="9">
        <v>14105</v>
      </c>
      <c r="G620" s="9" t="s">
        <v>1442</v>
      </c>
      <c r="H620" s="9" t="s">
        <v>571</v>
      </c>
      <c r="J620" s="9" t="s">
        <v>49</v>
      </c>
      <c r="K620" s="9" t="s">
        <v>50</v>
      </c>
      <c r="L620" s="9" t="s">
        <v>1474</v>
      </c>
      <c r="N620" s="9" t="str">
        <f t="shared" si="9"/>
        <v>NICHOLLAS OLIVEIRA</v>
      </c>
    </row>
    <row r="621" spans="1:14" x14ac:dyDescent="0.3">
      <c r="A621" s="9">
        <v>176</v>
      </c>
      <c r="B621" s="9" t="s">
        <v>621</v>
      </c>
      <c r="C621" s="10" t="s">
        <v>15</v>
      </c>
      <c r="D621" s="11">
        <v>46034</v>
      </c>
      <c r="E621" s="9" t="s">
        <v>653</v>
      </c>
      <c r="F621" s="9">
        <v>35101</v>
      </c>
      <c r="G621" s="9" t="s">
        <v>48</v>
      </c>
      <c r="H621" s="9" t="s">
        <v>571</v>
      </c>
      <c r="J621" s="9" t="s">
        <v>49</v>
      </c>
      <c r="K621" s="9" t="s">
        <v>50</v>
      </c>
      <c r="L621" s="9" t="s">
        <v>1474</v>
      </c>
      <c r="N621" s="9" t="str">
        <f t="shared" si="9"/>
        <v>NICHOLLAS OLIVEIRA</v>
      </c>
    </row>
    <row r="622" spans="1:14" x14ac:dyDescent="0.3">
      <c r="A622" s="9">
        <v>114</v>
      </c>
      <c r="B622" s="9" t="s">
        <v>622</v>
      </c>
      <c r="C622" s="10" t="s">
        <v>15</v>
      </c>
      <c r="D622" s="11">
        <v>44263</v>
      </c>
      <c r="E622" s="9" t="s">
        <v>613</v>
      </c>
      <c r="F622" s="9">
        <v>12107</v>
      </c>
      <c r="G622" s="9" t="s">
        <v>600</v>
      </c>
      <c r="H622" s="9" t="s">
        <v>571</v>
      </c>
      <c r="J622" s="9" t="s">
        <v>601</v>
      </c>
      <c r="K622" s="9" t="s">
        <v>592</v>
      </c>
      <c r="N622" s="9" t="str">
        <f t="shared" si="9"/>
        <v>THALITA SABINA</v>
      </c>
    </row>
    <row r="623" spans="1:14" x14ac:dyDescent="0.3">
      <c r="A623" s="9">
        <v>59</v>
      </c>
      <c r="B623" s="9" t="s">
        <v>623</v>
      </c>
      <c r="C623" s="10" t="s">
        <v>15</v>
      </c>
      <c r="D623" s="11">
        <v>42339</v>
      </c>
      <c r="E623" s="9" t="s">
        <v>624</v>
      </c>
      <c r="F623" s="9">
        <v>14101</v>
      </c>
      <c r="G623" s="9" t="s">
        <v>277</v>
      </c>
      <c r="H623" s="9" t="s">
        <v>571</v>
      </c>
      <c r="J623" s="9" t="s">
        <v>1672</v>
      </c>
      <c r="K623" s="9" t="s">
        <v>132</v>
      </c>
      <c r="N623" s="9" t="str">
        <f t="shared" si="9"/>
        <v xml:space="preserve">GISELE NASCENTE </v>
      </c>
    </row>
    <row r="624" spans="1:14" x14ac:dyDescent="0.3">
      <c r="A624" s="9">
        <v>55</v>
      </c>
      <c r="B624" s="9" t="s">
        <v>625</v>
      </c>
      <c r="C624" s="10" t="s">
        <v>15</v>
      </c>
      <c r="D624" s="11">
        <v>42303</v>
      </c>
      <c r="E624" s="9" t="s">
        <v>626</v>
      </c>
      <c r="F624" s="9">
        <v>15101</v>
      </c>
      <c r="G624" s="9" t="s">
        <v>447</v>
      </c>
      <c r="H624" s="9" t="s">
        <v>571</v>
      </c>
      <c r="J624" s="9" t="s">
        <v>627</v>
      </c>
      <c r="K624" s="9" t="s">
        <v>449</v>
      </c>
      <c r="N624" s="9" t="str">
        <f t="shared" si="9"/>
        <v xml:space="preserve">RAFAEL VIRGENS </v>
      </c>
    </row>
    <row r="625" spans="1:14" x14ac:dyDescent="0.3">
      <c r="A625" s="9">
        <v>1013</v>
      </c>
      <c r="B625" s="9" t="s">
        <v>628</v>
      </c>
      <c r="C625" s="10" t="s">
        <v>15</v>
      </c>
      <c r="D625" s="11">
        <v>44317</v>
      </c>
      <c r="E625" s="9" t="s">
        <v>629</v>
      </c>
      <c r="F625" s="9">
        <v>11101</v>
      </c>
      <c r="G625" s="9" t="s">
        <v>595</v>
      </c>
      <c r="H625" s="9" t="s">
        <v>571</v>
      </c>
      <c r="J625" s="9" t="s">
        <v>197</v>
      </c>
      <c r="K625" s="9" t="s">
        <v>597</v>
      </c>
      <c r="N625" s="9" t="str">
        <f t="shared" si="9"/>
        <v>MIGUEL PRADO</v>
      </c>
    </row>
    <row r="626" spans="1:14" x14ac:dyDescent="0.3">
      <c r="A626" s="9">
        <v>149</v>
      </c>
      <c r="B626" s="9" t="s">
        <v>631</v>
      </c>
      <c r="C626" s="10" t="s">
        <v>15</v>
      </c>
      <c r="D626" s="11">
        <v>45048</v>
      </c>
      <c r="E626" s="9" t="s">
        <v>632</v>
      </c>
      <c r="F626" s="9">
        <v>12103</v>
      </c>
      <c r="G626" s="9" t="s">
        <v>633</v>
      </c>
      <c r="H626" s="9" t="s">
        <v>571</v>
      </c>
      <c r="J626" s="9" t="s">
        <v>634</v>
      </c>
      <c r="K626" s="9" t="s">
        <v>585</v>
      </c>
      <c r="N626" s="9" t="str">
        <f t="shared" si="9"/>
        <v>RAFAEL PREVELATO</v>
      </c>
    </row>
    <row r="627" spans="1:14" x14ac:dyDescent="0.3">
      <c r="A627" s="9">
        <v>62</v>
      </c>
      <c r="B627" s="9" t="s">
        <v>635</v>
      </c>
      <c r="C627" s="10" t="s">
        <v>15</v>
      </c>
      <c r="D627" s="11">
        <v>42562</v>
      </c>
      <c r="E627" s="9" t="s">
        <v>636</v>
      </c>
      <c r="F627" s="9">
        <v>12103</v>
      </c>
      <c r="G627" s="9" t="s">
        <v>633</v>
      </c>
      <c r="H627" s="9" t="s">
        <v>571</v>
      </c>
      <c r="J627" s="9" t="s">
        <v>634</v>
      </c>
      <c r="K627" s="9" t="s">
        <v>585</v>
      </c>
      <c r="N627" s="9" t="str">
        <f t="shared" si="9"/>
        <v>RAFAEL PREVELATO</v>
      </c>
    </row>
    <row r="628" spans="1:14" x14ac:dyDescent="0.3">
      <c r="A628" s="9">
        <v>142</v>
      </c>
      <c r="B628" s="9" t="s">
        <v>637</v>
      </c>
      <c r="C628" s="10" t="s">
        <v>15</v>
      </c>
      <c r="D628" s="11">
        <v>44991</v>
      </c>
      <c r="E628" s="9" t="s">
        <v>1361</v>
      </c>
      <c r="F628" s="9">
        <v>35101</v>
      </c>
      <c r="G628" s="9" t="s">
        <v>48</v>
      </c>
      <c r="H628" s="9" t="s">
        <v>571</v>
      </c>
      <c r="J628" s="9" t="s">
        <v>1693</v>
      </c>
      <c r="K628" s="9" t="s">
        <v>50</v>
      </c>
      <c r="N628" s="9" t="str">
        <f t="shared" si="9"/>
        <v>ANDREZA LARDO</v>
      </c>
    </row>
    <row r="629" spans="1:14" x14ac:dyDescent="0.3">
      <c r="A629" s="9">
        <v>106</v>
      </c>
      <c r="B629" s="9" t="s">
        <v>638</v>
      </c>
      <c r="C629" s="10" t="s">
        <v>15</v>
      </c>
      <c r="D629" s="11">
        <v>43773</v>
      </c>
      <c r="E629" s="9" t="s">
        <v>639</v>
      </c>
      <c r="F629" s="9">
        <v>15101</v>
      </c>
      <c r="G629" s="9" t="s">
        <v>447</v>
      </c>
      <c r="H629" s="9" t="s">
        <v>571</v>
      </c>
      <c r="J629" s="9" t="s">
        <v>197</v>
      </c>
      <c r="K629" s="9" t="s">
        <v>597</v>
      </c>
      <c r="N629" s="9" t="str">
        <f t="shared" si="9"/>
        <v>MIGUEL PRADO</v>
      </c>
    </row>
    <row r="630" spans="1:14" x14ac:dyDescent="0.3">
      <c r="A630" s="9">
        <v>90</v>
      </c>
      <c r="B630" s="9" t="s">
        <v>640</v>
      </c>
      <c r="C630" s="10" t="s">
        <v>15</v>
      </c>
      <c r="D630" s="11">
        <v>43314</v>
      </c>
      <c r="E630" s="9" t="s">
        <v>641</v>
      </c>
      <c r="F630" s="9">
        <v>17101</v>
      </c>
      <c r="G630" s="9" t="s">
        <v>575</v>
      </c>
      <c r="H630" s="9" t="s">
        <v>571</v>
      </c>
      <c r="J630" s="9" t="s">
        <v>197</v>
      </c>
      <c r="K630" s="9" t="s">
        <v>597</v>
      </c>
      <c r="N630" s="9" t="str">
        <f t="shared" si="9"/>
        <v>MIGUEL PRADO</v>
      </c>
    </row>
    <row r="631" spans="1:14" x14ac:dyDescent="0.3">
      <c r="A631" s="9">
        <v>118</v>
      </c>
      <c r="B631" s="9" t="s">
        <v>585</v>
      </c>
      <c r="C631" s="10" t="s">
        <v>15</v>
      </c>
      <c r="D631" s="11">
        <v>44410</v>
      </c>
      <c r="E631" s="9" t="s">
        <v>642</v>
      </c>
      <c r="F631" s="9">
        <v>12101</v>
      </c>
      <c r="G631" s="9" t="s">
        <v>579</v>
      </c>
      <c r="H631" s="9" t="s">
        <v>571</v>
      </c>
      <c r="J631" s="9" t="s">
        <v>1692</v>
      </c>
      <c r="K631" s="9" t="s">
        <v>581</v>
      </c>
      <c r="N631" s="9" t="str">
        <f t="shared" si="9"/>
        <v>RENAN ROVAI</v>
      </c>
    </row>
    <row r="632" spans="1:14" x14ac:dyDescent="0.3">
      <c r="A632" s="9">
        <v>180</v>
      </c>
      <c r="B632" s="9" t="s">
        <v>1564</v>
      </c>
      <c r="C632" s="10" t="s">
        <v>15</v>
      </c>
      <c r="D632" s="11">
        <v>46071</v>
      </c>
      <c r="E632" s="9" t="s">
        <v>1565</v>
      </c>
      <c r="F632" s="9">
        <v>12106</v>
      </c>
      <c r="G632" s="9" t="s">
        <v>590</v>
      </c>
      <c r="H632" s="9" t="s">
        <v>571</v>
      </c>
      <c r="J632" s="9" t="s">
        <v>591</v>
      </c>
      <c r="K632" s="9" t="s">
        <v>592</v>
      </c>
      <c r="N632" s="9" t="str">
        <f t="shared" si="9"/>
        <v>THALITA SABINA</v>
      </c>
    </row>
    <row r="633" spans="1:14" x14ac:dyDescent="0.3">
      <c r="A633" s="9">
        <v>80</v>
      </c>
      <c r="B633" s="9" t="s">
        <v>644</v>
      </c>
      <c r="C633" s="10" t="s">
        <v>15</v>
      </c>
      <c r="D633" s="11">
        <v>43045</v>
      </c>
      <c r="E633" s="9" t="s">
        <v>645</v>
      </c>
      <c r="F633" s="9">
        <v>11101</v>
      </c>
      <c r="G633" s="9" t="s">
        <v>595</v>
      </c>
      <c r="H633" s="9" t="s">
        <v>571</v>
      </c>
      <c r="J633" s="9" t="s">
        <v>197</v>
      </c>
      <c r="K633" s="9" t="s">
        <v>597</v>
      </c>
      <c r="N633" s="9" t="str">
        <f t="shared" si="9"/>
        <v>MIGUEL PRADO</v>
      </c>
    </row>
    <row r="634" spans="1:14" x14ac:dyDescent="0.3">
      <c r="A634" s="9">
        <v>175</v>
      </c>
      <c r="B634" s="9" t="s">
        <v>647</v>
      </c>
      <c r="C634" s="10" t="s">
        <v>15</v>
      </c>
      <c r="D634" s="11">
        <v>46013</v>
      </c>
      <c r="E634" s="9" t="s">
        <v>603</v>
      </c>
      <c r="F634" s="9">
        <v>14105</v>
      </c>
      <c r="G634" s="9" t="s">
        <v>1442</v>
      </c>
      <c r="H634" s="9" t="s">
        <v>571</v>
      </c>
      <c r="J634" s="9" t="s">
        <v>634</v>
      </c>
      <c r="K634" s="9" t="s">
        <v>585</v>
      </c>
      <c r="N634" s="9" t="str">
        <f t="shared" si="9"/>
        <v>RAFAEL PREVELATO</v>
      </c>
    </row>
    <row r="635" spans="1:14" x14ac:dyDescent="0.3">
      <c r="A635" s="9">
        <v>109</v>
      </c>
      <c r="B635" s="9" t="s">
        <v>648</v>
      </c>
      <c r="C635" s="10" t="s">
        <v>15</v>
      </c>
      <c r="D635" s="11">
        <v>44228</v>
      </c>
      <c r="E635" s="9" t="s">
        <v>1534</v>
      </c>
      <c r="F635" s="9">
        <v>12101</v>
      </c>
      <c r="G635" s="9" t="s">
        <v>579</v>
      </c>
      <c r="H635" s="9" t="s">
        <v>571</v>
      </c>
      <c r="J635" s="9" t="s">
        <v>1692</v>
      </c>
      <c r="K635" s="9" t="s">
        <v>581</v>
      </c>
      <c r="N635" s="9" t="str">
        <f t="shared" si="9"/>
        <v>RENAN ROVAI</v>
      </c>
    </row>
    <row r="636" spans="1:14" x14ac:dyDescent="0.3">
      <c r="A636" s="9">
        <v>138</v>
      </c>
      <c r="B636" s="9" t="s">
        <v>650</v>
      </c>
      <c r="C636" s="10" t="s">
        <v>15</v>
      </c>
      <c r="D636" s="11">
        <v>44909</v>
      </c>
      <c r="E636" s="9" t="s">
        <v>651</v>
      </c>
      <c r="F636" s="9">
        <v>12105</v>
      </c>
      <c r="G636" s="9" t="s">
        <v>393</v>
      </c>
      <c r="H636" s="9" t="s">
        <v>571</v>
      </c>
      <c r="J636" s="9" t="s">
        <v>607</v>
      </c>
      <c r="K636" s="9" t="s">
        <v>1386</v>
      </c>
      <c r="N636" s="9" t="str">
        <f t="shared" si="9"/>
        <v>JOÃO GORGULHO</v>
      </c>
    </row>
    <row r="637" spans="1:14" x14ac:dyDescent="0.3">
      <c r="A637" s="9">
        <v>163</v>
      </c>
      <c r="B637" s="9" t="s">
        <v>652</v>
      </c>
      <c r="C637" s="10" t="s">
        <v>15</v>
      </c>
      <c r="D637" s="11">
        <v>45490</v>
      </c>
      <c r="E637" s="9" t="s">
        <v>618</v>
      </c>
      <c r="F637" s="9">
        <v>35101</v>
      </c>
      <c r="G637" s="9" t="s">
        <v>48</v>
      </c>
      <c r="H637" s="9" t="s">
        <v>571</v>
      </c>
      <c r="J637" s="9" t="s">
        <v>49</v>
      </c>
      <c r="K637" s="9" t="s">
        <v>50</v>
      </c>
      <c r="L637" s="9" t="s">
        <v>1474</v>
      </c>
      <c r="N637" s="9" t="str">
        <f t="shared" si="9"/>
        <v>NICHOLLAS OLIVEIRA</v>
      </c>
    </row>
    <row r="638" spans="1:14" x14ac:dyDescent="0.3">
      <c r="A638" s="9">
        <v>181</v>
      </c>
      <c r="B638" s="9" t="s">
        <v>1694</v>
      </c>
      <c r="C638" s="10" t="s">
        <v>15</v>
      </c>
      <c r="D638" s="11">
        <v>46134</v>
      </c>
      <c r="E638" s="9" t="s">
        <v>632</v>
      </c>
      <c r="F638" s="9">
        <v>12103</v>
      </c>
      <c r="G638" s="9" t="s">
        <v>633</v>
      </c>
      <c r="H638" s="9" t="s">
        <v>571</v>
      </c>
      <c r="J638" s="9" t="s">
        <v>634</v>
      </c>
      <c r="K638" s="9" t="s">
        <v>585</v>
      </c>
      <c r="N638" s="9" t="str">
        <f t="shared" si="9"/>
        <v>RAFAEL PREVELATO</v>
      </c>
    </row>
    <row r="639" spans="1:14" x14ac:dyDescent="0.3">
      <c r="A639" s="9">
        <v>151</v>
      </c>
      <c r="B639" s="9" t="s">
        <v>656</v>
      </c>
      <c r="C639" s="10" t="s">
        <v>15</v>
      </c>
      <c r="D639" s="11">
        <v>45048</v>
      </c>
      <c r="E639" s="9" t="s">
        <v>599</v>
      </c>
      <c r="F639" s="9">
        <v>12107</v>
      </c>
      <c r="G639" s="9" t="s">
        <v>600</v>
      </c>
      <c r="H639" s="9" t="s">
        <v>571</v>
      </c>
      <c r="J639" s="9" t="s">
        <v>601</v>
      </c>
      <c r="K639" s="9" t="s">
        <v>592</v>
      </c>
      <c r="N639" s="9" t="str">
        <f t="shared" si="9"/>
        <v>THALITA SABINA</v>
      </c>
    </row>
    <row r="640" spans="1:14" x14ac:dyDescent="0.3">
      <c r="A640" s="9">
        <v>105320</v>
      </c>
      <c r="B640" s="9" t="s">
        <v>658</v>
      </c>
      <c r="C640" s="10" t="s">
        <v>15</v>
      </c>
      <c r="D640" s="11">
        <v>42786</v>
      </c>
      <c r="E640" s="9" t="s">
        <v>245</v>
      </c>
      <c r="F640" s="9">
        <v>37101</v>
      </c>
      <c r="G640" s="9" t="s">
        <v>214</v>
      </c>
      <c r="H640" s="9" t="s">
        <v>657</v>
      </c>
      <c r="J640" s="9" t="s">
        <v>215</v>
      </c>
      <c r="K640" s="9" t="s">
        <v>216</v>
      </c>
      <c r="N640" s="9" t="str">
        <f t="shared" si="9"/>
        <v>CARSON NEVES</v>
      </c>
    </row>
    <row r="641" spans="1:14" x14ac:dyDescent="0.3">
      <c r="A641" s="9">
        <v>104845</v>
      </c>
      <c r="B641" s="9" t="s">
        <v>659</v>
      </c>
      <c r="C641" s="10" t="s">
        <v>15</v>
      </c>
      <c r="D641" s="11">
        <v>42324</v>
      </c>
      <c r="E641" s="9" t="s">
        <v>31</v>
      </c>
      <c r="F641" s="9">
        <v>38101</v>
      </c>
      <c r="G641" s="9" t="s">
        <v>35</v>
      </c>
      <c r="H641" s="9" t="s">
        <v>657</v>
      </c>
      <c r="J641" s="9" t="s">
        <v>36</v>
      </c>
      <c r="K641" s="9" t="s">
        <v>1372</v>
      </c>
      <c r="L641" s="9" t="s">
        <v>1373</v>
      </c>
      <c r="M641" s="9" t="s">
        <v>1373</v>
      </c>
      <c r="N641" s="9" t="str">
        <f t="shared" si="9"/>
        <v>DENIS ACASSIO</v>
      </c>
    </row>
    <row r="642" spans="1:14" x14ac:dyDescent="0.3">
      <c r="A642" s="9">
        <v>702547</v>
      </c>
      <c r="B642" s="9" t="s">
        <v>663</v>
      </c>
      <c r="C642" s="10" t="s">
        <v>15</v>
      </c>
      <c r="D642" s="11">
        <v>44452</v>
      </c>
      <c r="E642" s="9" t="s">
        <v>507</v>
      </c>
      <c r="F642" s="9">
        <v>24201</v>
      </c>
      <c r="G642" s="9" t="s">
        <v>664</v>
      </c>
      <c r="H642" s="9" t="s">
        <v>661</v>
      </c>
      <c r="J642" s="9" t="s">
        <v>665</v>
      </c>
      <c r="K642" s="9" t="s">
        <v>666</v>
      </c>
      <c r="L642" s="9" t="s">
        <v>258</v>
      </c>
      <c r="M642" s="9" t="s">
        <v>667</v>
      </c>
      <c r="N642" s="9" t="str">
        <f t="shared" si="9"/>
        <v>JOSIEL NEVES</v>
      </c>
    </row>
    <row r="643" spans="1:14" x14ac:dyDescent="0.3">
      <c r="A643" s="9">
        <v>703075</v>
      </c>
      <c r="B643" s="9" t="s">
        <v>668</v>
      </c>
      <c r="C643" s="10" t="s">
        <v>15</v>
      </c>
      <c r="D643" s="11">
        <v>44713</v>
      </c>
      <c r="E643" s="9" t="s">
        <v>31</v>
      </c>
      <c r="F643" s="9">
        <v>24102</v>
      </c>
      <c r="G643" s="9" t="s">
        <v>669</v>
      </c>
      <c r="H643" s="9" t="s">
        <v>661</v>
      </c>
      <c r="J643" s="9" t="s">
        <v>670</v>
      </c>
      <c r="K643" s="9" t="s">
        <v>666</v>
      </c>
      <c r="L643" s="9" t="s">
        <v>1388</v>
      </c>
      <c r="M643" s="9" t="s">
        <v>1637</v>
      </c>
      <c r="N643" s="9" t="str">
        <f t="shared" ref="N643:N706" si="10">IF(M643&lt;&gt;"", M643, IF(L643&lt;&gt;"", L643, K643))</f>
        <v>JUNIO TEIXEIRA /EDIVILSON</v>
      </c>
    </row>
    <row r="644" spans="1:14" x14ac:dyDescent="0.3">
      <c r="A644" s="9">
        <v>703681</v>
      </c>
      <c r="B644" s="9" t="s">
        <v>671</v>
      </c>
      <c r="C644" s="10" t="s">
        <v>15</v>
      </c>
      <c r="D644" s="11">
        <v>45019</v>
      </c>
      <c r="E644" s="9" t="s">
        <v>31</v>
      </c>
      <c r="F644" s="9">
        <v>24102</v>
      </c>
      <c r="G644" s="9" t="s">
        <v>669</v>
      </c>
      <c r="H644" s="9" t="s">
        <v>661</v>
      </c>
      <c r="J644" s="9" t="s">
        <v>672</v>
      </c>
      <c r="K644" s="9" t="s">
        <v>666</v>
      </c>
      <c r="L644" s="9" t="s">
        <v>1388</v>
      </c>
      <c r="M644" s="9" t="s">
        <v>1637</v>
      </c>
      <c r="N644" s="9" t="str">
        <f t="shared" si="10"/>
        <v>JUNIO TEIXEIRA /EDIVILSON</v>
      </c>
    </row>
    <row r="645" spans="1:14" x14ac:dyDescent="0.3">
      <c r="A645" s="9">
        <v>703726</v>
      </c>
      <c r="B645" s="9" t="s">
        <v>673</v>
      </c>
      <c r="C645" s="10" t="s">
        <v>15</v>
      </c>
      <c r="D645" s="11">
        <v>45026</v>
      </c>
      <c r="E645" s="9" t="s">
        <v>109</v>
      </c>
      <c r="F645" s="9">
        <v>32102</v>
      </c>
      <c r="G645" s="9" t="s">
        <v>674</v>
      </c>
      <c r="H645" s="9" t="s">
        <v>661</v>
      </c>
      <c r="J645" s="9" t="s">
        <v>675</v>
      </c>
      <c r="K645" s="9" t="s">
        <v>25</v>
      </c>
      <c r="L645" s="9" t="s">
        <v>1369</v>
      </c>
      <c r="M645" s="9" t="s">
        <v>1638</v>
      </c>
      <c r="N645" s="9" t="str">
        <f t="shared" si="10"/>
        <v>EDIVILSON MENEZES</v>
      </c>
    </row>
    <row r="646" spans="1:14" x14ac:dyDescent="0.3">
      <c r="A646" s="9">
        <v>100881</v>
      </c>
      <c r="B646" s="9" t="s">
        <v>677</v>
      </c>
      <c r="C646" s="10" t="s">
        <v>15</v>
      </c>
      <c r="D646" s="11">
        <v>42444</v>
      </c>
      <c r="E646" s="9" t="s">
        <v>251</v>
      </c>
      <c r="F646" s="9">
        <v>39601</v>
      </c>
      <c r="G646" s="9" t="s">
        <v>660</v>
      </c>
      <c r="H646" s="9" t="s">
        <v>661</v>
      </c>
      <c r="J646" s="9" t="s">
        <v>1695</v>
      </c>
      <c r="K646" s="9" t="s">
        <v>666</v>
      </c>
      <c r="L646" s="9" t="s">
        <v>258</v>
      </c>
      <c r="N646" s="9" t="str">
        <f t="shared" si="10"/>
        <v>MATHEUS ALMEIDA</v>
      </c>
    </row>
    <row r="647" spans="1:14" x14ac:dyDescent="0.3">
      <c r="A647" s="9">
        <v>705079</v>
      </c>
      <c r="B647" s="9" t="s">
        <v>678</v>
      </c>
      <c r="C647" s="10" t="s">
        <v>233</v>
      </c>
      <c r="D647" s="11">
        <v>45671</v>
      </c>
      <c r="E647" s="9" t="s">
        <v>507</v>
      </c>
      <c r="F647" s="9">
        <v>24102</v>
      </c>
      <c r="G647" s="9" t="s">
        <v>669</v>
      </c>
      <c r="H647" s="9" t="s">
        <v>661</v>
      </c>
      <c r="J647" s="9" t="s">
        <v>672</v>
      </c>
      <c r="K647" s="9" t="s">
        <v>666</v>
      </c>
      <c r="L647" s="9" t="s">
        <v>1388</v>
      </c>
      <c r="M647" s="9" t="s">
        <v>1637</v>
      </c>
      <c r="N647" s="9" t="str">
        <f t="shared" si="10"/>
        <v>JUNIO TEIXEIRA /EDIVILSON</v>
      </c>
    </row>
    <row r="648" spans="1:14" x14ac:dyDescent="0.3">
      <c r="A648" s="9">
        <v>702946</v>
      </c>
      <c r="B648" s="9" t="s">
        <v>679</v>
      </c>
      <c r="C648" s="10" t="s">
        <v>15</v>
      </c>
      <c r="D648" s="11">
        <v>44663</v>
      </c>
      <c r="E648" s="9" t="s">
        <v>31</v>
      </c>
      <c r="F648" s="9">
        <v>24102</v>
      </c>
      <c r="G648" s="9" t="s">
        <v>669</v>
      </c>
      <c r="H648" s="9" t="s">
        <v>661</v>
      </c>
      <c r="J648" s="9" t="s">
        <v>680</v>
      </c>
      <c r="K648" s="9" t="s">
        <v>666</v>
      </c>
      <c r="L648" s="9" t="s">
        <v>1388</v>
      </c>
      <c r="M648" s="9" t="s">
        <v>1637</v>
      </c>
      <c r="N648" s="9" t="str">
        <f t="shared" si="10"/>
        <v>JUNIO TEIXEIRA /EDIVILSON</v>
      </c>
    </row>
    <row r="649" spans="1:14" x14ac:dyDescent="0.3">
      <c r="A649" s="9">
        <v>703720</v>
      </c>
      <c r="B649" s="9" t="s">
        <v>681</v>
      </c>
      <c r="C649" s="10" t="s">
        <v>15</v>
      </c>
      <c r="D649" s="11">
        <v>45026</v>
      </c>
      <c r="E649" s="9" t="s">
        <v>16</v>
      </c>
      <c r="F649" s="9">
        <v>24102</v>
      </c>
      <c r="G649" s="9" t="s">
        <v>669</v>
      </c>
      <c r="H649" s="9" t="s">
        <v>661</v>
      </c>
      <c r="J649" s="9" t="s">
        <v>682</v>
      </c>
      <c r="K649" s="9" t="s">
        <v>666</v>
      </c>
      <c r="L649" s="9" t="s">
        <v>1390</v>
      </c>
      <c r="M649" s="9" t="s">
        <v>1391</v>
      </c>
      <c r="N649" s="9" t="str">
        <f t="shared" si="10"/>
        <v>ALCENO JUNIOR/JOÃO MARCOS</v>
      </c>
    </row>
    <row r="650" spans="1:14" x14ac:dyDescent="0.3">
      <c r="A650" s="9">
        <v>702157</v>
      </c>
      <c r="B650" s="9" t="s">
        <v>683</v>
      </c>
      <c r="C650" s="10" t="s">
        <v>15</v>
      </c>
      <c r="D650" s="11">
        <v>44299</v>
      </c>
      <c r="E650" s="9" t="s">
        <v>31</v>
      </c>
      <c r="F650" s="9">
        <v>24102</v>
      </c>
      <c r="G650" s="9" t="s">
        <v>669</v>
      </c>
      <c r="H650" s="9" t="s">
        <v>661</v>
      </c>
      <c r="J650" s="9" t="s">
        <v>680</v>
      </c>
      <c r="K650" s="9" t="s">
        <v>666</v>
      </c>
      <c r="L650" s="9" t="s">
        <v>1388</v>
      </c>
      <c r="M650" s="9" t="s">
        <v>1637</v>
      </c>
      <c r="N650" s="9" t="str">
        <f t="shared" si="10"/>
        <v>JUNIO TEIXEIRA /EDIVILSON</v>
      </c>
    </row>
    <row r="651" spans="1:14" x14ac:dyDescent="0.3">
      <c r="A651" s="9">
        <v>705859</v>
      </c>
      <c r="B651" s="9" t="s">
        <v>1566</v>
      </c>
      <c r="C651" s="10" t="s">
        <v>15</v>
      </c>
      <c r="D651" s="11">
        <v>46063</v>
      </c>
      <c r="E651" s="9" t="s">
        <v>31</v>
      </c>
      <c r="F651" s="9">
        <v>24102</v>
      </c>
      <c r="G651" s="9" t="s">
        <v>669</v>
      </c>
      <c r="H651" s="9" t="s">
        <v>661</v>
      </c>
      <c r="J651" s="9" t="s">
        <v>670</v>
      </c>
      <c r="K651" s="9" t="s">
        <v>666</v>
      </c>
      <c r="L651" s="9" t="s">
        <v>1388</v>
      </c>
      <c r="M651" s="9" t="s">
        <v>1637</v>
      </c>
      <c r="N651" s="9" t="str">
        <f t="shared" si="10"/>
        <v>JUNIO TEIXEIRA /EDIVILSON</v>
      </c>
    </row>
    <row r="652" spans="1:14" x14ac:dyDescent="0.3">
      <c r="A652" s="9">
        <v>704673</v>
      </c>
      <c r="B652" s="9" t="s">
        <v>685</v>
      </c>
      <c r="C652" s="10" t="s">
        <v>15</v>
      </c>
      <c r="D652" s="11">
        <v>45489</v>
      </c>
      <c r="E652" s="9" t="s">
        <v>686</v>
      </c>
      <c r="F652" s="9">
        <v>39601</v>
      </c>
      <c r="G652" s="9" t="s">
        <v>660</v>
      </c>
      <c r="H652" s="9" t="s">
        <v>661</v>
      </c>
      <c r="J652" s="9" t="s">
        <v>684</v>
      </c>
      <c r="K652" s="9" t="s">
        <v>666</v>
      </c>
      <c r="L652" s="9" t="s">
        <v>258</v>
      </c>
      <c r="M652" s="9" t="s">
        <v>1392</v>
      </c>
      <c r="N652" s="9" t="str">
        <f t="shared" si="10"/>
        <v>ADALTON/JANILSON RORIZ/MARIVALDO</v>
      </c>
    </row>
    <row r="653" spans="1:14" x14ac:dyDescent="0.3">
      <c r="A653" s="9">
        <v>705998</v>
      </c>
      <c r="B653" s="9" t="s">
        <v>1696</v>
      </c>
      <c r="C653" s="10" t="s">
        <v>15</v>
      </c>
      <c r="D653" s="11">
        <v>46119</v>
      </c>
      <c r="E653" s="9" t="s">
        <v>31</v>
      </c>
      <c r="F653" s="9">
        <v>24102</v>
      </c>
      <c r="G653" s="9" t="s">
        <v>669</v>
      </c>
      <c r="H653" s="9" t="s">
        <v>661</v>
      </c>
      <c r="J653" s="9" t="s">
        <v>670</v>
      </c>
      <c r="K653" s="9" t="s">
        <v>666</v>
      </c>
      <c r="L653" s="9" t="s">
        <v>1388</v>
      </c>
      <c r="M653" s="9" t="s">
        <v>1637</v>
      </c>
      <c r="N653" s="9" t="str">
        <f t="shared" si="10"/>
        <v>JUNIO TEIXEIRA /EDIVILSON</v>
      </c>
    </row>
    <row r="654" spans="1:14" x14ac:dyDescent="0.3">
      <c r="A654" s="9">
        <v>101618</v>
      </c>
      <c r="B654" s="9" t="s">
        <v>46</v>
      </c>
      <c r="C654" s="10" t="s">
        <v>15</v>
      </c>
      <c r="D654" s="11">
        <v>41106</v>
      </c>
      <c r="E654" s="9" t="s">
        <v>1235</v>
      </c>
      <c r="F654" s="9">
        <v>39203</v>
      </c>
      <c r="G654" s="9" t="s">
        <v>709</v>
      </c>
      <c r="H654" s="9" t="s">
        <v>661</v>
      </c>
      <c r="J654" s="9" t="s">
        <v>1693</v>
      </c>
      <c r="K654" s="9" t="s">
        <v>50</v>
      </c>
      <c r="N654" s="9" t="str">
        <f t="shared" si="10"/>
        <v>ANDREZA LARDO</v>
      </c>
    </row>
    <row r="655" spans="1:14" x14ac:dyDescent="0.3">
      <c r="A655" s="9">
        <v>705150</v>
      </c>
      <c r="B655" s="9" t="s">
        <v>1147</v>
      </c>
      <c r="C655" s="10" t="s">
        <v>15</v>
      </c>
      <c r="D655" s="11">
        <v>45705</v>
      </c>
      <c r="E655" s="9" t="s">
        <v>31</v>
      </c>
      <c r="F655" s="9">
        <v>24102</v>
      </c>
      <c r="G655" s="9" t="s">
        <v>669</v>
      </c>
      <c r="H655" s="9" t="s">
        <v>661</v>
      </c>
      <c r="J655" s="9" t="s">
        <v>680</v>
      </c>
      <c r="K655" s="9" t="s">
        <v>666</v>
      </c>
      <c r="L655" s="9" t="s">
        <v>1388</v>
      </c>
      <c r="M655" s="9" t="s">
        <v>1637</v>
      </c>
      <c r="N655" s="9" t="str">
        <f t="shared" si="10"/>
        <v>JUNIO TEIXEIRA /EDIVILSON</v>
      </c>
    </row>
    <row r="656" spans="1:14" x14ac:dyDescent="0.3">
      <c r="A656" s="9">
        <v>705982</v>
      </c>
      <c r="B656" s="9" t="s">
        <v>1697</v>
      </c>
      <c r="C656" s="10" t="s">
        <v>15</v>
      </c>
      <c r="D656" s="11">
        <v>46119</v>
      </c>
      <c r="E656" s="9" t="s">
        <v>77</v>
      </c>
      <c r="F656" s="9">
        <v>38108</v>
      </c>
      <c r="G656" s="9" t="s">
        <v>1698</v>
      </c>
      <c r="H656" s="9" t="s">
        <v>661</v>
      </c>
      <c r="J656" s="9" t="s">
        <v>78</v>
      </c>
      <c r="K656" s="9" t="s">
        <v>1372</v>
      </c>
      <c r="N656" s="9" t="str">
        <f t="shared" si="10"/>
        <v xml:space="preserve">LEIDJANE MARTINS </v>
      </c>
    </row>
    <row r="657" spans="1:14" x14ac:dyDescent="0.3">
      <c r="A657" s="9">
        <v>702797</v>
      </c>
      <c r="B657" s="9" t="s">
        <v>687</v>
      </c>
      <c r="C657" s="10" t="s">
        <v>15</v>
      </c>
      <c r="D657" s="11">
        <v>44607</v>
      </c>
      <c r="E657" s="9" t="s">
        <v>146</v>
      </c>
      <c r="F657" s="9">
        <v>39601</v>
      </c>
      <c r="G657" s="9" t="s">
        <v>660</v>
      </c>
      <c r="H657" s="9" t="s">
        <v>661</v>
      </c>
      <c r="J657" s="9" t="s">
        <v>684</v>
      </c>
      <c r="K657" s="9" t="s">
        <v>666</v>
      </c>
      <c r="L657" s="9" t="s">
        <v>258</v>
      </c>
      <c r="M657" s="9" t="s">
        <v>1392</v>
      </c>
      <c r="N657" s="9" t="str">
        <f t="shared" si="10"/>
        <v>ADALTON/JANILSON RORIZ/MARIVALDO</v>
      </c>
    </row>
    <row r="658" spans="1:14" x14ac:dyDescent="0.3">
      <c r="A658" s="9">
        <v>702594</v>
      </c>
      <c r="B658" s="9" t="s">
        <v>688</v>
      </c>
      <c r="C658" s="10" t="s">
        <v>15</v>
      </c>
      <c r="D658" s="11">
        <v>44474</v>
      </c>
      <c r="E658" s="9" t="s">
        <v>507</v>
      </c>
      <c r="F658" s="9">
        <v>24201</v>
      </c>
      <c r="G658" s="9" t="s">
        <v>664</v>
      </c>
      <c r="H658" s="9" t="s">
        <v>661</v>
      </c>
      <c r="J658" s="9" t="s">
        <v>665</v>
      </c>
      <c r="K658" s="9" t="s">
        <v>666</v>
      </c>
      <c r="L658" s="9" t="s">
        <v>258</v>
      </c>
      <c r="M658" s="9" t="s">
        <v>667</v>
      </c>
      <c r="N658" s="9" t="str">
        <f t="shared" si="10"/>
        <v>JOSIEL NEVES</v>
      </c>
    </row>
    <row r="659" spans="1:14" x14ac:dyDescent="0.3">
      <c r="A659" s="9">
        <v>702578</v>
      </c>
      <c r="B659" s="9" t="s">
        <v>689</v>
      </c>
      <c r="C659" s="10" t="s">
        <v>15</v>
      </c>
      <c r="D659" s="11">
        <v>44474</v>
      </c>
      <c r="E659" s="9" t="s">
        <v>60</v>
      </c>
      <c r="F659" s="9">
        <v>24102</v>
      </c>
      <c r="G659" s="9" t="s">
        <v>669</v>
      </c>
      <c r="H659" s="9" t="s">
        <v>661</v>
      </c>
      <c r="J659" s="9" t="s">
        <v>682</v>
      </c>
      <c r="K659" s="9" t="s">
        <v>666</v>
      </c>
      <c r="L659" s="9" t="s">
        <v>1390</v>
      </c>
      <c r="M659" s="9" t="s">
        <v>1391</v>
      </c>
      <c r="N659" s="9" t="str">
        <f t="shared" si="10"/>
        <v>ALCENO JUNIOR/JOÃO MARCOS</v>
      </c>
    </row>
    <row r="660" spans="1:14" x14ac:dyDescent="0.3">
      <c r="A660" s="9">
        <v>705736</v>
      </c>
      <c r="B660" s="9" t="s">
        <v>690</v>
      </c>
      <c r="C660" s="10" t="s">
        <v>15</v>
      </c>
      <c r="D660" s="11">
        <v>45972</v>
      </c>
      <c r="E660" s="9" t="s">
        <v>31</v>
      </c>
      <c r="F660" s="9">
        <v>39601</v>
      </c>
      <c r="G660" s="9" t="s">
        <v>660</v>
      </c>
      <c r="H660" s="9" t="s">
        <v>661</v>
      </c>
      <c r="J660" s="9" t="s">
        <v>684</v>
      </c>
      <c r="K660" s="9" t="s">
        <v>666</v>
      </c>
      <c r="L660" s="9" t="s">
        <v>258</v>
      </c>
      <c r="M660" s="9" t="s">
        <v>1392</v>
      </c>
      <c r="N660" s="9" t="str">
        <f t="shared" si="10"/>
        <v>ADALTON/JANILSON RORIZ/MARIVALDO</v>
      </c>
    </row>
    <row r="661" spans="1:14" x14ac:dyDescent="0.3">
      <c r="A661" s="9">
        <v>705296</v>
      </c>
      <c r="B661" s="9" t="s">
        <v>1188</v>
      </c>
      <c r="C661" s="10" t="s">
        <v>15</v>
      </c>
      <c r="D661" s="11">
        <v>45762</v>
      </c>
      <c r="E661" s="9" t="s">
        <v>31</v>
      </c>
      <c r="F661" s="9">
        <v>39601</v>
      </c>
      <c r="G661" s="9" t="s">
        <v>660</v>
      </c>
      <c r="H661" s="9" t="s">
        <v>661</v>
      </c>
      <c r="J661" s="9" t="s">
        <v>684</v>
      </c>
      <c r="K661" s="9" t="s">
        <v>666</v>
      </c>
      <c r="L661" s="9" t="s">
        <v>258</v>
      </c>
      <c r="M661" s="9" t="s">
        <v>1392</v>
      </c>
      <c r="N661" s="9" t="str">
        <f t="shared" si="10"/>
        <v>ADALTON/JANILSON RORIZ/MARIVALDO</v>
      </c>
    </row>
    <row r="662" spans="1:14" x14ac:dyDescent="0.3">
      <c r="A662" s="9">
        <v>706001</v>
      </c>
      <c r="B662" s="9" t="s">
        <v>1699</v>
      </c>
      <c r="C662" s="10" t="s">
        <v>15</v>
      </c>
      <c r="D662" s="11">
        <v>46126</v>
      </c>
      <c r="E662" s="9" t="s">
        <v>31</v>
      </c>
      <c r="F662" s="9">
        <v>39601</v>
      </c>
      <c r="G662" s="9" t="s">
        <v>660</v>
      </c>
      <c r="H662" s="9" t="s">
        <v>661</v>
      </c>
      <c r="J662" s="9" t="s">
        <v>662</v>
      </c>
      <c r="K662" s="9" t="s">
        <v>666</v>
      </c>
      <c r="L662" s="9" t="s">
        <v>258</v>
      </c>
      <c r="N662" s="9" t="str">
        <f t="shared" si="10"/>
        <v>MATHEUS ALMEIDA</v>
      </c>
    </row>
    <row r="663" spans="1:14" x14ac:dyDescent="0.3">
      <c r="A663" s="9">
        <v>706005</v>
      </c>
      <c r="B663" s="9" t="s">
        <v>1700</v>
      </c>
      <c r="C663" s="10" t="s">
        <v>15</v>
      </c>
      <c r="D663" s="11">
        <v>46126</v>
      </c>
      <c r="E663" s="9" t="s">
        <v>31</v>
      </c>
      <c r="F663" s="9">
        <v>39601</v>
      </c>
      <c r="G663" s="9" t="s">
        <v>660</v>
      </c>
      <c r="H663" s="9" t="s">
        <v>661</v>
      </c>
      <c r="J663" s="9" t="s">
        <v>662</v>
      </c>
      <c r="K663" s="9" t="s">
        <v>666</v>
      </c>
      <c r="L663" s="9" t="s">
        <v>258</v>
      </c>
      <c r="N663" s="9" t="str">
        <f t="shared" si="10"/>
        <v>MATHEUS ALMEIDA</v>
      </c>
    </row>
    <row r="664" spans="1:14" x14ac:dyDescent="0.3">
      <c r="A664" s="9">
        <v>703949</v>
      </c>
      <c r="B664" s="9" t="s">
        <v>691</v>
      </c>
      <c r="C664" s="10" t="s">
        <v>15</v>
      </c>
      <c r="D664" s="11">
        <v>45089</v>
      </c>
      <c r="E664" s="9" t="s">
        <v>686</v>
      </c>
      <c r="F664" s="9">
        <v>39601</v>
      </c>
      <c r="G664" s="9" t="s">
        <v>660</v>
      </c>
      <c r="H664" s="9" t="s">
        <v>661</v>
      </c>
      <c r="J664" s="9" t="s">
        <v>684</v>
      </c>
      <c r="K664" s="9" t="s">
        <v>666</v>
      </c>
      <c r="L664" s="9" t="s">
        <v>258</v>
      </c>
      <c r="M664" s="9" t="s">
        <v>1392</v>
      </c>
      <c r="N664" s="9" t="str">
        <f t="shared" si="10"/>
        <v>ADALTON/JANILSON RORIZ/MARIVALDO</v>
      </c>
    </row>
    <row r="665" spans="1:14" x14ac:dyDescent="0.3">
      <c r="A665" s="9">
        <v>705060</v>
      </c>
      <c r="B665" s="9" t="s">
        <v>692</v>
      </c>
      <c r="C665" s="10" t="s">
        <v>15</v>
      </c>
      <c r="D665" s="11">
        <v>45635</v>
      </c>
      <c r="E665" s="9" t="s">
        <v>31</v>
      </c>
      <c r="F665" s="9">
        <v>24102</v>
      </c>
      <c r="G665" s="9" t="s">
        <v>669</v>
      </c>
      <c r="H665" s="9" t="s">
        <v>661</v>
      </c>
      <c r="J665" s="9" t="s">
        <v>672</v>
      </c>
      <c r="K665" s="9" t="s">
        <v>666</v>
      </c>
      <c r="L665" s="9" t="s">
        <v>1388</v>
      </c>
      <c r="M665" s="9" t="s">
        <v>1637</v>
      </c>
      <c r="N665" s="9" t="str">
        <f t="shared" si="10"/>
        <v>JUNIO TEIXEIRA /EDIVILSON</v>
      </c>
    </row>
    <row r="666" spans="1:14" x14ac:dyDescent="0.3">
      <c r="A666" s="9">
        <v>705548</v>
      </c>
      <c r="B666" s="9" t="s">
        <v>1328</v>
      </c>
      <c r="C666" s="10" t="s">
        <v>15</v>
      </c>
      <c r="D666" s="11">
        <v>45881</v>
      </c>
      <c r="E666" s="9" t="s">
        <v>16</v>
      </c>
      <c r="F666" s="9">
        <v>24102</v>
      </c>
      <c r="G666" s="9" t="s">
        <v>669</v>
      </c>
      <c r="H666" s="9" t="s">
        <v>661</v>
      </c>
      <c r="J666" s="9" t="s">
        <v>682</v>
      </c>
      <c r="K666" s="9" t="s">
        <v>666</v>
      </c>
      <c r="L666" s="9" t="s">
        <v>1390</v>
      </c>
      <c r="M666" s="9" t="s">
        <v>1391</v>
      </c>
      <c r="N666" s="9" t="str">
        <f t="shared" si="10"/>
        <v>ALCENO JUNIOR/JOÃO MARCOS</v>
      </c>
    </row>
    <row r="667" spans="1:14" x14ac:dyDescent="0.3">
      <c r="A667" s="9">
        <v>705848</v>
      </c>
      <c r="B667" s="9" t="s">
        <v>1567</v>
      </c>
      <c r="C667" s="10" t="s">
        <v>15</v>
      </c>
      <c r="D667" s="11">
        <v>46063</v>
      </c>
      <c r="E667" s="9" t="s">
        <v>31</v>
      </c>
      <c r="F667" s="9">
        <v>24102</v>
      </c>
      <c r="G667" s="9" t="s">
        <v>669</v>
      </c>
      <c r="H667" s="9" t="s">
        <v>661</v>
      </c>
      <c r="J667" s="9" t="s">
        <v>672</v>
      </c>
      <c r="K667" s="9" t="s">
        <v>666</v>
      </c>
      <c r="L667" s="9" t="s">
        <v>1388</v>
      </c>
      <c r="M667" s="9" t="s">
        <v>1637</v>
      </c>
      <c r="N667" s="9" t="str">
        <f t="shared" si="10"/>
        <v>JUNIO TEIXEIRA /EDIVILSON</v>
      </c>
    </row>
    <row r="668" spans="1:14" x14ac:dyDescent="0.3">
      <c r="A668" s="9">
        <v>705913</v>
      </c>
      <c r="B668" s="9" t="s">
        <v>1624</v>
      </c>
      <c r="C668" s="10" t="s">
        <v>15</v>
      </c>
      <c r="D668" s="11">
        <v>46091</v>
      </c>
      <c r="E668" s="9" t="s">
        <v>31</v>
      </c>
      <c r="F668" s="9">
        <v>24102</v>
      </c>
      <c r="G668" s="9" t="s">
        <v>669</v>
      </c>
      <c r="H668" s="9" t="s">
        <v>661</v>
      </c>
      <c r="J668" s="9" t="s">
        <v>680</v>
      </c>
      <c r="K668" s="9" t="s">
        <v>666</v>
      </c>
      <c r="L668" s="9" t="s">
        <v>1388</v>
      </c>
      <c r="M668" s="9" t="s">
        <v>1637</v>
      </c>
      <c r="N668" s="9" t="str">
        <f t="shared" si="10"/>
        <v>JUNIO TEIXEIRA /EDIVILSON</v>
      </c>
    </row>
    <row r="669" spans="1:14" x14ac:dyDescent="0.3">
      <c r="A669" s="9">
        <v>703632</v>
      </c>
      <c r="B669" s="9" t="s">
        <v>693</v>
      </c>
      <c r="C669" s="10" t="s">
        <v>15</v>
      </c>
      <c r="D669" s="11">
        <v>44991</v>
      </c>
      <c r="E669" s="9" t="s">
        <v>457</v>
      </c>
      <c r="F669" s="9">
        <v>24102</v>
      </c>
      <c r="G669" s="9" t="s">
        <v>669</v>
      </c>
      <c r="H669" s="9" t="s">
        <v>661</v>
      </c>
      <c r="J669" s="9" t="s">
        <v>1701</v>
      </c>
      <c r="K669" s="9" t="s">
        <v>666</v>
      </c>
      <c r="L669" s="9" t="s">
        <v>1390</v>
      </c>
      <c r="N669" s="9" t="str">
        <f t="shared" si="10"/>
        <v>JOÃO FILHO</v>
      </c>
    </row>
    <row r="670" spans="1:14" x14ac:dyDescent="0.3">
      <c r="A670" s="9">
        <v>703013</v>
      </c>
      <c r="B670" s="9" t="s">
        <v>695</v>
      </c>
      <c r="C670" s="10" t="s">
        <v>15</v>
      </c>
      <c r="D670" s="11">
        <v>44691</v>
      </c>
      <c r="E670" s="9" t="s">
        <v>507</v>
      </c>
      <c r="F670" s="9">
        <v>24102</v>
      </c>
      <c r="G670" s="9" t="s">
        <v>669</v>
      </c>
      <c r="H670" s="9" t="s">
        <v>661</v>
      </c>
      <c r="J670" s="9" t="s">
        <v>670</v>
      </c>
      <c r="K670" s="9" t="s">
        <v>666</v>
      </c>
      <c r="L670" s="9" t="s">
        <v>1388</v>
      </c>
      <c r="M670" s="9" t="s">
        <v>1637</v>
      </c>
      <c r="N670" s="9" t="str">
        <f t="shared" si="10"/>
        <v>JUNIO TEIXEIRA /EDIVILSON</v>
      </c>
    </row>
    <row r="671" spans="1:14" x14ac:dyDescent="0.3">
      <c r="A671" s="9">
        <v>705929</v>
      </c>
      <c r="B671" s="9" t="s">
        <v>1702</v>
      </c>
      <c r="C671" s="10" t="s">
        <v>15</v>
      </c>
      <c r="D671" s="11">
        <v>46119</v>
      </c>
      <c r="E671" s="9" t="s">
        <v>77</v>
      </c>
      <c r="F671" s="9">
        <v>38108</v>
      </c>
      <c r="G671" s="9" t="s">
        <v>1698</v>
      </c>
      <c r="H671" s="9" t="s">
        <v>661</v>
      </c>
      <c r="J671" s="9" t="s">
        <v>78</v>
      </c>
      <c r="K671" s="9" t="s">
        <v>1372</v>
      </c>
      <c r="N671" s="9" t="str">
        <f t="shared" si="10"/>
        <v xml:space="preserve">LEIDJANE MARTINS </v>
      </c>
    </row>
    <row r="672" spans="1:14" x14ac:dyDescent="0.3">
      <c r="A672" s="9">
        <v>705603</v>
      </c>
      <c r="B672" s="9" t="s">
        <v>1362</v>
      </c>
      <c r="C672" s="10" t="s">
        <v>15</v>
      </c>
      <c r="D672" s="11">
        <v>45902</v>
      </c>
      <c r="E672" s="9" t="s">
        <v>381</v>
      </c>
      <c r="F672" s="9">
        <v>39602</v>
      </c>
      <c r="G672" s="9" t="s">
        <v>699</v>
      </c>
      <c r="H672" s="9" t="s">
        <v>661</v>
      </c>
      <c r="J672" s="9" t="s">
        <v>700</v>
      </c>
      <c r="K672" s="9" t="s">
        <v>666</v>
      </c>
      <c r="L672" s="9" t="s">
        <v>258</v>
      </c>
      <c r="M672" s="9" t="s">
        <v>701</v>
      </c>
      <c r="N672" s="9" t="str">
        <f t="shared" si="10"/>
        <v>IURY GUEDES</v>
      </c>
    </row>
    <row r="673" spans="1:14" x14ac:dyDescent="0.3">
      <c r="A673" s="9">
        <v>704490</v>
      </c>
      <c r="B673" s="9" t="s">
        <v>696</v>
      </c>
      <c r="C673" s="10" t="s">
        <v>92</v>
      </c>
      <c r="D673" s="11">
        <v>45420</v>
      </c>
      <c r="E673" s="9" t="s">
        <v>31</v>
      </c>
      <c r="F673" s="9">
        <v>24102</v>
      </c>
      <c r="G673" s="9" t="s">
        <v>669</v>
      </c>
      <c r="H673" s="9" t="s">
        <v>661</v>
      </c>
      <c r="I673" s="11">
        <v>46121</v>
      </c>
      <c r="J673" s="9" t="s">
        <v>682</v>
      </c>
      <c r="K673" s="9" t="s">
        <v>666</v>
      </c>
      <c r="L673" s="9" t="s">
        <v>1390</v>
      </c>
      <c r="M673" s="9" t="s">
        <v>1391</v>
      </c>
      <c r="N673" s="9" t="str">
        <f t="shared" si="10"/>
        <v>ALCENO JUNIOR/JOÃO MARCOS</v>
      </c>
    </row>
    <row r="674" spans="1:14" x14ac:dyDescent="0.3">
      <c r="A674" s="9">
        <v>704438</v>
      </c>
      <c r="B674" s="9" t="s">
        <v>698</v>
      </c>
      <c r="C674" s="10" t="s">
        <v>15</v>
      </c>
      <c r="D674" s="11">
        <v>45419</v>
      </c>
      <c r="E674" s="9" t="s">
        <v>427</v>
      </c>
      <c r="F674" s="9">
        <v>39602</v>
      </c>
      <c r="G674" s="9" t="s">
        <v>699</v>
      </c>
      <c r="H674" s="9" t="s">
        <v>661</v>
      </c>
      <c r="J674" s="9" t="s">
        <v>700</v>
      </c>
      <c r="K674" s="9" t="s">
        <v>666</v>
      </c>
      <c r="L674" s="9" t="s">
        <v>258</v>
      </c>
      <c r="M674" s="9" t="s">
        <v>701</v>
      </c>
      <c r="N674" s="9" t="str">
        <f t="shared" si="10"/>
        <v>IURY GUEDES</v>
      </c>
    </row>
    <row r="675" spans="1:14" x14ac:dyDescent="0.3">
      <c r="A675" s="9">
        <v>705481</v>
      </c>
      <c r="B675" s="9" t="s">
        <v>1280</v>
      </c>
      <c r="C675" s="10" t="s">
        <v>15</v>
      </c>
      <c r="D675" s="11">
        <v>45824</v>
      </c>
      <c r="E675" s="9" t="s">
        <v>173</v>
      </c>
      <c r="F675" s="9">
        <v>32102</v>
      </c>
      <c r="G675" s="9" t="s">
        <v>674</v>
      </c>
      <c r="H675" s="9" t="s">
        <v>661</v>
      </c>
      <c r="J675" s="9" t="s">
        <v>675</v>
      </c>
      <c r="K675" s="9" t="s">
        <v>25</v>
      </c>
      <c r="L675" s="9" t="s">
        <v>1369</v>
      </c>
      <c r="M675" s="9" t="s">
        <v>1638</v>
      </c>
      <c r="N675" s="9" t="str">
        <f t="shared" si="10"/>
        <v>EDIVILSON MENEZES</v>
      </c>
    </row>
    <row r="676" spans="1:14" x14ac:dyDescent="0.3">
      <c r="A676" s="9">
        <v>704337</v>
      </c>
      <c r="B676" s="9" t="s">
        <v>702</v>
      </c>
      <c r="C676" s="10" t="s">
        <v>15</v>
      </c>
      <c r="D676" s="11">
        <v>45363</v>
      </c>
      <c r="E676" s="9" t="s">
        <v>31</v>
      </c>
      <c r="F676" s="9">
        <v>24102</v>
      </c>
      <c r="G676" s="9" t="s">
        <v>669</v>
      </c>
      <c r="H676" s="9" t="s">
        <v>661</v>
      </c>
      <c r="J676" s="9" t="s">
        <v>680</v>
      </c>
      <c r="K676" s="9" t="s">
        <v>666</v>
      </c>
      <c r="L676" s="9" t="s">
        <v>1388</v>
      </c>
      <c r="M676" s="9" t="s">
        <v>1637</v>
      </c>
      <c r="N676" s="9" t="str">
        <f t="shared" si="10"/>
        <v>JUNIO TEIXEIRA /EDIVILSON</v>
      </c>
    </row>
    <row r="677" spans="1:14" x14ac:dyDescent="0.3">
      <c r="A677" s="9">
        <v>700280</v>
      </c>
      <c r="B677" s="9" t="s">
        <v>703</v>
      </c>
      <c r="C677" s="10" t="s">
        <v>15</v>
      </c>
      <c r="D677" s="11">
        <v>43290</v>
      </c>
      <c r="E677" s="9" t="s">
        <v>16</v>
      </c>
      <c r="F677" s="9">
        <v>24102</v>
      </c>
      <c r="G677" s="9" t="s">
        <v>669</v>
      </c>
      <c r="H677" s="9" t="s">
        <v>661</v>
      </c>
      <c r="J677" s="9" t="s">
        <v>682</v>
      </c>
      <c r="K677" s="9" t="s">
        <v>666</v>
      </c>
      <c r="L677" s="9" t="s">
        <v>1390</v>
      </c>
      <c r="M677" s="9" t="s">
        <v>1391</v>
      </c>
      <c r="N677" s="9" t="str">
        <f t="shared" si="10"/>
        <v>ALCENO JUNIOR/JOÃO MARCOS</v>
      </c>
    </row>
    <row r="678" spans="1:14" x14ac:dyDescent="0.3">
      <c r="A678" s="9">
        <v>705900</v>
      </c>
      <c r="B678" s="9" t="s">
        <v>1600</v>
      </c>
      <c r="C678" s="10" t="s">
        <v>15</v>
      </c>
      <c r="D678" s="11">
        <v>46091</v>
      </c>
      <c r="E678" s="9" t="s">
        <v>31</v>
      </c>
      <c r="F678" s="9">
        <v>38102</v>
      </c>
      <c r="G678" s="9" t="s">
        <v>725</v>
      </c>
      <c r="H678" s="9" t="s">
        <v>661</v>
      </c>
      <c r="J678" s="9" t="s">
        <v>726</v>
      </c>
      <c r="K678" s="9" t="s">
        <v>1372</v>
      </c>
      <c r="L678" s="9" t="s">
        <v>1373</v>
      </c>
      <c r="M678" s="9" t="s">
        <v>1373</v>
      </c>
      <c r="N678" s="9" t="str">
        <f t="shared" si="10"/>
        <v>DENIS ACASSIO</v>
      </c>
    </row>
    <row r="679" spans="1:14" x14ac:dyDescent="0.3">
      <c r="A679" s="9">
        <v>704861</v>
      </c>
      <c r="B679" s="9" t="s">
        <v>704</v>
      </c>
      <c r="C679" s="10" t="s">
        <v>15</v>
      </c>
      <c r="D679" s="11">
        <v>45579</v>
      </c>
      <c r="E679" s="9" t="s">
        <v>31</v>
      </c>
      <c r="F679" s="9">
        <v>39601</v>
      </c>
      <c r="G679" s="9" t="s">
        <v>660</v>
      </c>
      <c r="H679" s="9" t="s">
        <v>661</v>
      </c>
      <c r="J679" s="9" t="s">
        <v>684</v>
      </c>
      <c r="K679" s="9" t="s">
        <v>666</v>
      </c>
      <c r="L679" s="9" t="s">
        <v>258</v>
      </c>
      <c r="M679" s="9" t="s">
        <v>1392</v>
      </c>
      <c r="N679" s="9" t="str">
        <f t="shared" si="10"/>
        <v>ADALTON/JANILSON RORIZ/MARIVALDO</v>
      </c>
    </row>
    <row r="680" spans="1:14" x14ac:dyDescent="0.3">
      <c r="A680" s="9">
        <v>700220</v>
      </c>
      <c r="B680" s="9" t="s">
        <v>705</v>
      </c>
      <c r="C680" s="10" t="s">
        <v>15</v>
      </c>
      <c r="D680" s="11">
        <v>43255</v>
      </c>
      <c r="E680" s="9" t="s">
        <v>60</v>
      </c>
      <c r="F680" s="9">
        <v>24102</v>
      </c>
      <c r="G680" s="9" t="s">
        <v>669</v>
      </c>
      <c r="H680" s="9" t="s">
        <v>661</v>
      </c>
      <c r="J680" s="9" t="s">
        <v>672</v>
      </c>
      <c r="K680" s="9" t="s">
        <v>666</v>
      </c>
      <c r="L680" s="9" t="s">
        <v>1388</v>
      </c>
      <c r="M680" s="9" t="s">
        <v>1637</v>
      </c>
      <c r="N680" s="9" t="str">
        <f t="shared" si="10"/>
        <v>JUNIO TEIXEIRA /EDIVILSON</v>
      </c>
    </row>
    <row r="681" spans="1:14" x14ac:dyDescent="0.3">
      <c r="A681" s="9">
        <v>701686</v>
      </c>
      <c r="B681" s="9" t="s">
        <v>706</v>
      </c>
      <c r="C681" s="10" t="s">
        <v>15</v>
      </c>
      <c r="D681" s="11">
        <v>44025</v>
      </c>
      <c r="E681" s="9" t="s">
        <v>27</v>
      </c>
      <c r="F681" s="9">
        <v>39601</v>
      </c>
      <c r="G681" s="9" t="s">
        <v>660</v>
      </c>
      <c r="H681" s="9" t="s">
        <v>661</v>
      </c>
      <c r="J681" s="9" t="s">
        <v>662</v>
      </c>
      <c r="K681" s="9" t="s">
        <v>666</v>
      </c>
      <c r="L681" s="9" t="s">
        <v>258</v>
      </c>
      <c r="N681" s="9" t="str">
        <f t="shared" si="10"/>
        <v>MATHEUS ALMEIDA</v>
      </c>
    </row>
    <row r="682" spans="1:14" x14ac:dyDescent="0.3">
      <c r="A682" s="9">
        <v>705990</v>
      </c>
      <c r="B682" s="9" t="s">
        <v>1703</v>
      </c>
      <c r="C682" s="10" t="s">
        <v>15</v>
      </c>
      <c r="D682" s="11">
        <v>46119</v>
      </c>
      <c r="E682" s="9" t="s">
        <v>31</v>
      </c>
      <c r="F682" s="9">
        <v>24102</v>
      </c>
      <c r="G682" s="9" t="s">
        <v>669</v>
      </c>
      <c r="H682" s="9" t="s">
        <v>661</v>
      </c>
      <c r="J682" s="9" t="s">
        <v>670</v>
      </c>
      <c r="K682" s="9" t="s">
        <v>666</v>
      </c>
      <c r="L682" s="9" t="s">
        <v>1388</v>
      </c>
      <c r="M682" s="9" t="s">
        <v>1637</v>
      </c>
      <c r="N682" s="9" t="str">
        <f t="shared" si="10"/>
        <v>JUNIO TEIXEIRA /EDIVILSON</v>
      </c>
    </row>
    <row r="683" spans="1:14" x14ac:dyDescent="0.3">
      <c r="A683" s="9">
        <v>706012</v>
      </c>
      <c r="B683" s="9" t="s">
        <v>1704</v>
      </c>
      <c r="C683" s="10" t="s">
        <v>15</v>
      </c>
      <c r="D683" s="11">
        <v>46126</v>
      </c>
      <c r="E683" s="9" t="s">
        <v>31</v>
      </c>
      <c r="F683" s="9">
        <v>39601</v>
      </c>
      <c r="G683" s="9" t="s">
        <v>660</v>
      </c>
      <c r="H683" s="9" t="s">
        <v>661</v>
      </c>
      <c r="J683" s="9" t="s">
        <v>662</v>
      </c>
      <c r="K683" s="9" t="s">
        <v>666</v>
      </c>
      <c r="L683" s="9" t="s">
        <v>258</v>
      </c>
      <c r="N683" s="9" t="str">
        <f t="shared" si="10"/>
        <v>MATHEUS ALMEIDA</v>
      </c>
    </row>
    <row r="684" spans="1:14" x14ac:dyDescent="0.3">
      <c r="A684" s="9">
        <v>703272</v>
      </c>
      <c r="B684" s="9" t="s">
        <v>707</v>
      </c>
      <c r="C684" s="10" t="s">
        <v>15</v>
      </c>
      <c r="D684" s="11">
        <v>44781</v>
      </c>
      <c r="E684" s="9" t="s">
        <v>146</v>
      </c>
      <c r="F684" s="9">
        <v>24102</v>
      </c>
      <c r="G684" s="9" t="s">
        <v>669</v>
      </c>
      <c r="H684" s="9" t="s">
        <v>661</v>
      </c>
      <c r="J684" s="9" t="s">
        <v>680</v>
      </c>
      <c r="K684" s="9" t="s">
        <v>666</v>
      </c>
      <c r="L684" s="9" t="s">
        <v>1388</v>
      </c>
      <c r="M684" s="9" t="s">
        <v>1637</v>
      </c>
      <c r="N684" s="9" t="str">
        <f t="shared" si="10"/>
        <v>JUNIO TEIXEIRA /EDIVILSON</v>
      </c>
    </row>
    <row r="685" spans="1:14" x14ac:dyDescent="0.3">
      <c r="A685" s="9">
        <v>702005</v>
      </c>
      <c r="B685" s="9" t="s">
        <v>708</v>
      </c>
      <c r="C685" s="10" t="s">
        <v>15</v>
      </c>
      <c r="D685" s="11">
        <v>44229</v>
      </c>
      <c r="E685" s="9" t="s">
        <v>1363</v>
      </c>
      <c r="F685" s="9">
        <v>39203</v>
      </c>
      <c r="G685" s="9" t="s">
        <v>709</v>
      </c>
      <c r="H685" s="9" t="s">
        <v>661</v>
      </c>
      <c r="J685" s="9" t="s">
        <v>710</v>
      </c>
      <c r="K685" s="9" t="s">
        <v>50</v>
      </c>
      <c r="L685" s="9" t="s">
        <v>1382</v>
      </c>
      <c r="M685" s="9" t="s">
        <v>1382</v>
      </c>
      <c r="N685" s="9" t="str">
        <f t="shared" si="10"/>
        <v>ADENILTON RODRIGUES</v>
      </c>
    </row>
    <row r="686" spans="1:14" x14ac:dyDescent="0.3">
      <c r="A686" s="9">
        <v>700657</v>
      </c>
      <c r="B686" s="9" t="s">
        <v>711</v>
      </c>
      <c r="C686" s="10" t="s">
        <v>15</v>
      </c>
      <c r="D686" s="11">
        <v>42989</v>
      </c>
      <c r="E686" s="9" t="s">
        <v>219</v>
      </c>
      <c r="F686" s="9">
        <v>32102</v>
      </c>
      <c r="G686" s="9" t="s">
        <v>674</v>
      </c>
      <c r="H686" s="9" t="s">
        <v>661</v>
      </c>
      <c r="J686" s="9" t="s">
        <v>675</v>
      </c>
      <c r="K686" s="9" t="s">
        <v>25</v>
      </c>
      <c r="L686" s="9" t="s">
        <v>1369</v>
      </c>
      <c r="M686" s="9" t="s">
        <v>1638</v>
      </c>
      <c r="N686" s="9" t="str">
        <f t="shared" si="10"/>
        <v>EDIVILSON MENEZES</v>
      </c>
    </row>
    <row r="687" spans="1:14" x14ac:dyDescent="0.3">
      <c r="A687" s="9">
        <v>101561</v>
      </c>
      <c r="B687" s="9" t="s">
        <v>712</v>
      </c>
      <c r="C687" s="10" t="s">
        <v>15</v>
      </c>
      <c r="D687" s="11">
        <v>42989</v>
      </c>
      <c r="E687" s="9" t="s">
        <v>255</v>
      </c>
      <c r="F687" s="9">
        <v>24102</v>
      </c>
      <c r="G687" s="9" t="s">
        <v>669</v>
      </c>
      <c r="H687" s="9" t="s">
        <v>661</v>
      </c>
      <c r="J687" s="9" t="s">
        <v>680</v>
      </c>
      <c r="K687" s="9" t="s">
        <v>666</v>
      </c>
      <c r="L687" s="9" t="s">
        <v>1388</v>
      </c>
      <c r="M687" s="9" t="s">
        <v>1637</v>
      </c>
      <c r="N687" s="9" t="str">
        <f t="shared" si="10"/>
        <v>JUNIO TEIXEIRA /EDIVILSON</v>
      </c>
    </row>
    <row r="688" spans="1:14" x14ac:dyDescent="0.3">
      <c r="A688" s="9">
        <v>703844</v>
      </c>
      <c r="B688" s="9" t="s">
        <v>713</v>
      </c>
      <c r="C688" s="10" t="s">
        <v>15</v>
      </c>
      <c r="D688" s="11">
        <v>45054</v>
      </c>
      <c r="E688" s="9" t="s">
        <v>299</v>
      </c>
      <c r="F688" s="9">
        <v>39601</v>
      </c>
      <c r="G688" s="9" t="s">
        <v>660</v>
      </c>
      <c r="H688" s="9" t="s">
        <v>661</v>
      </c>
      <c r="J688" s="9" t="s">
        <v>684</v>
      </c>
      <c r="K688" s="9" t="s">
        <v>666</v>
      </c>
      <c r="L688" s="9" t="s">
        <v>258</v>
      </c>
      <c r="M688" s="9" t="s">
        <v>1392</v>
      </c>
      <c r="N688" s="9" t="str">
        <f t="shared" si="10"/>
        <v>ADALTON/JANILSON RORIZ/MARIVALDO</v>
      </c>
    </row>
    <row r="689" spans="1:14" x14ac:dyDescent="0.3">
      <c r="A689" s="9">
        <v>705131</v>
      </c>
      <c r="B689" s="9" t="s">
        <v>1148</v>
      </c>
      <c r="C689" s="10" t="s">
        <v>15</v>
      </c>
      <c r="D689" s="11">
        <v>45698</v>
      </c>
      <c r="E689" s="9" t="s">
        <v>230</v>
      </c>
      <c r="F689" s="9">
        <v>39601</v>
      </c>
      <c r="G689" s="9" t="s">
        <v>660</v>
      </c>
      <c r="H689" s="9" t="s">
        <v>661</v>
      </c>
      <c r="J689" s="9" t="s">
        <v>662</v>
      </c>
      <c r="K689" s="9" t="s">
        <v>666</v>
      </c>
      <c r="L689" s="9" t="s">
        <v>258</v>
      </c>
      <c r="N689" s="9" t="str">
        <f t="shared" si="10"/>
        <v>MATHEUS ALMEIDA</v>
      </c>
    </row>
    <row r="690" spans="1:14" x14ac:dyDescent="0.3">
      <c r="A690" s="9">
        <v>703945</v>
      </c>
      <c r="B690" s="9" t="s">
        <v>714</v>
      </c>
      <c r="C690" s="10" t="s">
        <v>15</v>
      </c>
      <c r="D690" s="11">
        <v>45089</v>
      </c>
      <c r="E690" s="9" t="s">
        <v>16</v>
      </c>
      <c r="F690" s="9">
        <v>24102</v>
      </c>
      <c r="G690" s="9" t="s">
        <v>669</v>
      </c>
      <c r="H690" s="9" t="s">
        <v>661</v>
      </c>
      <c r="J690" s="9" t="s">
        <v>682</v>
      </c>
      <c r="K690" s="9" t="s">
        <v>666</v>
      </c>
      <c r="L690" s="9" t="s">
        <v>1390</v>
      </c>
      <c r="M690" s="9" t="s">
        <v>1391</v>
      </c>
      <c r="N690" s="9" t="str">
        <f t="shared" si="10"/>
        <v>ALCENO JUNIOR/JOÃO MARCOS</v>
      </c>
    </row>
    <row r="691" spans="1:14" x14ac:dyDescent="0.3">
      <c r="A691" s="9">
        <v>704625</v>
      </c>
      <c r="B691" s="9" t="s">
        <v>715</v>
      </c>
      <c r="C691" s="10" t="s">
        <v>15</v>
      </c>
      <c r="D691" s="11">
        <v>45476</v>
      </c>
      <c r="E691" s="9" t="s">
        <v>31</v>
      </c>
      <c r="F691" s="9">
        <v>24102</v>
      </c>
      <c r="G691" s="9" t="s">
        <v>669</v>
      </c>
      <c r="H691" s="9" t="s">
        <v>661</v>
      </c>
      <c r="J691" s="9" t="s">
        <v>682</v>
      </c>
      <c r="K691" s="9" t="s">
        <v>666</v>
      </c>
      <c r="L691" s="9" t="s">
        <v>1390</v>
      </c>
      <c r="M691" s="9" t="s">
        <v>1391</v>
      </c>
      <c r="N691" s="9" t="str">
        <f t="shared" si="10"/>
        <v>ALCENO JUNIOR/JOÃO MARCOS</v>
      </c>
    </row>
    <row r="692" spans="1:14" x14ac:dyDescent="0.3">
      <c r="A692" s="9">
        <v>705999</v>
      </c>
      <c r="B692" s="9" t="s">
        <v>1705</v>
      </c>
      <c r="C692" s="10" t="s">
        <v>15</v>
      </c>
      <c r="D692" s="11">
        <v>46119</v>
      </c>
      <c r="E692" s="9" t="s">
        <v>31</v>
      </c>
      <c r="F692" s="9">
        <v>24102</v>
      </c>
      <c r="G692" s="9" t="s">
        <v>669</v>
      </c>
      <c r="H692" s="9" t="s">
        <v>661</v>
      </c>
      <c r="J692" s="9" t="s">
        <v>680</v>
      </c>
      <c r="K692" s="9" t="s">
        <v>666</v>
      </c>
      <c r="L692" s="9" t="s">
        <v>1388</v>
      </c>
      <c r="M692" s="9" t="s">
        <v>1637</v>
      </c>
      <c r="N692" s="9" t="str">
        <f t="shared" si="10"/>
        <v>JUNIO TEIXEIRA /EDIVILSON</v>
      </c>
    </row>
    <row r="693" spans="1:14" x14ac:dyDescent="0.3">
      <c r="A693" s="9">
        <v>705985</v>
      </c>
      <c r="B693" s="9" t="s">
        <v>1706</v>
      </c>
      <c r="C693" s="10" t="s">
        <v>15</v>
      </c>
      <c r="D693" s="11">
        <v>46119</v>
      </c>
      <c r="E693" s="9" t="s">
        <v>146</v>
      </c>
      <c r="F693" s="9">
        <v>39601</v>
      </c>
      <c r="G693" s="9" t="s">
        <v>660</v>
      </c>
      <c r="H693" s="9" t="s">
        <v>661</v>
      </c>
      <c r="J693" s="9" t="s">
        <v>662</v>
      </c>
      <c r="K693" s="9" t="s">
        <v>666</v>
      </c>
      <c r="L693" s="9" t="s">
        <v>258</v>
      </c>
      <c r="N693" s="9" t="str">
        <f t="shared" si="10"/>
        <v>MATHEUS ALMEIDA</v>
      </c>
    </row>
    <row r="694" spans="1:14" x14ac:dyDescent="0.3">
      <c r="A694" s="9">
        <v>705322</v>
      </c>
      <c r="B694" s="9" t="s">
        <v>1238</v>
      </c>
      <c r="C694" s="10" t="s">
        <v>15</v>
      </c>
      <c r="D694" s="11">
        <v>45784</v>
      </c>
      <c r="E694" s="9" t="s">
        <v>31</v>
      </c>
      <c r="F694" s="9">
        <v>24102</v>
      </c>
      <c r="G694" s="9" t="s">
        <v>669</v>
      </c>
      <c r="H694" s="9" t="s">
        <v>661</v>
      </c>
      <c r="J694" s="9" t="s">
        <v>670</v>
      </c>
      <c r="K694" s="9" t="s">
        <v>666</v>
      </c>
      <c r="L694" s="9" t="s">
        <v>1388</v>
      </c>
      <c r="M694" s="9" t="s">
        <v>1637</v>
      </c>
      <c r="N694" s="9" t="str">
        <f t="shared" si="10"/>
        <v>JUNIO TEIXEIRA /EDIVILSON</v>
      </c>
    </row>
    <row r="695" spans="1:14" x14ac:dyDescent="0.3">
      <c r="A695" s="9">
        <v>704666</v>
      </c>
      <c r="B695" s="9" t="s">
        <v>716</v>
      </c>
      <c r="C695" s="10" t="s">
        <v>15</v>
      </c>
      <c r="D695" s="11">
        <v>45482</v>
      </c>
      <c r="E695" s="9" t="s">
        <v>418</v>
      </c>
      <c r="F695" s="9">
        <v>39601</v>
      </c>
      <c r="G695" s="9" t="s">
        <v>660</v>
      </c>
      <c r="H695" s="9" t="s">
        <v>661</v>
      </c>
      <c r="J695" s="9" t="s">
        <v>684</v>
      </c>
      <c r="K695" s="9" t="s">
        <v>666</v>
      </c>
      <c r="L695" s="9" t="s">
        <v>258</v>
      </c>
      <c r="M695" s="9" t="s">
        <v>1392</v>
      </c>
      <c r="N695" s="9" t="str">
        <f t="shared" si="10"/>
        <v>ADALTON/JANILSON RORIZ/MARIVALDO</v>
      </c>
    </row>
    <row r="696" spans="1:14" x14ac:dyDescent="0.3">
      <c r="A696" s="9">
        <v>705953</v>
      </c>
      <c r="B696" s="9" t="s">
        <v>1707</v>
      </c>
      <c r="C696" s="10" t="s">
        <v>15</v>
      </c>
      <c r="D696" s="11">
        <v>46119</v>
      </c>
      <c r="E696" s="9" t="s">
        <v>77</v>
      </c>
      <c r="F696" s="9">
        <v>38108</v>
      </c>
      <c r="G696" s="9" t="s">
        <v>1698</v>
      </c>
      <c r="H696" s="9" t="s">
        <v>661</v>
      </c>
      <c r="J696" s="9" t="s">
        <v>78</v>
      </c>
      <c r="K696" s="9" t="s">
        <v>1372</v>
      </c>
      <c r="N696" s="9" t="str">
        <f t="shared" si="10"/>
        <v xml:space="preserve">LEIDJANE MARTINS </v>
      </c>
    </row>
    <row r="697" spans="1:14" x14ac:dyDescent="0.3">
      <c r="A697" s="9">
        <v>705487</v>
      </c>
      <c r="B697" s="9" t="s">
        <v>1303</v>
      </c>
      <c r="C697" s="10" t="s">
        <v>15</v>
      </c>
      <c r="D697" s="11">
        <v>45839</v>
      </c>
      <c r="E697" s="9" t="s">
        <v>230</v>
      </c>
      <c r="F697" s="9">
        <v>39601</v>
      </c>
      <c r="G697" s="9" t="s">
        <v>660</v>
      </c>
      <c r="H697" s="9" t="s">
        <v>661</v>
      </c>
      <c r="J697" s="9" t="s">
        <v>662</v>
      </c>
      <c r="K697" s="9" t="s">
        <v>666</v>
      </c>
      <c r="L697" s="9" t="s">
        <v>258</v>
      </c>
      <c r="N697" s="9" t="str">
        <f t="shared" si="10"/>
        <v>MATHEUS ALMEIDA</v>
      </c>
    </row>
    <row r="698" spans="1:14" x14ac:dyDescent="0.3">
      <c r="A698" s="9">
        <v>705013</v>
      </c>
      <c r="B698" s="9" t="s">
        <v>717</v>
      </c>
      <c r="C698" s="10" t="s">
        <v>15</v>
      </c>
      <c r="D698" s="11">
        <v>45635</v>
      </c>
      <c r="E698" s="9" t="s">
        <v>1086</v>
      </c>
      <c r="F698" s="9">
        <v>31103</v>
      </c>
      <c r="G698" s="9" t="s">
        <v>718</v>
      </c>
      <c r="H698" s="9" t="s">
        <v>661</v>
      </c>
      <c r="J698" s="9" t="s">
        <v>719</v>
      </c>
      <c r="K698" s="9" t="s">
        <v>1381</v>
      </c>
      <c r="N698" s="9" t="str">
        <f t="shared" si="10"/>
        <v>MARCOS OLIVEIRA</v>
      </c>
    </row>
    <row r="699" spans="1:14" x14ac:dyDescent="0.3">
      <c r="A699" s="9">
        <v>705169</v>
      </c>
      <c r="B699" s="9" t="s">
        <v>1169</v>
      </c>
      <c r="C699" s="10" t="s">
        <v>15</v>
      </c>
      <c r="D699" s="11">
        <v>45726</v>
      </c>
      <c r="E699" s="9" t="s">
        <v>31</v>
      </c>
      <c r="F699" s="9">
        <v>24102</v>
      </c>
      <c r="G699" s="9" t="s">
        <v>669</v>
      </c>
      <c r="H699" s="9" t="s">
        <v>661</v>
      </c>
      <c r="J699" s="9" t="s">
        <v>670</v>
      </c>
      <c r="K699" s="9" t="s">
        <v>666</v>
      </c>
      <c r="L699" s="9" t="s">
        <v>1388</v>
      </c>
      <c r="M699" s="9" t="s">
        <v>1637</v>
      </c>
      <c r="N699" s="9" t="str">
        <f t="shared" si="10"/>
        <v>JUNIO TEIXEIRA /EDIVILSON</v>
      </c>
    </row>
    <row r="700" spans="1:14" x14ac:dyDescent="0.3">
      <c r="A700" s="9">
        <v>702696</v>
      </c>
      <c r="B700" s="9" t="s">
        <v>720</v>
      </c>
      <c r="C700" s="10" t="s">
        <v>15</v>
      </c>
      <c r="D700" s="11">
        <v>44537</v>
      </c>
      <c r="E700" s="9" t="s">
        <v>179</v>
      </c>
      <c r="F700" s="9">
        <v>32102</v>
      </c>
      <c r="G700" s="9" t="s">
        <v>674</v>
      </c>
      <c r="H700" s="9" t="s">
        <v>661</v>
      </c>
      <c r="J700" s="9" t="s">
        <v>675</v>
      </c>
      <c r="K700" s="9" t="s">
        <v>25</v>
      </c>
      <c r="L700" s="9" t="s">
        <v>1369</v>
      </c>
      <c r="M700" s="9" t="s">
        <v>1638</v>
      </c>
      <c r="N700" s="9" t="str">
        <f t="shared" si="10"/>
        <v>EDIVILSON MENEZES</v>
      </c>
    </row>
    <row r="701" spans="1:14" x14ac:dyDescent="0.3">
      <c r="A701" s="9">
        <v>704714</v>
      </c>
      <c r="B701" s="9" t="s">
        <v>721</v>
      </c>
      <c r="C701" s="10" t="s">
        <v>15</v>
      </c>
      <c r="D701" s="11">
        <v>45518</v>
      </c>
      <c r="E701" s="9" t="s">
        <v>31</v>
      </c>
      <c r="F701" s="9">
        <v>39601</v>
      </c>
      <c r="G701" s="9" t="s">
        <v>660</v>
      </c>
      <c r="H701" s="9" t="s">
        <v>661</v>
      </c>
      <c r="J701" s="9" t="s">
        <v>684</v>
      </c>
      <c r="K701" s="9" t="s">
        <v>666</v>
      </c>
      <c r="L701" s="9" t="s">
        <v>258</v>
      </c>
      <c r="M701" s="9" t="s">
        <v>1392</v>
      </c>
      <c r="N701" s="9" t="str">
        <f t="shared" si="10"/>
        <v>ADALTON/JANILSON RORIZ/MARIVALDO</v>
      </c>
    </row>
    <row r="702" spans="1:14" x14ac:dyDescent="0.3">
      <c r="A702" s="9">
        <v>705648</v>
      </c>
      <c r="B702" s="9" t="s">
        <v>1418</v>
      </c>
      <c r="C702" s="10" t="s">
        <v>15</v>
      </c>
      <c r="D702" s="11">
        <v>45944</v>
      </c>
      <c r="E702" s="9" t="s">
        <v>31</v>
      </c>
      <c r="F702" s="9">
        <v>39601</v>
      </c>
      <c r="G702" s="9" t="s">
        <v>660</v>
      </c>
      <c r="H702" s="9" t="s">
        <v>661</v>
      </c>
      <c r="J702" s="9" t="s">
        <v>662</v>
      </c>
      <c r="K702" s="9" t="s">
        <v>666</v>
      </c>
      <c r="L702" s="9" t="s">
        <v>258</v>
      </c>
      <c r="N702" s="9" t="str">
        <f t="shared" si="10"/>
        <v>MATHEUS ALMEIDA</v>
      </c>
    </row>
    <row r="703" spans="1:14" x14ac:dyDescent="0.3">
      <c r="A703" s="9">
        <v>101551</v>
      </c>
      <c r="B703" s="9" t="s">
        <v>722</v>
      </c>
      <c r="C703" s="10" t="s">
        <v>15</v>
      </c>
      <c r="D703" s="11">
        <v>42989</v>
      </c>
      <c r="E703" s="9" t="s">
        <v>16</v>
      </c>
      <c r="F703" s="9">
        <v>24102</v>
      </c>
      <c r="G703" s="9" t="s">
        <v>669</v>
      </c>
      <c r="H703" s="9" t="s">
        <v>661</v>
      </c>
      <c r="J703" s="9" t="s">
        <v>682</v>
      </c>
      <c r="K703" s="9" t="s">
        <v>666</v>
      </c>
      <c r="L703" s="9" t="s">
        <v>1390</v>
      </c>
      <c r="M703" s="9" t="s">
        <v>1391</v>
      </c>
      <c r="N703" s="9" t="str">
        <f t="shared" si="10"/>
        <v>ALCENO JUNIOR/JOÃO MARCOS</v>
      </c>
    </row>
    <row r="704" spans="1:14" x14ac:dyDescent="0.3">
      <c r="A704" s="9">
        <v>706035</v>
      </c>
      <c r="B704" s="9" t="s">
        <v>1708</v>
      </c>
      <c r="C704" s="10" t="s">
        <v>15</v>
      </c>
      <c r="D704" s="11">
        <v>46126</v>
      </c>
      <c r="E704" s="9" t="s">
        <v>31</v>
      </c>
      <c r="F704" s="9">
        <v>39601</v>
      </c>
      <c r="G704" s="9" t="s">
        <v>660</v>
      </c>
      <c r="H704" s="9" t="s">
        <v>661</v>
      </c>
      <c r="J704" s="9" t="s">
        <v>662</v>
      </c>
      <c r="K704" s="9" t="s">
        <v>666</v>
      </c>
      <c r="L704" s="9" t="s">
        <v>258</v>
      </c>
      <c r="N704" s="9" t="str">
        <f t="shared" si="10"/>
        <v>MATHEUS ALMEIDA</v>
      </c>
    </row>
    <row r="705" spans="1:14" x14ac:dyDescent="0.3">
      <c r="A705" s="9">
        <v>704463</v>
      </c>
      <c r="B705" s="9" t="s">
        <v>723</v>
      </c>
      <c r="C705" s="10" t="s">
        <v>15</v>
      </c>
      <c r="D705" s="11">
        <v>45419</v>
      </c>
      <c r="E705" s="9" t="s">
        <v>60</v>
      </c>
      <c r="F705" s="9">
        <v>39601</v>
      </c>
      <c r="G705" s="9" t="s">
        <v>660</v>
      </c>
      <c r="H705" s="9" t="s">
        <v>661</v>
      </c>
      <c r="J705" s="9" t="s">
        <v>684</v>
      </c>
      <c r="K705" s="9" t="s">
        <v>666</v>
      </c>
      <c r="L705" s="9" t="s">
        <v>258</v>
      </c>
      <c r="M705" s="9" t="s">
        <v>1392</v>
      </c>
      <c r="N705" s="9" t="str">
        <f t="shared" si="10"/>
        <v>ADALTON/JANILSON RORIZ/MARIVALDO</v>
      </c>
    </row>
    <row r="706" spans="1:14" x14ac:dyDescent="0.3">
      <c r="A706" s="9">
        <v>702873</v>
      </c>
      <c r="B706" s="9" t="s">
        <v>724</v>
      </c>
      <c r="C706" s="10" t="s">
        <v>15</v>
      </c>
      <c r="D706" s="11">
        <v>44635</v>
      </c>
      <c r="E706" s="9" t="s">
        <v>230</v>
      </c>
      <c r="F706" s="9">
        <v>38102</v>
      </c>
      <c r="G706" s="9" t="s">
        <v>725</v>
      </c>
      <c r="H706" s="9" t="s">
        <v>661</v>
      </c>
      <c r="J706" s="9" t="s">
        <v>726</v>
      </c>
      <c r="K706" s="9" t="s">
        <v>1372</v>
      </c>
      <c r="L706" s="9" t="s">
        <v>1373</v>
      </c>
      <c r="M706" s="9" t="s">
        <v>1373</v>
      </c>
      <c r="N706" s="9" t="str">
        <f t="shared" si="10"/>
        <v>DENIS ACASSIO</v>
      </c>
    </row>
    <row r="707" spans="1:14" x14ac:dyDescent="0.3">
      <c r="A707" s="9">
        <v>704393</v>
      </c>
      <c r="B707" s="9" t="s">
        <v>727</v>
      </c>
      <c r="C707" s="10" t="s">
        <v>15</v>
      </c>
      <c r="D707" s="11">
        <v>45391</v>
      </c>
      <c r="E707" s="9" t="s">
        <v>418</v>
      </c>
      <c r="F707" s="9">
        <v>39601</v>
      </c>
      <c r="G707" s="9" t="s">
        <v>660</v>
      </c>
      <c r="H707" s="9" t="s">
        <v>661</v>
      </c>
      <c r="J707" s="9" t="s">
        <v>684</v>
      </c>
      <c r="K707" s="9" t="s">
        <v>666</v>
      </c>
      <c r="L707" s="9" t="s">
        <v>258</v>
      </c>
      <c r="M707" s="9" t="s">
        <v>1392</v>
      </c>
      <c r="N707" s="9" t="str">
        <f t="shared" ref="N707:N770" si="11">IF(M707&lt;&gt;"", M707, IF(L707&lt;&gt;"", L707, K707))</f>
        <v>ADALTON/JANILSON RORIZ/MARIVALDO</v>
      </c>
    </row>
    <row r="708" spans="1:14" x14ac:dyDescent="0.3">
      <c r="A708" s="9">
        <v>702416</v>
      </c>
      <c r="B708" s="9" t="s">
        <v>728</v>
      </c>
      <c r="C708" s="10" t="s">
        <v>233</v>
      </c>
      <c r="D708" s="11">
        <v>44390</v>
      </c>
      <c r="E708" s="9" t="s">
        <v>507</v>
      </c>
      <c r="F708" s="9">
        <v>24102</v>
      </c>
      <c r="G708" s="9" t="s">
        <v>669</v>
      </c>
      <c r="H708" s="9" t="s">
        <v>661</v>
      </c>
      <c r="J708" s="9" t="s">
        <v>672</v>
      </c>
      <c r="K708" s="9" t="s">
        <v>666</v>
      </c>
      <c r="L708" s="9" t="s">
        <v>1388</v>
      </c>
      <c r="M708" s="9" t="s">
        <v>1637</v>
      </c>
      <c r="N708" s="9" t="str">
        <f t="shared" si="11"/>
        <v>JUNIO TEIXEIRA /EDIVILSON</v>
      </c>
    </row>
    <row r="709" spans="1:14" x14ac:dyDescent="0.3">
      <c r="A709" s="9">
        <v>704341</v>
      </c>
      <c r="B709" s="9" t="s">
        <v>729</v>
      </c>
      <c r="C709" s="10" t="s">
        <v>15</v>
      </c>
      <c r="D709" s="11">
        <v>45363</v>
      </c>
      <c r="E709" s="9" t="s">
        <v>686</v>
      </c>
      <c r="F709" s="9">
        <v>39601</v>
      </c>
      <c r="G709" s="9" t="s">
        <v>660</v>
      </c>
      <c r="H709" s="9" t="s">
        <v>661</v>
      </c>
      <c r="J709" s="9" t="s">
        <v>684</v>
      </c>
      <c r="K709" s="9" t="s">
        <v>666</v>
      </c>
      <c r="L709" s="9" t="s">
        <v>258</v>
      </c>
      <c r="M709" s="9" t="s">
        <v>1392</v>
      </c>
      <c r="N709" s="9" t="str">
        <f t="shared" si="11"/>
        <v>ADALTON/JANILSON RORIZ/MARIVALDO</v>
      </c>
    </row>
    <row r="710" spans="1:14" x14ac:dyDescent="0.3">
      <c r="A710" s="9">
        <v>704208</v>
      </c>
      <c r="B710" s="9" t="s">
        <v>730</v>
      </c>
      <c r="C710" s="10" t="s">
        <v>15</v>
      </c>
      <c r="D710" s="11">
        <v>45300</v>
      </c>
      <c r="E710" s="9" t="s">
        <v>138</v>
      </c>
      <c r="F710" s="9">
        <v>24102</v>
      </c>
      <c r="G710" s="9" t="s">
        <v>669</v>
      </c>
      <c r="H710" s="9" t="s">
        <v>661</v>
      </c>
      <c r="J710" s="9" t="s">
        <v>682</v>
      </c>
      <c r="K710" s="9" t="s">
        <v>666</v>
      </c>
      <c r="L710" s="9" t="s">
        <v>1390</v>
      </c>
      <c r="M710" s="9" t="s">
        <v>1391</v>
      </c>
      <c r="N710" s="9" t="str">
        <f t="shared" si="11"/>
        <v>ALCENO JUNIOR/JOÃO MARCOS</v>
      </c>
    </row>
    <row r="711" spans="1:14" x14ac:dyDescent="0.3">
      <c r="A711" s="9">
        <v>701113</v>
      </c>
      <c r="B711" s="9" t="s">
        <v>731</v>
      </c>
      <c r="C711" s="10" t="s">
        <v>15</v>
      </c>
      <c r="D711" s="11">
        <v>43641</v>
      </c>
      <c r="E711" s="9" t="s">
        <v>146</v>
      </c>
      <c r="F711" s="9">
        <v>39601</v>
      </c>
      <c r="G711" s="9" t="s">
        <v>660</v>
      </c>
      <c r="H711" s="9" t="s">
        <v>661</v>
      </c>
      <c r="J711" s="9" t="s">
        <v>684</v>
      </c>
      <c r="K711" s="9" t="s">
        <v>666</v>
      </c>
      <c r="L711" s="9" t="s">
        <v>258</v>
      </c>
      <c r="M711" s="9" t="s">
        <v>1392</v>
      </c>
      <c r="N711" s="9" t="str">
        <f t="shared" si="11"/>
        <v>ADALTON/JANILSON RORIZ/MARIVALDO</v>
      </c>
    </row>
    <row r="712" spans="1:14" x14ac:dyDescent="0.3">
      <c r="A712" s="9">
        <v>703397</v>
      </c>
      <c r="B712" s="9" t="s">
        <v>732</v>
      </c>
      <c r="C712" s="10" t="s">
        <v>15</v>
      </c>
      <c r="D712" s="11">
        <v>44851</v>
      </c>
      <c r="E712" s="9" t="s">
        <v>146</v>
      </c>
      <c r="F712" s="9">
        <v>39601</v>
      </c>
      <c r="G712" s="9" t="s">
        <v>660</v>
      </c>
      <c r="H712" s="9" t="s">
        <v>661</v>
      </c>
      <c r="J712" s="9" t="s">
        <v>684</v>
      </c>
      <c r="K712" s="9" t="s">
        <v>666</v>
      </c>
      <c r="L712" s="9" t="s">
        <v>258</v>
      </c>
      <c r="M712" s="9" t="s">
        <v>1392</v>
      </c>
      <c r="N712" s="9" t="str">
        <f t="shared" si="11"/>
        <v>ADALTON/JANILSON RORIZ/MARIVALDO</v>
      </c>
    </row>
    <row r="713" spans="1:14" x14ac:dyDescent="0.3">
      <c r="A713" s="9">
        <v>702558</v>
      </c>
      <c r="B713" s="9" t="s">
        <v>733</v>
      </c>
      <c r="C713" s="10" t="s">
        <v>15</v>
      </c>
      <c r="D713" s="11">
        <v>44459</v>
      </c>
      <c r="E713" s="9" t="s">
        <v>734</v>
      </c>
      <c r="F713" s="9">
        <v>24201</v>
      </c>
      <c r="G713" s="9" t="s">
        <v>664</v>
      </c>
      <c r="H713" s="9" t="s">
        <v>661</v>
      </c>
      <c r="J713" s="9" t="s">
        <v>665</v>
      </c>
      <c r="K713" s="9" t="s">
        <v>666</v>
      </c>
      <c r="L713" s="9" t="s">
        <v>258</v>
      </c>
      <c r="M713" s="9" t="s">
        <v>667</v>
      </c>
      <c r="N713" s="9" t="str">
        <f t="shared" si="11"/>
        <v>JOSIEL NEVES</v>
      </c>
    </row>
    <row r="714" spans="1:14" x14ac:dyDescent="0.3">
      <c r="A714" s="9">
        <v>704424</v>
      </c>
      <c r="B714" s="9" t="s">
        <v>735</v>
      </c>
      <c r="C714" s="10" t="s">
        <v>15</v>
      </c>
      <c r="D714" s="11">
        <v>45391</v>
      </c>
      <c r="E714" s="9" t="s">
        <v>27</v>
      </c>
      <c r="F714" s="9">
        <v>39601</v>
      </c>
      <c r="G714" s="9" t="s">
        <v>660</v>
      </c>
      <c r="H714" s="9" t="s">
        <v>661</v>
      </c>
      <c r="J714" s="9" t="s">
        <v>684</v>
      </c>
      <c r="K714" s="9" t="s">
        <v>666</v>
      </c>
      <c r="L714" s="9" t="s">
        <v>258</v>
      </c>
      <c r="M714" s="9" t="s">
        <v>1392</v>
      </c>
      <c r="N714" s="9" t="str">
        <f t="shared" si="11"/>
        <v>ADALTON/JANILSON RORIZ/MARIVALDO</v>
      </c>
    </row>
    <row r="715" spans="1:14" x14ac:dyDescent="0.3">
      <c r="A715" s="9">
        <v>705349</v>
      </c>
      <c r="B715" s="9" t="s">
        <v>1239</v>
      </c>
      <c r="C715" s="10" t="s">
        <v>15</v>
      </c>
      <c r="D715" s="11">
        <v>45784</v>
      </c>
      <c r="E715" s="9" t="s">
        <v>31</v>
      </c>
      <c r="F715" s="9">
        <v>24201</v>
      </c>
      <c r="G715" s="9" t="s">
        <v>664</v>
      </c>
      <c r="H715" s="9" t="s">
        <v>661</v>
      </c>
      <c r="J715" s="9" t="s">
        <v>665</v>
      </c>
      <c r="K715" s="9" t="s">
        <v>666</v>
      </c>
      <c r="L715" s="9" t="s">
        <v>258</v>
      </c>
      <c r="M715" s="9" t="s">
        <v>667</v>
      </c>
      <c r="N715" s="9" t="str">
        <f t="shared" si="11"/>
        <v>JOSIEL NEVES</v>
      </c>
    </row>
    <row r="716" spans="1:14" x14ac:dyDescent="0.3">
      <c r="A716" s="9">
        <v>704408</v>
      </c>
      <c r="B716" s="9" t="s">
        <v>736</v>
      </c>
      <c r="C716" s="10" t="s">
        <v>15</v>
      </c>
      <c r="D716" s="11">
        <v>45391</v>
      </c>
      <c r="E716" s="9" t="s">
        <v>16</v>
      </c>
      <c r="F716" s="9">
        <v>24102</v>
      </c>
      <c r="G716" s="9" t="s">
        <v>669</v>
      </c>
      <c r="H716" s="9" t="s">
        <v>661</v>
      </c>
      <c r="J716" s="9" t="s">
        <v>682</v>
      </c>
      <c r="K716" s="9" t="s">
        <v>666</v>
      </c>
      <c r="L716" s="9" t="s">
        <v>1390</v>
      </c>
      <c r="M716" s="9" t="s">
        <v>1391</v>
      </c>
      <c r="N716" s="9" t="str">
        <f t="shared" si="11"/>
        <v>ALCENO JUNIOR/JOÃO MARCOS</v>
      </c>
    </row>
    <row r="717" spans="1:14" x14ac:dyDescent="0.3">
      <c r="A717" s="9">
        <v>704871</v>
      </c>
      <c r="B717" s="9" t="s">
        <v>737</v>
      </c>
      <c r="C717" s="10" t="s">
        <v>15</v>
      </c>
      <c r="D717" s="11">
        <v>45579</v>
      </c>
      <c r="E717" s="9" t="s">
        <v>31</v>
      </c>
      <c r="F717" s="9">
        <v>24201</v>
      </c>
      <c r="G717" s="9" t="s">
        <v>664</v>
      </c>
      <c r="H717" s="9" t="s">
        <v>661</v>
      </c>
      <c r="J717" s="9" t="s">
        <v>665</v>
      </c>
      <c r="K717" s="9" t="s">
        <v>666</v>
      </c>
      <c r="L717" s="9" t="s">
        <v>258</v>
      </c>
      <c r="M717" s="9" t="s">
        <v>667</v>
      </c>
      <c r="N717" s="9" t="str">
        <f t="shared" si="11"/>
        <v>JOSIEL NEVES</v>
      </c>
    </row>
    <row r="718" spans="1:14" x14ac:dyDescent="0.3">
      <c r="A718" s="9">
        <v>705865</v>
      </c>
      <c r="B718" s="9" t="s">
        <v>1568</v>
      </c>
      <c r="C718" s="10" t="s">
        <v>15</v>
      </c>
      <c r="D718" s="11">
        <v>46063</v>
      </c>
      <c r="E718" s="9" t="s">
        <v>31</v>
      </c>
      <c r="F718" s="9">
        <v>24102</v>
      </c>
      <c r="G718" s="9" t="s">
        <v>669</v>
      </c>
      <c r="H718" s="9" t="s">
        <v>661</v>
      </c>
      <c r="J718" s="9" t="s">
        <v>672</v>
      </c>
      <c r="K718" s="9" t="s">
        <v>666</v>
      </c>
      <c r="L718" s="9" t="s">
        <v>1388</v>
      </c>
      <c r="M718" s="9" t="s">
        <v>1637</v>
      </c>
      <c r="N718" s="9" t="str">
        <f t="shared" si="11"/>
        <v>JUNIO TEIXEIRA /EDIVILSON</v>
      </c>
    </row>
    <row r="719" spans="1:14" x14ac:dyDescent="0.3">
      <c r="A719" s="9">
        <v>705771</v>
      </c>
      <c r="B719" s="9" t="s">
        <v>1496</v>
      </c>
      <c r="C719" s="10" t="s">
        <v>15</v>
      </c>
      <c r="D719" s="11">
        <v>45993</v>
      </c>
      <c r="E719" s="9" t="s">
        <v>31</v>
      </c>
      <c r="F719" s="9">
        <v>24201</v>
      </c>
      <c r="G719" s="9" t="s">
        <v>664</v>
      </c>
      <c r="H719" s="9" t="s">
        <v>661</v>
      </c>
      <c r="J719" s="9" t="s">
        <v>665</v>
      </c>
      <c r="K719" s="9" t="s">
        <v>666</v>
      </c>
      <c r="L719" s="9" t="s">
        <v>258</v>
      </c>
      <c r="M719" s="9" t="s">
        <v>667</v>
      </c>
      <c r="N719" s="9" t="str">
        <f t="shared" si="11"/>
        <v>JOSIEL NEVES</v>
      </c>
    </row>
    <row r="720" spans="1:14" x14ac:dyDescent="0.3">
      <c r="A720" s="9">
        <v>702994</v>
      </c>
      <c r="B720" s="9" t="s">
        <v>738</v>
      </c>
      <c r="C720" s="10" t="s">
        <v>15</v>
      </c>
      <c r="D720" s="11">
        <v>44691</v>
      </c>
      <c r="E720" s="9" t="s">
        <v>31</v>
      </c>
      <c r="F720" s="9">
        <v>24201</v>
      </c>
      <c r="G720" s="9" t="s">
        <v>664</v>
      </c>
      <c r="H720" s="9" t="s">
        <v>661</v>
      </c>
      <c r="J720" s="9" t="s">
        <v>665</v>
      </c>
      <c r="K720" s="9" t="s">
        <v>666</v>
      </c>
      <c r="L720" s="9" t="s">
        <v>258</v>
      </c>
      <c r="M720" s="9" t="s">
        <v>667</v>
      </c>
      <c r="N720" s="9" t="str">
        <f t="shared" si="11"/>
        <v>JOSIEL NEVES</v>
      </c>
    </row>
    <row r="721" spans="1:14" x14ac:dyDescent="0.3">
      <c r="A721" s="9">
        <v>703178</v>
      </c>
      <c r="B721" s="9" t="s">
        <v>739</v>
      </c>
      <c r="C721" s="10" t="s">
        <v>15</v>
      </c>
      <c r="D721" s="11">
        <v>44753</v>
      </c>
      <c r="E721" s="9" t="s">
        <v>255</v>
      </c>
      <c r="F721" s="9">
        <v>24201</v>
      </c>
      <c r="G721" s="9" t="s">
        <v>664</v>
      </c>
      <c r="H721" s="9" t="s">
        <v>661</v>
      </c>
      <c r="J721" s="9" t="s">
        <v>665</v>
      </c>
      <c r="K721" s="9" t="s">
        <v>666</v>
      </c>
      <c r="L721" s="9" t="s">
        <v>258</v>
      </c>
      <c r="M721" s="9" t="s">
        <v>667</v>
      </c>
      <c r="N721" s="9" t="str">
        <f t="shared" si="11"/>
        <v>JOSIEL NEVES</v>
      </c>
    </row>
    <row r="722" spans="1:14" x14ac:dyDescent="0.3">
      <c r="A722" s="9">
        <v>705523</v>
      </c>
      <c r="B722" s="9" t="s">
        <v>1329</v>
      </c>
      <c r="C722" s="10" t="s">
        <v>15</v>
      </c>
      <c r="D722" s="11">
        <v>45874</v>
      </c>
      <c r="E722" s="9" t="s">
        <v>31</v>
      </c>
      <c r="F722" s="9">
        <v>39601</v>
      </c>
      <c r="G722" s="9" t="s">
        <v>660</v>
      </c>
      <c r="H722" s="9" t="s">
        <v>661</v>
      </c>
      <c r="J722" s="9" t="s">
        <v>684</v>
      </c>
      <c r="K722" s="9" t="s">
        <v>666</v>
      </c>
      <c r="L722" s="9" t="s">
        <v>258</v>
      </c>
      <c r="M722" s="9" t="s">
        <v>1392</v>
      </c>
      <c r="N722" s="9" t="str">
        <f t="shared" si="11"/>
        <v>ADALTON/JANILSON RORIZ/MARIVALDO</v>
      </c>
    </row>
    <row r="723" spans="1:14" x14ac:dyDescent="0.3">
      <c r="A723" s="9">
        <v>705430</v>
      </c>
      <c r="B723" s="9" t="s">
        <v>1240</v>
      </c>
      <c r="C723" s="10" t="s">
        <v>15</v>
      </c>
      <c r="D723" s="11">
        <v>45797</v>
      </c>
      <c r="E723" s="9" t="s">
        <v>31</v>
      </c>
      <c r="F723" s="9">
        <v>39601</v>
      </c>
      <c r="G723" s="9" t="s">
        <v>660</v>
      </c>
      <c r="H723" s="9" t="s">
        <v>661</v>
      </c>
      <c r="J723" s="9" t="s">
        <v>662</v>
      </c>
      <c r="K723" s="9" t="s">
        <v>666</v>
      </c>
      <c r="L723" s="9" t="s">
        <v>258</v>
      </c>
      <c r="N723" s="9" t="str">
        <f t="shared" si="11"/>
        <v>MATHEUS ALMEIDA</v>
      </c>
    </row>
    <row r="724" spans="1:14" x14ac:dyDescent="0.3">
      <c r="A724" s="9">
        <v>702324</v>
      </c>
      <c r="B724" s="9" t="s">
        <v>741</v>
      </c>
      <c r="C724" s="10" t="s">
        <v>15</v>
      </c>
      <c r="D724" s="11">
        <v>44355</v>
      </c>
      <c r="E724" s="9" t="s">
        <v>255</v>
      </c>
      <c r="F724" s="9">
        <v>39601</v>
      </c>
      <c r="G724" s="9" t="s">
        <v>660</v>
      </c>
      <c r="H724" s="9" t="s">
        <v>661</v>
      </c>
      <c r="J724" s="9" t="s">
        <v>684</v>
      </c>
      <c r="K724" s="9" t="s">
        <v>666</v>
      </c>
      <c r="L724" s="9" t="s">
        <v>258</v>
      </c>
      <c r="M724" s="9" t="s">
        <v>1392</v>
      </c>
      <c r="N724" s="9" t="str">
        <f t="shared" si="11"/>
        <v>ADALTON/JANILSON RORIZ/MARIVALDO</v>
      </c>
    </row>
    <row r="725" spans="1:14" x14ac:dyDescent="0.3">
      <c r="A725" s="9">
        <v>700890</v>
      </c>
      <c r="B725" s="9" t="s">
        <v>742</v>
      </c>
      <c r="C725" s="10" t="s">
        <v>15</v>
      </c>
      <c r="D725" s="11">
        <v>43529</v>
      </c>
      <c r="E725" s="9" t="s">
        <v>166</v>
      </c>
      <c r="F725" s="9">
        <v>24102</v>
      </c>
      <c r="G725" s="9" t="s">
        <v>669</v>
      </c>
      <c r="H725" s="9" t="s">
        <v>661</v>
      </c>
      <c r="J725" s="9" t="s">
        <v>670</v>
      </c>
      <c r="K725" s="9" t="s">
        <v>666</v>
      </c>
      <c r="L725" s="9" t="s">
        <v>1388</v>
      </c>
      <c r="M725" s="9" t="s">
        <v>1637</v>
      </c>
      <c r="N725" s="9" t="str">
        <f t="shared" si="11"/>
        <v>JUNIO TEIXEIRA /EDIVILSON</v>
      </c>
    </row>
    <row r="726" spans="1:14" x14ac:dyDescent="0.3">
      <c r="A726" s="9">
        <v>705844</v>
      </c>
      <c r="B726" s="9" t="s">
        <v>1569</v>
      </c>
      <c r="C726" s="10" t="s">
        <v>15</v>
      </c>
      <c r="D726" s="11">
        <v>46063</v>
      </c>
      <c r="E726" s="9" t="s">
        <v>31</v>
      </c>
      <c r="F726" s="9">
        <v>24102</v>
      </c>
      <c r="G726" s="9" t="s">
        <v>669</v>
      </c>
      <c r="H726" s="9" t="s">
        <v>661</v>
      </c>
      <c r="J726" s="9" t="s">
        <v>670</v>
      </c>
      <c r="K726" s="9" t="s">
        <v>666</v>
      </c>
      <c r="L726" s="9" t="s">
        <v>1388</v>
      </c>
      <c r="M726" s="9" t="s">
        <v>1637</v>
      </c>
      <c r="N726" s="9" t="str">
        <f t="shared" si="11"/>
        <v>JUNIO TEIXEIRA /EDIVILSON</v>
      </c>
    </row>
    <row r="727" spans="1:14" x14ac:dyDescent="0.3">
      <c r="A727" s="9">
        <v>702360</v>
      </c>
      <c r="B727" s="9" t="s">
        <v>743</v>
      </c>
      <c r="C727" s="10" t="s">
        <v>15</v>
      </c>
      <c r="D727" s="11">
        <v>44362</v>
      </c>
      <c r="E727" s="9" t="s">
        <v>1364</v>
      </c>
      <c r="F727" s="9">
        <v>37102</v>
      </c>
      <c r="G727" s="9" t="s">
        <v>694</v>
      </c>
      <c r="H727" s="9" t="s">
        <v>661</v>
      </c>
      <c r="J727" s="9" t="s">
        <v>1672</v>
      </c>
      <c r="K727" s="9" t="s">
        <v>132</v>
      </c>
      <c r="N727" s="9" t="str">
        <f t="shared" si="11"/>
        <v xml:space="preserve">GISELE NASCENTE </v>
      </c>
    </row>
    <row r="728" spans="1:14" x14ac:dyDescent="0.3">
      <c r="A728" s="9">
        <v>705550</v>
      </c>
      <c r="B728" s="9" t="s">
        <v>1330</v>
      </c>
      <c r="C728" s="10" t="s">
        <v>15</v>
      </c>
      <c r="D728" s="11">
        <v>45881</v>
      </c>
      <c r="E728" s="9" t="s">
        <v>336</v>
      </c>
      <c r="F728" s="9">
        <v>24102</v>
      </c>
      <c r="G728" s="9" t="s">
        <v>669</v>
      </c>
      <c r="H728" s="9" t="s">
        <v>661</v>
      </c>
      <c r="J728" s="9" t="s">
        <v>680</v>
      </c>
      <c r="K728" s="9" t="s">
        <v>666</v>
      </c>
      <c r="L728" s="9" t="s">
        <v>1388</v>
      </c>
      <c r="M728" s="9" t="s">
        <v>1637</v>
      </c>
      <c r="N728" s="9" t="str">
        <f t="shared" si="11"/>
        <v>JUNIO TEIXEIRA /EDIVILSON</v>
      </c>
    </row>
    <row r="729" spans="1:14" x14ac:dyDescent="0.3">
      <c r="A729" s="9">
        <v>705651</v>
      </c>
      <c r="B729" s="9" t="s">
        <v>1420</v>
      </c>
      <c r="C729" s="10" t="s">
        <v>15</v>
      </c>
      <c r="D729" s="11">
        <v>45944</v>
      </c>
      <c r="E729" s="9" t="s">
        <v>31</v>
      </c>
      <c r="F729" s="9">
        <v>39601</v>
      </c>
      <c r="G729" s="9" t="s">
        <v>660</v>
      </c>
      <c r="H729" s="9" t="s">
        <v>661</v>
      </c>
      <c r="J729" s="9" t="s">
        <v>684</v>
      </c>
      <c r="K729" s="9" t="s">
        <v>666</v>
      </c>
      <c r="L729" s="9" t="s">
        <v>258</v>
      </c>
      <c r="M729" s="9" t="s">
        <v>1392</v>
      </c>
      <c r="N729" s="9" t="str">
        <f t="shared" si="11"/>
        <v>ADALTON/JANILSON RORIZ/MARIVALDO</v>
      </c>
    </row>
    <row r="730" spans="1:14" x14ac:dyDescent="0.3">
      <c r="A730" s="9">
        <v>702534</v>
      </c>
      <c r="B730" s="9" t="s">
        <v>745</v>
      </c>
      <c r="C730" s="10" t="s">
        <v>15</v>
      </c>
      <c r="D730" s="11">
        <v>44425</v>
      </c>
      <c r="E730" s="9" t="s">
        <v>686</v>
      </c>
      <c r="F730" s="9">
        <v>39601</v>
      </c>
      <c r="G730" s="9" t="s">
        <v>660</v>
      </c>
      <c r="H730" s="9" t="s">
        <v>661</v>
      </c>
      <c r="J730" s="9" t="s">
        <v>684</v>
      </c>
      <c r="K730" s="9" t="s">
        <v>666</v>
      </c>
      <c r="L730" s="9" t="s">
        <v>258</v>
      </c>
      <c r="M730" s="9" t="s">
        <v>1392</v>
      </c>
      <c r="N730" s="9" t="str">
        <f t="shared" si="11"/>
        <v>ADALTON/JANILSON RORIZ/MARIVALDO</v>
      </c>
    </row>
    <row r="731" spans="1:14" x14ac:dyDescent="0.3">
      <c r="A731" s="9">
        <v>703234</v>
      </c>
      <c r="B731" s="9" t="s">
        <v>746</v>
      </c>
      <c r="C731" s="10" t="s">
        <v>15</v>
      </c>
      <c r="D731" s="11">
        <v>44760</v>
      </c>
      <c r="E731" s="9" t="s">
        <v>686</v>
      </c>
      <c r="F731" s="9">
        <v>39601</v>
      </c>
      <c r="G731" s="9" t="s">
        <v>660</v>
      </c>
      <c r="H731" s="9" t="s">
        <v>661</v>
      </c>
      <c r="J731" s="9" t="s">
        <v>684</v>
      </c>
      <c r="K731" s="9" t="s">
        <v>666</v>
      </c>
      <c r="L731" s="9" t="s">
        <v>258</v>
      </c>
      <c r="M731" s="9" t="s">
        <v>1392</v>
      </c>
      <c r="N731" s="9" t="str">
        <f t="shared" si="11"/>
        <v>ADALTON/JANILSON RORIZ/MARIVALDO</v>
      </c>
    </row>
    <row r="732" spans="1:14" x14ac:dyDescent="0.3">
      <c r="A732" s="9">
        <v>705870</v>
      </c>
      <c r="B732" s="9" t="s">
        <v>1570</v>
      </c>
      <c r="C732" s="10" t="s">
        <v>15</v>
      </c>
      <c r="D732" s="11">
        <v>46063</v>
      </c>
      <c r="E732" s="9" t="s">
        <v>31</v>
      </c>
      <c r="F732" s="9">
        <v>24102</v>
      </c>
      <c r="G732" s="9" t="s">
        <v>669</v>
      </c>
      <c r="H732" s="9" t="s">
        <v>661</v>
      </c>
      <c r="J732" s="9" t="s">
        <v>697</v>
      </c>
      <c r="K732" s="9" t="s">
        <v>666</v>
      </c>
      <c r="L732" s="9" t="s">
        <v>1390</v>
      </c>
      <c r="M732" s="9" t="s">
        <v>1391</v>
      </c>
      <c r="N732" s="9" t="str">
        <f t="shared" si="11"/>
        <v>ALCENO JUNIOR/JOÃO MARCOS</v>
      </c>
    </row>
    <row r="733" spans="1:14" x14ac:dyDescent="0.3">
      <c r="A733" s="9">
        <v>101108</v>
      </c>
      <c r="B733" s="9" t="s">
        <v>748</v>
      </c>
      <c r="C733" s="10" t="s">
        <v>15</v>
      </c>
      <c r="D733" s="11">
        <v>42681</v>
      </c>
      <c r="E733" s="9" t="s">
        <v>166</v>
      </c>
      <c r="F733" s="9">
        <v>24102</v>
      </c>
      <c r="G733" s="9" t="s">
        <v>669</v>
      </c>
      <c r="H733" s="9" t="s">
        <v>661</v>
      </c>
      <c r="J733" s="9" t="s">
        <v>682</v>
      </c>
      <c r="K733" s="9" t="s">
        <v>666</v>
      </c>
      <c r="L733" s="9" t="s">
        <v>1390</v>
      </c>
      <c r="M733" s="9" t="s">
        <v>1391</v>
      </c>
      <c r="N733" s="9" t="str">
        <f t="shared" si="11"/>
        <v>ALCENO JUNIOR/JOÃO MARCOS</v>
      </c>
    </row>
    <row r="734" spans="1:14" x14ac:dyDescent="0.3">
      <c r="A734" s="9">
        <v>704340</v>
      </c>
      <c r="B734" s="9" t="s">
        <v>749</v>
      </c>
      <c r="C734" s="10" t="s">
        <v>15</v>
      </c>
      <c r="D734" s="11">
        <v>45363</v>
      </c>
      <c r="E734" s="9" t="s">
        <v>31</v>
      </c>
      <c r="F734" s="9">
        <v>24102</v>
      </c>
      <c r="G734" s="9" t="s">
        <v>669</v>
      </c>
      <c r="H734" s="9" t="s">
        <v>661</v>
      </c>
      <c r="J734" s="9" t="s">
        <v>670</v>
      </c>
      <c r="K734" s="9" t="s">
        <v>666</v>
      </c>
      <c r="L734" s="9" t="s">
        <v>1388</v>
      </c>
      <c r="M734" s="9" t="s">
        <v>1637</v>
      </c>
      <c r="N734" s="9" t="str">
        <f t="shared" si="11"/>
        <v>JUNIO TEIXEIRA /EDIVILSON</v>
      </c>
    </row>
    <row r="735" spans="1:14" x14ac:dyDescent="0.3">
      <c r="A735" s="9">
        <v>705653</v>
      </c>
      <c r="B735" s="9" t="s">
        <v>1421</v>
      </c>
      <c r="C735" s="10" t="s">
        <v>15</v>
      </c>
      <c r="D735" s="11">
        <v>45944</v>
      </c>
      <c r="E735" s="9" t="s">
        <v>31</v>
      </c>
      <c r="F735" s="9">
        <v>39601</v>
      </c>
      <c r="G735" s="9" t="s">
        <v>660</v>
      </c>
      <c r="H735" s="9" t="s">
        <v>661</v>
      </c>
      <c r="J735" s="9" t="s">
        <v>662</v>
      </c>
      <c r="K735" s="9" t="s">
        <v>666</v>
      </c>
      <c r="L735" s="9" t="s">
        <v>258</v>
      </c>
      <c r="N735" s="9" t="str">
        <f t="shared" si="11"/>
        <v>MATHEUS ALMEIDA</v>
      </c>
    </row>
    <row r="736" spans="1:14" x14ac:dyDescent="0.3">
      <c r="A736" s="9">
        <v>700930</v>
      </c>
      <c r="B736" s="9" t="s">
        <v>751</v>
      </c>
      <c r="C736" s="10" t="s">
        <v>15</v>
      </c>
      <c r="D736" s="11">
        <v>43542</v>
      </c>
      <c r="E736" s="9" t="s">
        <v>179</v>
      </c>
      <c r="F736" s="9">
        <v>32102</v>
      </c>
      <c r="G736" s="9" t="s">
        <v>674</v>
      </c>
      <c r="H736" s="9" t="s">
        <v>661</v>
      </c>
      <c r="J736" s="9" t="s">
        <v>675</v>
      </c>
      <c r="K736" s="9" t="s">
        <v>25</v>
      </c>
      <c r="L736" s="9" t="s">
        <v>1369</v>
      </c>
      <c r="M736" s="9" t="s">
        <v>1638</v>
      </c>
      <c r="N736" s="9" t="str">
        <f t="shared" si="11"/>
        <v>EDIVILSON MENEZES</v>
      </c>
    </row>
    <row r="737" spans="1:14" x14ac:dyDescent="0.3">
      <c r="A737" s="9">
        <v>704850</v>
      </c>
      <c r="B737" s="9" t="s">
        <v>752</v>
      </c>
      <c r="C737" s="10" t="s">
        <v>15</v>
      </c>
      <c r="D737" s="11">
        <v>45580</v>
      </c>
      <c r="E737" s="9" t="s">
        <v>474</v>
      </c>
      <c r="F737" s="9">
        <v>32102</v>
      </c>
      <c r="G737" s="9" t="s">
        <v>674</v>
      </c>
      <c r="H737" s="9" t="s">
        <v>661</v>
      </c>
      <c r="J737" s="9" t="s">
        <v>675</v>
      </c>
      <c r="K737" s="9" t="s">
        <v>25</v>
      </c>
      <c r="L737" s="9" t="s">
        <v>1369</v>
      </c>
      <c r="M737" s="9" t="s">
        <v>1638</v>
      </c>
      <c r="N737" s="9" t="str">
        <f t="shared" si="11"/>
        <v>EDIVILSON MENEZES</v>
      </c>
    </row>
    <row r="738" spans="1:14" x14ac:dyDescent="0.3">
      <c r="A738" s="9">
        <v>705557</v>
      </c>
      <c r="B738" s="9" t="s">
        <v>1331</v>
      </c>
      <c r="C738" s="10" t="s">
        <v>15</v>
      </c>
      <c r="D738" s="11">
        <v>45874</v>
      </c>
      <c r="E738" s="9" t="s">
        <v>31</v>
      </c>
      <c r="F738" s="9">
        <v>39601</v>
      </c>
      <c r="G738" s="9" t="s">
        <v>660</v>
      </c>
      <c r="H738" s="9" t="s">
        <v>661</v>
      </c>
      <c r="J738" s="9" t="s">
        <v>684</v>
      </c>
      <c r="K738" s="9" t="s">
        <v>666</v>
      </c>
      <c r="L738" s="9" t="s">
        <v>258</v>
      </c>
      <c r="M738" s="9" t="s">
        <v>1392</v>
      </c>
      <c r="N738" s="9" t="str">
        <f t="shared" si="11"/>
        <v>ADALTON/JANILSON RORIZ/MARIVALDO</v>
      </c>
    </row>
    <row r="739" spans="1:14" x14ac:dyDescent="0.3">
      <c r="A739" s="9">
        <v>701350</v>
      </c>
      <c r="B739" s="9" t="s">
        <v>753</v>
      </c>
      <c r="C739" s="10" t="s">
        <v>92</v>
      </c>
      <c r="D739" s="11">
        <v>43759</v>
      </c>
      <c r="E739" s="9" t="s">
        <v>423</v>
      </c>
      <c r="F739" s="9">
        <v>31103</v>
      </c>
      <c r="G739" s="9" t="s">
        <v>718</v>
      </c>
      <c r="H739" s="9" t="s">
        <v>661</v>
      </c>
      <c r="I739" s="11">
        <v>46121</v>
      </c>
      <c r="J739" s="9" t="s">
        <v>719</v>
      </c>
      <c r="K739" s="9" t="s">
        <v>1381</v>
      </c>
      <c r="N739" s="9" t="str">
        <f t="shared" si="11"/>
        <v>MARCOS OLIVEIRA</v>
      </c>
    </row>
    <row r="740" spans="1:14" x14ac:dyDescent="0.3">
      <c r="A740" s="9">
        <v>705851</v>
      </c>
      <c r="B740" s="9" t="s">
        <v>1571</v>
      </c>
      <c r="C740" s="10" t="s">
        <v>15</v>
      </c>
      <c r="D740" s="11">
        <v>46063</v>
      </c>
      <c r="E740" s="9" t="s">
        <v>31</v>
      </c>
      <c r="F740" s="9">
        <v>24102</v>
      </c>
      <c r="G740" s="9" t="s">
        <v>669</v>
      </c>
      <c r="H740" s="9" t="s">
        <v>661</v>
      </c>
      <c r="J740" s="9" t="s">
        <v>672</v>
      </c>
      <c r="K740" s="9" t="s">
        <v>666</v>
      </c>
      <c r="L740" s="9" t="s">
        <v>1388</v>
      </c>
      <c r="M740" s="9" t="s">
        <v>1637</v>
      </c>
      <c r="N740" s="9" t="str">
        <f t="shared" si="11"/>
        <v>JUNIO TEIXEIRA /EDIVILSON</v>
      </c>
    </row>
    <row r="741" spans="1:14" x14ac:dyDescent="0.3">
      <c r="A741" s="9">
        <v>705857</v>
      </c>
      <c r="B741" s="9" t="s">
        <v>1572</v>
      </c>
      <c r="C741" s="10" t="s">
        <v>15</v>
      </c>
      <c r="D741" s="11">
        <v>46063</v>
      </c>
      <c r="E741" s="9" t="s">
        <v>31</v>
      </c>
      <c r="F741" s="9">
        <v>24102</v>
      </c>
      <c r="G741" s="9" t="s">
        <v>669</v>
      </c>
      <c r="H741" s="9" t="s">
        <v>661</v>
      </c>
      <c r="J741" s="9" t="s">
        <v>672</v>
      </c>
      <c r="K741" s="9" t="s">
        <v>666</v>
      </c>
      <c r="L741" s="9" t="s">
        <v>1388</v>
      </c>
      <c r="M741" s="9" t="s">
        <v>1637</v>
      </c>
      <c r="N741" s="9" t="str">
        <f t="shared" si="11"/>
        <v>JUNIO TEIXEIRA /EDIVILSON</v>
      </c>
    </row>
    <row r="742" spans="1:14" x14ac:dyDescent="0.3">
      <c r="A742" s="9">
        <v>704456</v>
      </c>
      <c r="B742" s="9" t="s">
        <v>754</v>
      </c>
      <c r="C742" s="10" t="s">
        <v>15</v>
      </c>
      <c r="D742" s="11">
        <v>45419</v>
      </c>
      <c r="E742" s="9" t="s">
        <v>31</v>
      </c>
      <c r="F742" s="9">
        <v>39601</v>
      </c>
      <c r="G742" s="9" t="s">
        <v>660</v>
      </c>
      <c r="H742" s="9" t="s">
        <v>661</v>
      </c>
      <c r="J742" s="9" t="s">
        <v>684</v>
      </c>
      <c r="K742" s="9" t="s">
        <v>666</v>
      </c>
      <c r="L742" s="9" t="s">
        <v>258</v>
      </c>
      <c r="M742" s="9" t="s">
        <v>1392</v>
      </c>
      <c r="N742" s="9" t="str">
        <f t="shared" si="11"/>
        <v>ADALTON/JANILSON RORIZ/MARIVALDO</v>
      </c>
    </row>
    <row r="743" spans="1:14" x14ac:dyDescent="0.3">
      <c r="A743" s="9">
        <v>702612</v>
      </c>
      <c r="B743" s="9" t="s">
        <v>755</v>
      </c>
      <c r="C743" s="10" t="s">
        <v>15</v>
      </c>
      <c r="D743" s="11">
        <v>44487</v>
      </c>
      <c r="E743" s="9" t="s">
        <v>219</v>
      </c>
      <c r="F743" s="9">
        <v>32102</v>
      </c>
      <c r="G743" s="9" t="s">
        <v>674</v>
      </c>
      <c r="H743" s="9" t="s">
        <v>661</v>
      </c>
      <c r="J743" s="9" t="s">
        <v>675</v>
      </c>
      <c r="K743" s="9" t="s">
        <v>25</v>
      </c>
      <c r="L743" s="9" t="s">
        <v>1369</v>
      </c>
      <c r="M743" s="9" t="s">
        <v>1638</v>
      </c>
      <c r="N743" s="9" t="str">
        <f t="shared" si="11"/>
        <v>EDIVILSON MENEZES</v>
      </c>
    </row>
    <row r="744" spans="1:14" x14ac:dyDescent="0.3">
      <c r="A744" s="9">
        <v>703620</v>
      </c>
      <c r="B744" s="9" t="s">
        <v>756</v>
      </c>
      <c r="C744" s="10" t="s">
        <v>15</v>
      </c>
      <c r="D744" s="11">
        <v>44991</v>
      </c>
      <c r="E744" s="9" t="s">
        <v>138</v>
      </c>
      <c r="F744" s="9">
        <v>24102</v>
      </c>
      <c r="G744" s="9" t="s">
        <v>669</v>
      </c>
      <c r="H744" s="9" t="s">
        <v>661</v>
      </c>
      <c r="J744" s="9" t="s">
        <v>682</v>
      </c>
      <c r="K744" s="9" t="s">
        <v>666</v>
      </c>
      <c r="L744" s="9" t="s">
        <v>1390</v>
      </c>
      <c r="M744" s="9" t="s">
        <v>1391</v>
      </c>
      <c r="N744" s="9" t="str">
        <f t="shared" si="11"/>
        <v>ALCENO JUNIOR/JOÃO MARCOS</v>
      </c>
    </row>
    <row r="745" spans="1:14" x14ac:dyDescent="0.3">
      <c r="A745" s="9">
        <v>704038</v>
      </c>
      <c r="B745" s="9" t="s">
        <v>758</v>
      </c>
      <c r="C745" s="10" t="s">
        <v>15</v>
      </c>
      <c r="D745" s="11">
        <v>45145</v>
      </c>
      <c r="E745" s="9" t="s">
        <v>31</v>
      </c>
      <c r="F745" s="9">
        <v>24102</v>
      </c>
      <c r="G745" s="9" t="s">
        <v>669</v>
      </c>
      <c r="H745" s="9" t="s">
        <v>661</v>
      </c>
      <c r="J745" s="9" t="s">
        <v>672</v>
      </c>
      <c r="K745" s="9" t="s">
        <v>666</v>
      </c>
      <c r="L745" s="9" t="s">
        <v>1388</v>
      </c>
      <c r="M745" s="9" t="s">
        <v>1637</v>
      </c>
      <c r="N745" s="9" t="str">
        <f t="shared" si="11"/>
        <v>JUNIO TEIXEIRA /EDIVILSON</v>
      </c>
    </row>
    <row r="746" spans="1:14" x14ac:dyDescent="0.3">
      <c r="A746" s="9">
        <v>704313</v>
      </c>
      <c r="B746" s="9" t="s">
        <v>759</v>
      </c>
      <c r="C746" s="10" t="s">
        <v>15</v>
      </c>
      <c r="D746" s="11">
        <v>45356</v>
      </c>
      <c r="E746" s="9" t="s">
        <v>16</v>
      </c>
      <c r="F746" s="9">
        <v>24102</v>
      </c>
      <c r="G746" s="9" t="s">
        <v>669</v>
      </c>
      <c r="H746" s="9" t="s">
        <v>661</v>
      </c>
      <c r="J746" s="9" t="s">
        <v>682</v>
      </c>
      <c r="K746" s="9" t="s">
        <v>666</v>
      </c>
      <c r="L746" s="9" t="s">
        <v>1390</v>
      </c>
      <c r="M746" s="9" t="s">
        <v>1391</v>
      </c>
      <c r="N746" s="9" t="str">
        <f t="shared" si="11"/>
        <v>ALCENO JUNIOR/JOÃO MARCOS</v>
      </c>
    </row>
    <row r="747" spans="1:14" x14ac:dyDescent="0.3">
      <c r="A747" s="9">
        <v>101262</v>
      </c>
      <c r="B747" s="9" t="s">
        <v>760</v>
      </c>
      <c r="C747" s="10" t="s">
        <v>15</v>
      </c>
      <c r="D747" s="11">
        <v>42800</v>
      </c>
      <c r="E747" s="9" t="s">
        <v>1179</v>
      </c>
      <c r="F747" s="9">
        <v>24102</v>
      </c>
      <c r="G747" s="9" t="s">
        <v>669</v>
      </c>
      <c r="H747" s="9" t="s">
        <v>661</v>
      </c>
      <c r="J747" s="9" t="s">
        <v>1662</v>
      </c>
      <c r="K747" s="9" t="s">
        <v>1508</v>
      </c>
      <c r="N747" s="9" t="str">
        <f t="shared" si="11"/>
        <v xml:space="preserve">CARLOS OLIVEIRA </v>
      </c>
    </row>
    <row r="748" spans="1:14" x14ac:dyDescent="0.3">
      <c r="A748" s="9">
        <v>705655</v>
      </c>
      <c r="B748" s="9" t="s">
        <v>1423</v>
      </c>
      <c r="C748" s="10" t="s">
        <v>15</v>
      </c>
      <c r="D748" s="11">
        <v>45944</v>
      </c>
      <c r="E748" s="9" t="s">
        <v>31</v>
      </c>
      <c r="F748" s="9">
        <v>39601</v>
      </c>
      <c r="G748" s="9" t="s">
        <v>660</v>
      </c>
      <c r="H748" s="9" t="s">
        <v>661</v>
      </c>
      <c r="J748" s="9" t="s">
        <v>662</v>
      </c>
      <c r="K748" s="9" t="s">
        <v>666</v>
      </c>
      <c r="L748" s="9" t="s">
        <v>258</v>
      </c>
      <c r="N748" s="9" t="str">
        <f t="shared" si="11"/>
        <v>MATHEUS ALMEIDA</v>
      </c>
    </row>
    <row r="749" spans="1:14" x14ac:dyDescent="0.3">
      <c r="A749" s="9">
        <v>705991</v>
      </c>
      <c r="B749" s="9" t="s">
        <v>1709</v>
      </c>
      <c r="C749" s="10" t="s">
        <v>15</v>
      </c>
      <c r="D749" s="11">
        <v>46119</v>
      </c>
      <c r="E749" s="9" t="s">
        <v>31</v>
      </c>
      <c r="F749" s="9">
        <v>24102</v>
      </c>
      <c r="G749" s="9" t="s">
        <v>669</v>
      </c>
      <c r="H749" s="9" t="s">
        <v>661</v>
      </c>
      <c r="J749" s="9" t="s">
        <v>670</v>
      </c>
      <c r="K749" s="9" t="s">
        <v>666</v>
      </c>
      <c r="L749" s="9" t="s">
        <v>1388</v>
      </c>
      <c r="M749" s="9" t="s">
        <v>1637</v>
      </c>
      <c r="N749" s="9" t="str">
        <f t="shared" si="11"/>
        <v>JUNIO TEIXEIRA /EDIVILSON</v>
      </c>
    </row>
    <row r="750" spans="1:14" x14ac:dyDescent="0.3">
      <c r="A750" s="9">
        <v>704169</v>
      </c>
      <c r="B750" s="9" t="s">
        <v>761</v>
      </c>
      <c r="C750" s="10" t="s">
        <v>15</v>
      </c>
      <c r="D750" s="11">
        <v>45272</v>
      </c>
      <c r="E750" s="9" t="s">
        <v>1348</v>
      </c>
      <c r="F750" s="9">
        <v>32102</v>
      </c>
      <c r="G750" s="9" t="s">
        <v>674</v>
      </c>
      <c r="H750" s="9" t="s">
        <v>661</v>
      </c>
      <c r="J750" s="9" t="s">
        <v>675</v>
      </c>
      <c r="K750" s="9" t="s">
        <v>25</v>
      </c>
      <c r="L750" s="9" t="s">
        <v>1369</v>
      </c>
      <c r="M750" s="9" t="s">
        <v>1638</v>
      </c>
      <c r="N750" s="9" t="str">
        <f t="shared" si="11"/>
        <v>EDIVILSON MENEZES</v>
      </c>
    </row>
    <row r="751" spans="1:14" x14ac:dyDescent="0.3">
      <c r="A751" s="9">
        <v>704252</v>
      </c>
      <c r="B751" s="9" t="s">
        <v>762</v>
      </c>
      <c r="C751" s="10" t="s">
        <v>15</v>
      </c>
      <c r="D751" s="11">
        <v>45342</v>
      </c>
      <c r="E751" s="9" t="s">
        <v>31</v>
      </c>
      <c r="F751" s="9">
        <v>24102</v>
      </c>
      <c r="G751" s="9" t="s">
        <v>669</v>
      </c>
      <c r="H751" s="9" t="s">
        <v>661</v>
      </c>
      <c r="J751" s="9" t="s">
        <v>680</v>
      </c>
      <c r="K751" s="9" t="s">
        <v>666</v>
      </c>
      <c r="L751" s="9" t="s">
        <v>1388</v>
      </c>
      <c r="M751" s="9" t="s">
        <v>1637</v>
      </c>
      <c r="N751" s="9" t="str">
        <f t="shared" si="11"/>
        <v>JUNIO TEIXEIRA /EDIVILSON</v>
      </c>
    </row>
    <row r="752" spans="1:14" x14ac:dyDescent="0.3">
      <c r="A752" s="9">
        <v>101702</v>
      </c>
      <c r="B752" s="9" t="s">
        <v>763</v>
      </c>
      <c r="C752" s="10" t="s">
        <v>15</v>
      </c>
      <c r="D752" s="11">
        <v>43060</v>
      </c>
      <c r="E752" s="9" t="s">
        <v>146</v>
      </c>
      <c r="F752" s="9">
        <v>39601</v>
      </c>
      <c r="G752" s="9" t="s">
        <v>660</v>
      </c>
      <c r="H752" s="9" t="s">
        <v>661</v>
      </c>
      <c r="J752" s="9" t="s">
        <v>662</v>
      </c>
      <c r="K752" s="9" t="s">
        <v>666</v>
      </c>
      <c r="L752" s="9" t="s">
        <v>258</v>
      </c>
      <c r="N752" s="9" t="str">
        <f t="shared" si="11"/>
        <v>MATHEUS ALMEIDA</v>
      </c>
    </row>
    <row r="753" spans="1:14" x14ac:dyDescent="0.3">
      <c r="A753" s="9">
        <v>705656</v>
      </c>
      <c r="B753" s="9" t="s">
        <v>1424</v>
      </c>
      <c r="C753" s="10" t="s">
        <v>15</v>
      </c>
      <c r="D753" s="11">
        <v>45944</v>
      </c>
      <c r="E753" s="9" t="s">
        <v>31</v>
      </c>
      <c r="F753" s="9">
        <v>24102</v>
      </c>
      <c r="G753" s="9" t="s">
        <v>669</v>
      </c>
      <c r="H753" s="9" t="s">
        <v>661</v>
      </c>
      <c r="J753" s="9" t="s">
        <v>682</v>
      </c>
      <c r="K753" s="9" t="s">
        <v>666</v>
      </c>
      <c r="L753" s="9" t="s">
        <v>1390</v>
      </c>
      <c r="M753" s="9" t="s">
        <v>1391</v>
      </c>
      <c r="N753" s="9" t="str">
        <f t="shared" si="11"/>
        <v>ALCENO JUNIOR/JOÃO MARCOS</v>
      </c>
    </row>
    <row r="754" spans="1:14" x14ac:dyDescent="0.3">
      <c r="A754" s="9">
        <v>704782</v>
      </c>
      <c r="B754" s="9" t="s">
        <v>764</v>
      </c>
      <c r="C754" s="10" t="s">
        <v>15</v>
      </c>
      <c r="D754" s="11">
        <v>45551</v>
      </c>
      <c r="E754" s="9" t="s">
        <v>31</v>
      </c>
      <c r="F754" s="9">
        <v>39601</v>
      </c>
      <c r="G754" s="9" t="s">
        <v>660</v>
      </c>
      <c r="H754" s="9" t="s">
        <v>661</v>
      </c>
      <c r="J754" s="9" t="s">
        <v>684</v>
      </c>
      <c r="K754" s="9" t="s">
        <v>666</v>
      </c>
      <c r="L754" s="9" t="s">
        <v>258</v>
      </c>
      <c r="M754" s="9" t="s">
        <v>1392</v>
      </c>
      <c r="N754" s="9" t="str">
        <f t="shared" si="11"/>
        <v>ADALTON/JANILSON RORIZ/MARIVALDO</v>
      </c>
    </row>
    <row r="755" spans="1:14" x14ac:dyDescent="0.3">
      <c r="A755" s="9">
        <v>706007</v>
      </c>
      <c r="B755" s="9" t="s">
        <v>1710</v>
      </c>
      <c r="C755" s="10" t="s">
        <v>15</v>
      </c>
      <c r="D755" s="11">
        <v>46126</v>
      </c>
      <c r="E755" s="9" t="s">
        <v>31</v>
      </c>
      <c r="F755" s="9">
        <v>39601</v>
      </c>
      <c r="G755" s="9" t="s">
        <v>660</v>
      </c>
      <c r="H755" s="9" t="s">
        <v>661</v>
      </c>
      <c r="J755" s="9" t="s">
        <v>662</v>
      </c>
      <c r="K755" s="9" t="s">
        <v>666</v>
      </c>
      <c r="L755" s="9" t="s">
        <v>258</v>
      </c>
      <c r="N755" s="9" t="str">
        <f t="shared" si="11"/>
        <v>MATHEUS ALMEIDA</v>
      </c>
    </row>
    <row r="756" spans="1:14" x14ac:dyDescent="0.3">
      <c r="A756" s="9">
        <v>704378</v>
      </c>
      <c r="B756" s="9" t="s">
        <v>765</v>
      </c>
      <c r="C756" s="10" t="s">
        <v>15</v>
      </c>
      <c r="D756" s="11">
        <v>45384</v>
      </c>
      <c r="E756" s="9" t="s">
        <v>60</v>
      </c>
      <c r="F756" s="9">
        <v>39601</v>
      </c>
      <c r="G756" s="9" t="s">
        <v>660</v>
      </c>
      <c r="H756" s="9" t="s">
        <v>661</v>
      </c>
      <c r="J756" s="9" t="s">
        <v>684</v>
      </c>
      <c r="K756" s="9" t="s">
        <v>666</v>
      </c>
      <c r="L756" s="9" t="s">
        <v>258</v>
      </c>
      <c r="M756" s="9" t="s">
        <v>1392</v>
      </c>
      <c r="N756" s="9" t="str">
        <f t="shared" si="11"/>
        <v>ADALTON/JANILSON RORIZ/MARIVALDO</v>
      </c>
    </row>
    <row r="757" spans="1:14" x14ac:dyDescent="0.3">
      <c r="A757" s="9">
        <v>704317</v>
      </c>
      <c r="B757" s="9" t="s">
        <v>766</v>
      </c>
      <c r="C757" s="10" t="s">
        <v>15</v>
      </c>
      <c r="D757" s="11">
        <v>45356</v>
      </c>
      <c r="E757" s="9" t="s">
        <v>109</v>
      </c>
      <c r="F757" s="9">
        <v>32102</v>
      </c>
      <c r="G757" s="9" t="s">
        <v>674</v>
      </c>
      <c r="H757" s="9" t="s">
        <v>661</v>
      </c>
      <c r="J757" s="9" t="s">
        <v>675</v>
      </c>
      <c r="K757" s="9" t="s">
        <v>25</v>
      </c>
      <c r="L757" s="9" t="s">
        <v>1369</v>
      </c>
      <c r="M757" s="9" t="s">
        <v>1638</v>
      </c>
      <c r="N757" s="9" t="str">
        <f t="shared" si="11"/>
        <v>EDIVILSON MENEZES</v>
      </c>
    </row>
    <row r="758" spans="1:14" x14ac:dyDescent="0.3">
      <c r="A758" s="9">
        <v>705483</v>
      </c>
      <c r="B758" s="9" t="s">
        <v>1281</v>
      </c>
      <c r="C758" s="10" t="s">
        <v>15</v>
      </c>
      <c r="D758" s="11">
        <v>45824</v>
      </c>
      <c r="E758" s="9" t="s">
        <v>336</v>
      </c>
      <c r="F758" s="9">
        <v>24102</v>
      </c>
      <c r="G758" s="9" t="s">
        <v>669</v>
      </c>
      <c r="H758" s="9" t="s">
        <v>661</v>
      </c>
      <c r="J758" s="9" t="s">
        <v>804</v>
      </c>
      <c r="K758" s="9" t="s">
        <v>666</v>
      </c>
      <c r="M758" s="9" t="s">
        <v>805</v>
      </c>
      <c r="N758" s="9" t="str">
        <f t="shared" si="11"/>
        <v>JAILSON RORIZ</v>
      </c>
    </row>
    <row r="759" spans="1:14" x14ac:dyDescent="0.3">
      <c r="A759" s="9">
        <v>702137</v>
      </c>
      <c r="B759" s="9" t="s">
        <v>767</v>
      </c>
      <c r="C759" s="10" t="s">
        <v>15</v>
      </c>
      <c r="D759" s="11">
        <v>44299</v>
      </c>
      <c r="E759" s="9" t="s">
        <v>31</v>
      </c>
      <c r="F759" s="9">
        <v>24102</v>
      </c>
      <c r="G759" s="9" t="s">
        <v>669</v>
      </c>
      <c r="H759" s="9" t="s">
        <v>661</v>
      </c>
      <c r="J759" s="9" t="s">
        <v>680</v>
      </c>
      <c r="K759" s="9" t="s">
        <v>666</v>
      </c>
      <c r="L759" s="9" t="s">
        <v>1388</v>
      </c>
      <c r="M759" s="9" t="s">
        <v>1637</v>
      </c>
      <c r="N759" s="9" t="str">
        <f t="shared" si="11"/>
        <v>JUNIO TEIXEIRA /EDIVILSON</v>
      </c>
    </row>
    <row r="760" spans="1:14" x14ac:dyDescent="0.3">
      <c r="A760" s="9">
        <v>704669</v>
      </c>
      <c r="B760" s="9" t="s">
        <v>769</v>
      </c>
      <c r="C760" s="10" t="s">
        <v>15</v>
      </c>
      <c r="D760" s="11">
        <v>45489</v>
      </c>
      <c r="E760" s="9" t="s">
        <v>427</v>
      </c>
      <c r="F760" s="9">
        <v>39602</v>
      </c>
      <c r="G760" s="9" t="s">
        <v>699</v>
      </c>
      <c r="H760" s="9" t="s">
        <v>661</v>
      </c>
      <c r="J760" s="9" t="s">
        <v>700</v>
      </c>
      <c r="K760" s="9" t="s">
        <v>666</v>
      </c>
      <c r="L760" s="9" t="s">
        <v>258</v>
      </c>
      <c r="M760" s="9" t="s">
        <v>701</v>
      </c>
      <c r="N760" s="9" t="str">
        <f t="shared" si="11"/>
        <v>IURY GUEDES</v>
      </c>
    </row>
    <row r="761" spans="1:14" x14ac:dyDescent="0.3">
      <c r="A761" s="9">
        <v>705221</v>
      </c>
      <c r="B761" s="9" t="s">
        <v>1170</v>
      </c>
      <c r="C761" s="10" t="s">
        <v>15</v>
      </c>
      <c r="D761" s="11">
        <v>45734</v>
      </c>
      <c r="E761" s="9" t="s">
        <v>31</v>
      </c>
      <c r="F761" s="9">
        <v>24102</v>
      </c>
      <c r="G761" s="9" t="s">
        <v>669</v>
      </c>
      <c r="H761" s="9" t="s">
        <v>661</v>
      </c>
      <c r="J761" s="9" t="s">
        <v>680</v>
      </c>
      <c r="K761" s="9" t="s">
        <v>666</v>
      </c>
      <c r="L761" s="9" t="s">
        <v>1388</v>
      </c>
      <c r="M761" s="9" t="s">
        <v>1637</v>
      </c>
      <c r="N761" s="9" t="str">
        <f t="shared" si="11"/>
        <v>JUNIO TEIXEIRA /EDIVILSON</v>
      </c>
    </row>
    <row r="762" spans="1:14" x14ac:dyDescent="0.3">
      <c r="A762" s="9">
        <v>703007</v>
      </c>
      <c r="B762" s="9" t="s">
        <v>770</v>
      </c>
      <c r="C762" s="10" t="s">
        <v>233</v>
      </c>
      <c r="D762" s="11">
        <v>44691</v>
      </c>
      <c r="E762" s="9" t="s">
        <v>507</v>
      </c>
      <c r="F762" s="9">
        <v>24102</v>
      </c>
      <c r="G762" s="9" t="s">
        <v>669</v>
      </c>
      <c r="H762" s="9" t="s">
        <v>661</v>
      </c>
      <c r="J762" s="9" t="s">
        <v>672</v>
      </c>
      <c r="K762" s="9" t="s">
        <v>666</v>
      </c>
      <c r="L762" s="9" t="s">
        <v>1388</v>
      </c>
      <c r="M762" s="9" t="s">
        <v>1637</v>
      </c>
      <c r="N762" s="9" t="str">
        <f t="shared" si="11"/>
        <v>JUNIO TEIXEIRA /EDIVILSON</v>
      </c>
    </row>
    <row r="763" spans="1:14" x14ac:dyDescent="0.3">
      <c r="A763" s="9">
        <v>706000</v>
      </c>
      <c r="B763" s="9" t="s">
        <v>1711</v>
      </c>
      <c r="C763" s="10" t="s">
        <v>15</v>
      </c>
      <c r="D763" s="11">
        <v>46119</v>
      </c>
      <c r="E763" s="9" t="s">
        <v>31</v>
      </c>
      <c r="F763" s="9">
        <v>24102</v>
      </c>
      <c r="G763" s="9" t="s">
        <v>669</v>
      </c>
      <c r="H763" s="9" t="s">
        <v>661</v>
      </c>
      <c r="J763" s="9" t="s">
        <v>680</v>
      </c>
      <c r="K763" s="9" t="s">
        <v>666</v>
      </c>
      <c r="L763" s="9" t="s">
        <v>1388</v>
      </c>
      <c r="M763" s="9" t="s">
        <v>1637</v>
      </c>
      <c r="N763" s="9" t="str">
        <f t="shared" si="11"/>
        <v>JUNIO TEIXEIRA /EDIVILSON</v>
      </c>
    </row>
    <row r="764" spans="1:14" x14ac:dyDescent="0.3">
      <c r="A764" s="9">
        <v>703809</v>
      </c>
      <c r="B764" s="9" t="s">
        <v>771</v>
      </c>
      <c r="C764" s="10" t="s">
        <v>15</v>
      </c>
      <c r="D764" s="11">
        <v>45050</v>
      </c>
      <c r="E764" s="9" t="s">
        <v>31</v>
      </c>
      <c r="F764" s="9">
        <v>39601</v>
      </c>
      <c r="G764" s="9" t="s">
        <v>660</v>
      </c>
      <c r="H764" s="9" t="s">
        <v>661</v>
      </c>
      <c r="J764" s="9" t="s">
        <v>684</v>
      </c>
      <c r="K764" s="9" t="s">
        <v>666</v>
      </c>
      <c r="L764" s="9" t="s">
        <v>258</v>
      </c>
      <c r="M764" s="9" t="s">
        <v>1392</v>
      </c>
      <c r="N764" s="9" t="str">
        <f t="shared" si="11"/>
        <v>ADALTON/JANILSON RORIZ/MARIVALDO</v>
      </c>
    </row>
    <row r="765" spans="1:14" x14ac:dyDescent="0.3">
      <c r="A765" s="9">
        <v>701689</v>
      </c>
      <c r="B765" s="9" t="s">
        <v>772</v>
      </c>
      <c r="C765" s="10" t="s">
        <v>15</v>
      </c>
      <c r="D765" s="11">
        <v>44025</v>
      </c>
      <c r="E765" s="9" t="s">
        <v>60</v>
      </c>
      <c r="F765" s="9">
        <v>24102</v>
      </c>
      <c r="G765" s="9" t="s">
        <v>669</v>
      </c>
      <c r="H765" s="9" t="s">
        <v>661</v>
      </c>
      <c r="J765" s="9" t="s">
        <v>697</v>
      </c>
      <c r="K765" s="9" t="s">
        <v>666</v>
      </c>
      <c r="L765" s="9" t="s">
        <v>1390</v>
      </c>
      <c r="M765" s="9" t="s">
        <v>1391</v>
      </c>
      <c r="N765" s="9" t="str">
        <f t="shared" si="11"/>
        <v>ALCENO JUNIOR/JOÃO MARCOS</v>
      </c>
    </row>
    <row r="766" spans="1:14" x14ac:dyDescent="0.3">
      <c r="A766" s="9">
        <v>703514</v>
      </c>
      <c r="B766" s="9" t="s">
        <v>773</v>
      </c>
      <c r="C766" s="10" t="s">
        <v>15</v>
      </c>
      <c r="D766" s="11">
        <v>44901</v>
      </c>
      <c r="E766" s="9" t="s">
        <v>427</v>
      </c>
      <c r="F766" s="9">
        <v>39602</v>
      </c>
      <c r="G766" s="9" t="s">
        <v>699</v>
      </c>
      <c r="H766" s="9" t="s">
        <v>661</v>
      </c>
      <c r="J766" s="9" t="s">
        <v>700</v>
      </c>
      <c r="K766" s="9" t="s">
        <v>666</v>
      </c>
      <c r="L766" s="9" t="s">
        <v>258</v>
      </c>
      <c r="M766" s="9" t="s">
        <v>701</v>
      </c>
      <c r="N766" s="9" t="str">
        <f t="shared" si="11"/>
        <v>IURY GUEDES</v>
      </c>
    </row>
    <row r="767" spans="1:14" x14ac:dyDescent="0.3">
      <c r="A767" s="9">
        <v>705282</v>
      </c>
      <c r="B767" s="9" t="s">
        <v>1190</v>
      </c>
      <c r="C767" s="10" t="s">
        <v>15</v>
      </c>
      <c r="D767" s="11">
        <v>45762</v>
      </c>
      <c r="E767" s="9" t="s">
        <v>31</v>
      </c>
      <c r="F767" s="9">
        <v>39601</v>
      </c>
      <c r="G767" s="9" t="s">
        <v>660</v>
      </c>
      <c r="H767" s="9" t="s">
        <v>661</v>
      </c>
      <c r="J767" s="9" t="s">
        <v>684</v>
      </c>
      <c r="K767" s="9" t="s">
        <v>666</v>
      </c>
      <c r="L767" s="9" t="s">
        <v>258</v>
      </c>
      <c r="M767" s="9" t="s">
        <v>1392</v>
      </c>
      <c r="N767" s="9" t="str">
        <f t="shared" si="11"/>
        <v>ADALTON/JANILSON RORIZ/MARIVALDO</v>
      </c>
    </row>
    <row r="768" spans="1:14" x14ac:dyDescent="0.3">
      <c r="A768" s="9">
        <v>702584</v>
      </c>
      <c r="B768" s="9" t="s">
        <v>774</v>
      </c>
      <c r="C768" s="10" t="s">
        <v>15</v>
      </c>
      <c r="D768" s="11">
        <v>44474</v>
      </c>
      <c r="E768" s="9" t="s">
        <v>427</v>
      </c>
      <c r="F768" s="9">
        <v>24201</v>
      </c>
      <c r="G768" s="9" t="s">
        <v>664</v>
      </c>
      <c r="H768" s="9" t="s">
        <v>661</v>
      </c>
      <c r="J768" s="9" t="s">
        <v>665</v>
      </c>
      <c r="K768" s="9" t="s">
        <v>666</v>
      </c>
      <c r="L768" s="9" t="s">
        <v>258</v>
      </c>
      <c r="M768" s="9" t="s">
        <v>667</v>
      </c>
      <c r="N768" s="9" t="str">
        <f t="shared" si="11"/>
        <v>JOSIEL NEVES</v>
      </c>
    </row>
    <row r="769" spans="1:14" x14ac:dyDescent="0.3">
      <c r="A769" s="9">
        <v>705279</v>
      </c>
      <c r="B769" s="9" t="s">
        <v>1191</v>
      </c>
      <c r="C769" s="10" t="s">
        <v>15</v>
      </c>
      <c r="D769" s="11">
        <v>45762</v>
      </c>
      <c r="E769" s="9" t="s">
        <v>31</v>
      </c>
      <c r="F769" s="9">
        <v>39601</v>
      </c>
      <c r="G769" s="9" t="s">
        <v>660</v>
      </c>
      <c r="H769" s="9" t="s">
        <v>661</v>
      </c>
      <c r="J769" s="9" t="s">
        <v>684</v>
      </c>
      <c r="K769" s="9" t="s">
        <v>666</v>
      </c>
      <c r="L769" s="9" t="s">
        <v>258</v>
      </c>
      <c r="M769" s="9" t="s">
        <v>1392</v>
      </c>
      <c r="N769" s="9" t="str">
        <f t="shared" si="11"/>
        <v>ADALTON/JANILSON RORIZ/MARIVALDO</v>
      </c>
    </row>
    <row r="770" spans="1:14" x14ac:dyDescent="0.3">
      <c r="A770" s="9">
        <v>704908</v>
      </c>
      <c r="B770" s="9" t="s">
        <v>775</v>
      </c>
      <c r="C770" s="10" t="s">
        <v>15</v>
      </c>
      <c r="D770" s="11">
        <v>45601</v>
      </c>
      <c r="E770" s="9" t="s">
        <v>31</v>
      </c>
      <c r="F770" s="9">
        <v>39601</v>
      </c>
      <c r="G770" s="9" t="s">
        <v>660</v>
      </c>
      <c r="H770" s="9" t="s">
        <v>661</v>
      </c>
      <c r="J770" s="9" t="s">
        <v>684</v>
      </c>
      <c r="K770" s="9" t="s">
        <v>666</v>
      </c>
      <c r="L770" s="9" t="s">
        <v>258</v>
      </c>
      <c r="M770" s="9" t="s">
        <v>1392</v>
      </c>
      <c r="N770" s="9" t="str">
        <f t="shared" si="11"/>
        <v>ADALTON/JANILSON RORIZ/MARIVALDO</v>
      </c>
    </row>
    <row r="771" spans="1:14" x14ac:dyDescent="0.3">
      <c r="A771" s="9">
        <v>705594</v>
      </c>
      <c r="B771" s="9" t="s">
        <v>1332</v>
      </c>
      <c r="C771" s="10" t="s">
        <v>15</v>
      </c>
      <c r="D771" s="11">
        <v>45881</v>
      </c>
      <c r="E771" s="9" t="s">
        <v>31</v>
      </c>
      <c r="F771" s="9">
        <v>39601</v>
      </c>
      <c r="G771" s="9" t="s">
        <v>660</v>
      </c>
      <c r="H771" s="9" t="s">
        <v>661</v>
      </c>
      <c r="J771" s="9" t="s">
        <v>684</v>
      </c>
      <c r="K771" s="9" t="s">
        <v>666</v>
      </c>
      <c r="L771" s="9" t="s">
        <v>258</v>
      </c>
      <c r="M771" s="9" t="s">
        <v>1392</v>
      </c>
      <c r="N771" s="9" t="str">
        <f t="shared" ref="N771:N834" si="12">IF(M771&lt;&gt;"", M771, IF(L771&lt;&gt;"", L771, K771))</f>
        <v>ADALTON/JANILSON RORIZ/MARIVALDO</v>
      </c>
    </row>
    <row r="772" spans="1:14" x14ac:dyDescent="0.3">
      <c r="A772" s="9">
        <v>704999</v>
      </c>
      <c r="B772" s="9" t="s">
        <v>776</v>
      </c>
      <c r="C772" s="10" t="s">
        <v>15</v>
      </c>
      <c r="D772" s="11">
        <v>45629</v>
      </c>
      <c r="E772" s="9" t="s">
        <v>31</v>
      </c>
      <c r="F772" s="9">
        <v>39601</v>
      </c>
      <c r="G772" s="9" t="s">
        <v>660</v>
      </c>
      <c r="H772" s="9" t="s">
        <v>661</v>
      </c>
      <c r="J772" s="9" t="s">
        <v>684</v>
      </c>
      <c r="K772" s="9" t="s">
        <v>666</v>
      </c>
      <c r="L772" s="9" t="s">
        <v>258</v>
      </c>
      <c r="M772" s="9" t="s">
        <v>1392</v>
      </c>
      <c r="N772" s="9" t="str">
        <f t="shared" si="12"/>
        <v>ADALTON/JANILSON RORIZ/MARIVALDO</v>
      </c>
    </row>
    <row r="773" spans="1:14" x14ac:dyDescent="0.3">
      <c r="A773" s="9">
        <v>701855</v>
      </c>
      <c r="B773" s="9" t="s">
        <v>777</v>
      </c>
      <c r="C773" s="10" t="s">
        <v>15</v>
      </c>
      <c r="D773" s="11">
        <v>44125</v>
      </c>
      <c r="E773" s="9" t="s">
        <v>31</v>
      </c>
      <c r="F773" s="9">
        <v>24102</v>
      </c>
      <c r="G773" s="9" t="s">
        <v>669</v>
      </c>
      <c r="H773" s="9" t="s">
        <v>661</v>
      </c>
      <c r="J773" s="9" t="s">
        <v>680</v>
      </c>
      <c r="K773" s="9" t="s">
        <v>666</v>
      </c>
      <c r="L773" s="9" t="s">
        <v>1388</v>
      </c>
      <c r="M773" s="9" t="s">
        <v>1637</v>
      </c>
      <c r="N773" s="9" t="str">
        <f t="shared" si="12"/>
        <v>JUNIO TEIXEIRA /EDIVILSON</v>
      </c>
    </row>
    <row r="774" spans="1:14" x14ac:dyDescent="0.3">
      <c r="A774" s="9">
        <v>703149</v>
      </c>
      <c r="B774" s="9" t="s">
        <v>778</v>
      </c>
      <c r="C774" s="10" t="s">
        <v>15</v>
      </c>
      <c r="D774" s="11">
        <v>44725</v>
      </c>
      <c r="E774" s="9" t="s">
        <v>31</v>
      </c>
      <c r="F774" s="9">
        <v>24102</v>
      </c>
      <c r="G774" s="9" t="s">
        <v>669</v>
      </c>
      <c r="H774" s="9" t="s">
        <v>661</v>
      </c>
      <c r="J774" s="9" t="s">
        <v>672</v>
      </c>
      <c r="K774" s="9" t="s">
        <v>666</v>
      </c>
      <c r="L774" s="9" t="s">
        <v>1388</v>
      </c>
      <c r="M774" s="9" t="s">
        <v>1637</v>
      </c>
      <c r="N774" s="9" t="str">
        <f t="shared" si="12"/>
        <v>JUNIO TEIXEIRA /EDIVILSON</v>
      </c>
    </row>
    <row r="775" spans="1:14" x14ac:dyDescent="0.3">
      <c r="A775" s="9">
        <v>701115</v>
      </c>
      <c r="B775" s="9" t="s">
        <v>779</v>
      </c>
      <c r="C775" s="10" t="s">
        <v>15</v>
      </c>
      <c r="D775" s="11">
        <v>43641</v>
      </c>
      <c r="E775" s="9" t="s">
        <v>27</v>
      </c>
      <c r="F775" s="9">
        <v>39601</v>
      </c>
      <c r="G775" s="9" t="s">
        <v>660</v>
      </c>
      <c r="H775" s="9" t="s">
        <v>661</v>
      </c>
      <c r="J775" s="9" t="s">
        <v>662</v>
      </c>
      <c r="K775" s="9" t="s">
        <v>666</v>
      </c>
      <c r="L775" s="9" t="s">
        <v>258</v>
      </c>
      <c r="N775" s="9" t="str">
        <f t="shared" si="12"/>
        <v>MATHEUS ALMEIDA</v>
      </c>
    </row>
    <row r="776" spans="1:14" x14ac:dyDescent="0.3">
      <c r="A776" s="9">
        <v>702401</v>
      </c>
      <c r="B776" s="9" t="s">
        <v>780</v>
      </c>
      <c r="C776" s="10" t="s">
        <v>15</v>
      </c>
      <c r="D776" s="11">
        <v>44383</v>
      </c>
      <c r="E776" s="9" t="s">
        <v>179</v>
      </c>
      <c r="F776" s="9">
        <v>32102</v>
      </c>
      <c r="G776" s="9" t="s">
        <v>674</v>
      </c>
      <c r="H776" s="9" t="s">
        <v>661</v>
      </c>
      <c r="J776" s="9" t="s">
        <v>675</v>
      </c>
      <c r="K776" s="9" t="s">
        <v>25</v>
      </c>
      <c r="L776" s="9" t="s">
        <v>1369</v>
      </c>
      <c r="M776" s="9" t="s">
        <v>1638</v>
      </c>
      <c r="N776" s="9" t="str">
        <f t="shared" si="12"/>
        <v>EDIVILSON MENEZES</v>
      </c>
    </row>
    <row r="777" spans="1:14" x14ac:dyDescent="0.3">
      <c r="A777" s="9">
        <v>705232</v>
      </c>
      <c r="B777" s="9" t="s">
        <v>1192</v>
      </c>
      <c r="C777" s="10" t="s">
        <v>15</v>
      </c>
      <c r="D777" s="11">
        <v>45755</v>
      </c>
      <c r="E777" s="9" t="s">
        <v>381</v>
      </c>
      <c r="F777" s="9">
        <v>39602</v>
      </c>
      <c r="G777" s="9" t="s">
        <v>699</v>
      </c>
      <c r="H777" s="9" t="s">
        <v>661</v>
      </c>
      <c r="J777" s="9" t="s">
        <v>700</v>
      </c>
      <c r="K777" s="9" t="s">
        <v>666</v>
      </c>
      <c r="L777" s="9" t="s">
        <v>258</v>
      </c>
      <c r="M777" s="9" t="s">
        <v>701</v>
      </c>
      <c r="N777" s="9" t="str">
        <f t="shared" si="12"/>
        <v>IURY GUEDES</v>
      </c>
    </row>
    <row r="778" spans="1:14" x14ac:dyDescent="0.3">
      <c r="A778" s="9">
        <v>703919</v>
      </c>
      <c r="B778" s="9" t="s">
        <v>781</v>
      </c>
      <c r="C778" s="10" t="s">
        <v>15</v>
      </c>
      <c r="D778" s="11">
        <v>45083</v>
      </c>
      <c r="E778" s="9" t="s">
        <v>31</v>
      </c>
      <c r="F778" s="9">
        <v>24102</v>
      </c>
      <c r="G778" s="9" t="s">
        <v>669</v>
      </c>
      <c r="H778" s="9" t="s">
        <v>661</v>
      </c>
      <c r="J778" s="9" t="s">
        <v>672</v>
      </c>
      <c r="K778" s="9" t="s">
        <v>666</v>
      </c>
      <c r="L778" s="9" t="s">
        <v>1388</v>
      </c>
      <c r="M778" s="9" t="s">
        <v>1637</v>
      </c>
      <c r="N778" s="9" t="str">
        <f t="shared" si="12"/>
        <v>JUNIO TEIXEIRA /EDIVILSON</v>
      </c>
    </row>
    <row r="779" spans="1:14" x14ac:dyDescent="0.3">
      <c r="A779" s="9">
        <v>706046</v>
      </c>
      <c r="B779" s="9" t="s">
        <v>1712</v>
      </c>
      <c r="C779" s="10" t="s">
        <v>15</v>
      </c>
      <c r="D779" s="11">
        <v>46126</v>
      </c>
      <c r="E779" s="9" t="s">
        <v>31</v>
      </c>
      <c r="F779" s="9">
        <v>24201</v>
      </c>
      <c r="G779" s="9" t="s">
        <v>664</v>
      </c>
      <c r="H779" s="9" t="s">
        <v>661</v>
      </c>
      <c r="J779" s="9" t="s">
        <v>665</v>
      </c>
      <c r="K779" s="9" t="s">
        <v>666</v>
      </c>
      <c r="L779" s="9" t="s">
        <v>258</v>
      </c>
      <c r="M779" s="9" t="s">
        <v>667</v>
      </c>
      <c r="N779" s="9" t="str">
        <f t="shared" si="12"/>
        <v>JOSIEL NEVES</v>
      </c>
    </row>
    <row r="780" spans="1:14" x14ac:dyDescent="0.3">
      <c r="A780" s="9">
        <v>700910</v>
      </c>
      <c r="B780" s="9" t="s">
        <v>782</v>
      </c>
      <c r="C780" s="10" t="s">
        <v>15</v>
      </c>
      <c r="D780" s="11">
        <v>43535</v>
      </c>
      <c r="E780" s="9" t="s">
        <v>427</v>
      </c>
      <c r="F780" s="9">
        <v>39602</v>
      </c>
      <c r="G780" s="9" t="s">
        <v>699</v>
      </c>
      <c r="H780" s="9" t="s">
        <v>661</v>
      </c>
      <c r="J780" s="9" t="s">
        <v>700</v>
      </c>
      <c r="K780" s="9" t="s">
        <v>666</v>
      </c>
      <c r="L780" s="9" t="s">
        <v>258</v>
      </c>
      <c r="M780" s="9" t="s">
        <v>701</v>
      </c>
      <c r="N780" s="9" t="str">
        <f t="shared" si="12"/>
        <v>IURY GUEDES</v>
      </c>
    </row>
    <row r="781" spans="1:14" x14ac:dyDescent="0.3">
      <c r="A781" s="9">
        <v>702997</v>
      </c>
      <c r="B781" s="9" t="s">
        <v>783</v>
      </c>
      <c r="C781" s="10" t="s">
        <v>15</v>
      </c>
      <c r="D781" s="11">
        <v>44691</v>
      </c>
      <c r="E781" s="9" t="s">
        <v>27</v>
      </c>
      <c r="F781" s="9">
        <v>39601</v>
      </c>
      <c r="G781" s="9" t="s">
        <v>660</v>
      </c>
      <c r="H781" s="9" t="s">
        <v>661</v>
      </c>
      <c r="J781" s="9" t="s">
        <v>662</v>
      </c>
      <c r="K781" s="9" t="s">
        <v>666</v>
      </c>
      <c r="L781" s="9" t="s">
        <v>258</v>
      </c>
      <c r="N781" s="9" t="str">
        <f t="shared" si="12"/>
        <v>MATHEUS ALMEIDA</v>
      </c>
    </row>
    <row r="782" spans="1:14" x14ac:dyDescent="0.3">
      <c r="A782" s="9">
        <v>705166</v>
      </c>
      <c r="B782" s="9" t="s">
        <v>1171</v>
      </c>
      <c r="C782" s="10" t="s">
        <v>15</v>
      </c>
      <c r="D782" s="11">
        <v>45726</v>
      </c>
      <c r="E782" s="9" t="s">
        <v>31</v>
      </c>
      <c r="F782" s="9">
        <v>24102</v>
      </c>
      <c r="G782" s="9" t="s">
        <v>669</v>
      </c>
      <c r="H782" s="9" t="s">
        <v>661</v>
      </c>
      <c r="J782" s="9" t="s">
        <v>672</v>
      </c>
      <c r="K782" s="9" t="s">
        <v>666</v>
      </c>
      <c r="L782" s="9" t="s">
        <v>1388</v>
      </c>
      <c r="M782" s="9" t="s">
        <v>1637</v>
      </c>
      <c r="N782" s="9" t="str">
        <f t="shared" si="12"/>
        <v>JUNIO TEIXEIRA /EDIVILSON</v>
      </c>
    </row>
    <row r="783" spans="1:14" x14ac:dyDescent="0.3">
      <c r="A783" s="9">
        <v>101594</v>
      </c>
      <c r="B783" s="9" t="s">
        <v>784</v>
      </c>
      <c r="C783" s="10" t="s">
        <v>15</v>
      </c>
      <c r="D783" s="11">
        <v>42996</v>
      </c>
      <c r="E783" s="9" t="s">
        <v>60</v>
      </c>
      <c r="F783" s="9">
        <v>24102</v>
      </c>
      <c r="G783" s="9" t="s">
        <v>669</v>
      </c>
      <c r="H783" s="9" t="s">
        <v>661</v>
      </c>
      <c r="J783" s="9" t="s">
        <v>697</v>
      </c>
      <c r="K783" s="9" t="s">
        <v>666</v>
      </c>
      <c r="L783" s="9" t="s">
        <v>1390</v>
      </c>
      <c r="M783" s="9" t="s">
        <v>1391</v>
      </c>
      <c r="N783" s="9" t="str">
        <f t="shared" si="12"/>
        <v>ALCENO JUNIOR/JOÃO MARCOS</v>
      </c>
    </row>
    <row r="784" spans="1:14" x14ac:dyDescent="0.3">
      <c r="A784" s="9">
        <v>705515</v>
      </c>
      <c r="B784" s="9" t="s">
        <v>1305</v>
      </c>
      <c r="C784" s="10" t="s">
        <v>15</v>
      </c>
      <c r="D784" s="11">
        <v>45847</v>
      </c>
      <c r="E784" s="9" t="s">
        <v>60</v>
      </c>
      <c r="F784" s="9">
        <v>39601</v>
      </c>
      <c r="G784" s="9" t="s">
        <v>660</v>
      </c>
      <c r="H784" s="9" t="s">
        <v>661</v>
      </c>
      <c r="J784" s="9" t="s">
        <v>684</v>
      </c>
      <c r="K784" s="9" t="s">
        <v>666</v>
      </c>
      <c r="L784" s="9" t="s">
        <v>258</v>
      </c>
      <c r="M784" s="9" t="s">
        <v>1392</v>
      </c>
      <c r="N784" s="9" t="str">
        <f t="shared" si="12"/>
        <v>ADALTON/JANILSON RORIZ/MARIVALDO</v>
      </c>
    </row>
    <row r="785" spans="1:14" x14ac:dyDescent="0.3">
      <c r="A785" s="9">
        <v>704810</v>
      </c>
      <c r="B785" s="9" t="s">
        <v>785</v>
      </c>
      <c r="C785" s="10" t="s">
        <v>15</v>
      </c>
      <c r="D785" s="11">
        <v>45566</v>
      </c>
      <c r="E785" s="9" t="s">
        <v>31</v>
      </c>
      <c r="F785" s="9">
        <v>39601</v>
      </c>
      <c r="G785" s="9" t="s">
        <v>660</v>
      </c>
      <c r="H785" s="9" t="s">
        <v>661</v>
      </c>
      <c r="J785" s="9" t="s">
        <v>662</v>
      </c>
      <c r="K785" s="9" t="s">
        <v>666</v>
      </c>
      <c r="L785" s="9" t="s">
        <v>258</v>
      </c>
      <c r="N785" s="9" t="str">
        <f t="shared" si="12"/>
        <v>MATHEUS ALMEIDA</v>
      </c>
    </row>
    <row r="786" spans="1:14" x14ac:dyDescent="0.3">
      <c r="A786" s="9">
        <v>700702</v>
      </c>
      <c r="B786" s="9" t="s">
        <v>786</v>
      </c>
      <c r="C786" s="10" t="s">
        <v>15</v>
      </c>
      <c r="D786" s="11">
        <v>43396</v>
      </c>
      <c r="E786" s="9" t="s">
        <v>146</v>
      </c>
      <c r="F786" s="9">
        <v>39601</v>
      </c>
      <c r="G786" s="9" t="s">
        <v>660</v>
      </c>
      <c r="H786" s="9" t="s">
        <v>661</v>
      </c>
      <c r="J786" s="9" t="s">
        <v>662</v>
      </c>
      <c r="K786" s="9" t="s">
        <v>666</v>
      </c>
      <c r="L786" s="9" t="s">
        <v>258</v>
      </c>
      <c r="N786" s="9" t="str">
        <f t="shared" si="12"/>
        <v>MATHEUS ALMEIDA</v>
      </c>
    </row>
    <row r="787" spans="1:14" x14ac:dyDescent="0.3">
      <c r="A787" s="9">
        <v>702140</v>
      </c>
      <c r="B787" s="9" t="s">
        <v>787</v>
      </c>
      <c r="C787" s="10" t="s">
        <v>15</v>
      </c>
      <c r="D787" s="11">
        <v>44299</v>
      </c>
      <c r="E787" s="9" t="s">
        <v>31</v>
      </c>
      <c r="F787" s="9">
        <v>24102</v>
      </c>
      <c r="G787" s="9" t="s">
        <v>669</v>
      </c>
      <c r="H787" s="9" t="s">
        <v>661</v>
      </c>
      <c r="J787" s="9" t="s">
        <v>680</v>
      </c>
      <c r="K787" s="9" t="s">
        <v>666</v>
      </c>
      <c r="L787" s="9" t="s">
        <v>1388</v>
      </c>
      <c r="M787" s="9" t="s">
        <v>1637</v>
      </c>
      <c r="N787" s="9" t="str">
        <f t="shared" si="12"/>
        <v>JUNIO TEIXEIRA /EDIVILSON</v>
      </c>
    </row>
    <row r="788" spans="1:14" x14ac:dyDescent="0.3">
      <c r="A788" s="9">
        <v>706040</v>
      </c>
      <c r="B788" s="9" t="s">
        <v>1713</v>
      </c>
      <c r="C788" s="10" t="s">
        <v>15</v>
      </c>
      <c r="D788" s="11">
        <v>46126</v>
      </c>
      <c r="E788" s="9" t="s">
        <v>31</v>
      </c>
      <c r="F788" s="9">
        <v>24201</v>
      </c>
      <c r="G788" s="9" t="s">
        <v>664</v>
      </c>
      <c r="H788" s="9" t="s">
        <v>661</v>
      </c>
      <c r="J788" s="9" t="s">
        <v>665</v>
      </c>
      <c r="K788" s="9" t="s">
        <v>666</v>
      </c>
      <c r="L788" s="9" t="s">
        <v>258</v>
      </c>
      <c r="M788" s="9" t="s">
        <v>667</v>
      </c>
      <c r="N788" s="9" t="str">
        <f t="shared" si="12"/>
        <v>JOSIEL NEVES</v>
      </c>
    </row>
    <row r="789" spans="1:14" x14ac:dyDescent="0.3">
      <c r="A789" s="9">
        <v>702868</v>
      </c>
      <c r="B789" s="9" t="s">
        <v>788</v>
      </c>
      <c r="C789" s="10" t="s">
        <v>15</v>
      </c>
      <c r="D789" s="11">
        <v>44635</v>
      </c>
      <c r="E789" s="9" t="s">
        <v>31</v>
      </c>
      <c r="F789" s="9">
        <v>24102</v>
      </c>
      <c r="G789" s="9" t="s">
        <v>669</v>
      </c>
      <c r="H789" s="9" t="s">
        <v>661</v>
      </c>
      <c r="J789" s="9" t="s">
        <v>680</v>
      </c>
      <c r="K789" s="9" t="s">
        <v>666</v>
      </c>
      <c r="L789" s="9" t="s">
        <v>1388</v>
      </c>
      <c r="M789" s="9" t="s">
        <v>1637</v>
      </c>
      <c r="N789" s="9" t="str">
        <f t="shared" si="12"/>
        <v>JUNIO TEIXEIRA /EDIVILSON</v>
      </c>
    </row>
    <row r="790" spans="1:14" x14ac:dyDescent="0.3">
      <c r="A790" s="9">
        <v>705099</v>
      </c>
      <c r="B790" s="9" t="s">
        <v>789</v>
      </c>
      <c r="C790" s="10" t="s">
        <v>15</v>
      </c>
      <c r="D790" s="11">
        <v>45670</v>
      </c>
      <c r="E790" s="9" t="s">
        <v>31</v>
      </c>
      <c r="F790" s="9">
        <v>24102</v>
      </c>
      <c r="G790" s="9" t="s">
        <v>669</v>
      </c>
      <c r="H790" s="9" t="s">
        <v>661</v>
      </c>
      <c r="J790" s="9" t="s">
        <v>672</v>
      </c>
      <c r="K790" s="9" t="s">
        <v>666</v>
      </c>
      <c r="L790" s="9" t="s">
        <v>1388</v>
      </c>
      <c r="M790" s="9" t="s">
        <v>1637</v>
      </c>
      <c r="N790" s="9" t="str">
        <f t="shared" si="12"/>
        <v>JUNIO TEIXEIRA /EDIVILSON</v>
      </c>
    </row>
    <row r="791" spans="1:14" x14ac:dyDescent="0.3">
      <c r="A791" s="9">
        <v>703964</v>
      </c>
      <c r="B791" s="9" t="s">
        <v>790</v>
      </c>
      <c r="C791" s="10" t="s">
        <v>15</v>
      </c>
      <c r="D791" s="11">
        <v>45113</v>
      </c>
      <c r="E791" s="9" t="s">
        <v>31</v>
      </c>
      <c r="F791" s="9">
        <v>24102</v>
      </c>
      <c r="G791" s="9" t="s">
        <v>669</v>
      </c>
      <c r="H791" s="9" t="s">
        <v>661</v>
      </c>
      <c r="J791" s="9" t="s">
        <v>672</v>
      </c>
      <c r="K791" s="9" t="s">
        <v>666</v>
      </c>
      <c r="L791" s="9" t="s">
        <v>1388</v>
      </c>
      <c r="M791" s="9" t="s">
        <v>1637</v>
      </c>
      <c r="N791" s="9" t="str">
        <f t="shared" si="12"/>
        <v>JUNIO TEIXEIRA /EDIVILSON</v>
      </c>
    </row>
    <row r="792" spans="1:14" x14ac:dyDescent="0.3">
      <c r="A792" s="9">
        <v>705891</v>
      </c>
      <c r="B792" s="9" t="s">
        <v>1573</v>
      </c>
      <c r="C792" s="10" t="s">
        <v>15</v>
      </c>
      <c r="D792" s="11">
        <v>46063</v>
      </c>
      <c r="E792" s="9" t="s">
        <v>260</v>
      </c>
      <c r="F792" s="9">
        <v>24102</v>
      </c>
      <c r="G792" s="9" t="s">
        <v>669</v>
      </c>
      <c r="H792" s="9" t="s">
        <v>661</v>
      </c>
      <c r="J792" s="9" t="s">
        <v>1714</v>
      </c>
      <c r="K792" s="9" t="s">
        <v>666</v>
      </c>
      <c r="L792" s="9" t="s">
        <v>1388</v>
      </c>
      <c r="N792" s="9" t="str">
        <f t="shared" si="12"/>
        <v>YAN SILVA</v>
      </c>
    </row>
    <row r="793" spans="1:14" x14ac:dyDescent="0.3">
      <c r="A793" s="9">
        <v>705714</v>
      </c>
      <c r="B793" s="9" t="s">
        <v>1463</v>
      </c>
      <c r="C793" s="10" t="s">
        <v>15</v>
      </c>
      <c r="D793" s="11">
        <v>45971</v>
      </c>
      <c r="E793" s="9" t="s">
        <v>31</v>
      </c>
      <c r="F793" s="9">
        <v>24102</v>
      </c>
      <c r="G793" s="9" t="s">
        <v>669</v>
      </c>
      <c r="H793" s="9" t="s">
        <v>661</v>
      </c>
      <c r="J793" s="9" t="s">
        <v>672</v>
      </c>
      <c r="K793" s="9" t="s">
        <v>666</v>
      </c>
      <c r="L793" s="9" t="s">
        <v>1388</v>
      </c>
      <c r="M793" s="9" t="s">
        <v>1637</v>
      </c>
      <c r="N793" s="9" t="str">
        <f t="shared" si="12"/>
        <v>JUNIO TEIXEIRA /EDIVILSON</v>
      </c>
    </row>
    <row r="794" spans="1:14" x14ac:dyDescent="0.3">
      <c r="A794" s="9">
        <v>705350</v>
      </c>
      <c r="B794" s="9" t="s">
        <v>1245</v>
      </c>
      <c r="C794" s="10" t="s">
        <v>15</v>
      </c>
      <c r="D794" s="11">
        <v>45784</v>
      </c>
      <c r="E794" s="9" t="s">
        <v>31</v>
      </c>
      <c r="F794" s="9">
        <v>39601</v>
      </c>
      <c r="G794" s="9" t="s">
        <v>660</v>
      </c>
      <c r="H794" s="9" t="s">
        <v>661</v>
      </c>
      <c r="J794" s="9" t="s">
        <v>684</v>
      </c>
      <c r="K794" s="9" t="s">
        <v>666</v>
      </c>
      <c r="L794" s="9" t="s">
        <v>258</v>
      </c>
      <c r="M794" s="9" t="s">
        <v>1392</v>
      </c>
      <c r="N794" s="9" t="str">
        <f t="shared" si="12"/>
        <v>ADALTON/JANILSON RORIZ/MARIVALDO</v>
      </c>
    </row>
    <row r="795" spans="1:14" x14ac:dyDescent="0.3">
      <c r="A795" s="9">
        <v>705772</v>
      </c>
      <c r="B795" s="9" t="s">
        <v>1497</v>
      </c>
      <c r="C795" s="10" t="s">
        <v>15</v>
      </c>
      <c r="D795" s="11">
        <v>45993</v>
      </c>
      <c r="E795" s="9" t="s">
        <v>31</v>
      </c>
      <c r="F795" s="9">
        <v>24201</v>
      </c>
      <c r="G795" s="9" t="s">
        <v>664</v>
      </c>
      <c r="H795" s="9" t="s">
        <v>661</v>
      </c>
      <c r="J795" s="9" t="s">
        <v>665</v>
      </c>
      <c r="K795" s="9" t="s">
        <v>666</v>
      </c>
      <c r="L795" s="9" t="s">
        <v>258</v>
      </c>
      <c r="M795" s="9" t="s">
        <v>667</v>
      </c>
      <c r="N795" s="9" t="str">
        <f t="shared" si="12"/>
        <v>JOSIEL NEVES</v>
      </c>
    </row>
    <row r="796" spans="1:14" x14ac:dyDescent="0.3">
      <c r="A796" s="9">
        <v>705914</v>
      </c>
      <c r="B796" s="9" t="s">
        <v>1625</v>
      </c>
      <c r="C796" s="10" t="s">
        <v>15</v>
      </c>
      <c r="D796" s="11">
        <v>46091</v>
      </c>
      <c r="E796" s="9" t="s">
        <v>31</v>
      </c>
      <c r="F796" s="9">
        <v>24102</v>
      </c>
      <c r="G796" s="9" t="s">
        <v>669</v>
      </c>
      <c r="H796" s="9" t="s">
        <v>661</v>
      </c>
      <c r="J796" s="9" t="s">
        <v>670</v>
      </c>
      <c r="K796" s="9" t="s">
        <v>666</v>
      </c>
      <c r="L796" s="9" t="s">
        <v>1388</v>
      </c>
      <c r="M796" s="9" t="s">
        <v>1637</v>
      </c>
      <c r="N796" s="9" t="str">
        <f t="shared" si="12"/>
        <v>JUNIO TEIXEIRA /EDIVILSON</v>
      </c>
    </row>
    <row r="797" spans="1:14" x14ac:dyDescent="0.3">
      <c r="A797" s="9">
        <v>700152</v>
      </c>
      <c r="B797" s="9" t="s">
        <v>791</v>
      </c>
      <c r="C797" s="10" t="s">
        <v>15</v>
      </c>
      <c r="D797" s="11">
        <v>43227</v>
      </c>
      <c r="E797" s="9" t="s">
        <v>60</v>
      </c>
      <c r="F797" s="9">
        <v>24102</v>
      </c>
      <c r="G797" s="9" t="s">
        <v>669</v>
      </c>
      <c r="H797" s="9" t="s">
        <v>661</v>
      </c>
      <c r="J797" s="9" t="s">
        <v>682</v>
      </c>
      <c r="K797" s="9" t="s">
        <v>666</v>
      </c>
      <c r="L797" s="9" t="s">
        <v>1390</v>
      </c>
      <c r="M797" s="9" t="s">
        <v>1391</v>
      </c>
      <c r="N797" s="9" t="str">
        <f t="shared" si="12"/>
        <v>ALCENO JUNIOR/JOÃO MARCOS</v>
      </c>
    </row>
    <row r="798" spans="1:14" x14ac:dyDescent="0.3">
      <c r="A798" s="9">
        <v>700426</v>
      </c>
      <c r="B798" s="9" t="s">
        <v>792</v>
      </c>
      <c r="C798" s="10" t="s">
        <v>15</v>
      </c>
      <c r="D798" s="11">
        <v>43326</v>
      </c>
      <c r="E798" s="9" t="s">
        <v>141</v>
      </c>
      <c r="F798" s="9">
        <v>24102</v>
      </c>
      <c r="G798" s="9" t="s">
        <v>669</v>
      </c>
      <c r="H798" s="9" t="s">
        <v>661</v>
      </c>
      <c r="J798" s="9" t="s">
        <v>697</v>
      </c>
      <c r="K798" s="9" t="s">
        <v>666</v>
      </c>
      <c r="L798" s="9" t="s">
        <v>1390</v>
      </c>
      <c r="M798" s="9" t="s">
        <v>1391</v>
      </c>
      <c r="N798" s="9" t="str">
        <f t="shared" si="12"/>
        <v>ALCENO JUNIOR/JOÃO MARCOS</v>
      </c>
    </row>
    <row r="799" spans="1:14" x14ac:dyDescent="0.3">
      <c r="A799" s="9">
        <v>705383</v>
      </c>
      <c r="B799" s="9" t="s">
        <v>1246</v>
      </c>
      <c r="C799" s="10" t="s">
        <v>15</v>
      </c>
      <c r="D799" s="11">
        <v>45784</v>
      </c>
      <c r="E799" s="9" t="s">
        <v>31</v>
      </c>
      <c r="F799" s="9">
        <v>39601</v>
      </c>
      <c r="G799" s="9" t="s">
        <v>660</v>
      </c>
      <c r="H799" s="9" t="s">
        <v>661</v>
      </c>
      <c r="J799" s="9" t="s">
        <v>684</v>
      </c>
      <c r="K799" s="9" t="s">
        <v>666</v>
      </c>
      <c r="L799" s="9" t="s">
        <v>258</v>
      </c>
      <c r="M799" s="9" t="s">
        <v>1392</v>
      </c>
      <c r="N799" s="9" t="str">
        <f t="shared" si="12"/>
        <v>ADALTON/JANILSON RORIZ/MARIVALDO</v>
      </c>
    </row>
    <row r="800" spans="1:14" x14ac:dyDescent="0.3">
      <c r="A800" s="9">
        <v>705298</v>
      </c>
      <c r="B800" s="9" t="s">
        <v>1193</v>
      </c>
      <c r="C800" s="10" t="s">
        <v>15</v>
      </c>
      <c r="D800" s="11">
        <v>45762</v>
      </c>
      <c r="E800" s="9" t="s">
        <v>31</v>
      </c>
      <c r="F800" s="9">
        <v>39601</v>
      </c>
      <c r="G800" s="9" t="s">
        <v>660</v>
      </c>
      <c r="H800" s="9" t="s">
        <v>661</v>
      </c>
      <c r="J800" s="9" t="s">
        <v>684</v>
      </c>
      <c r="K800" s="9" t="s">
        <v>666</v>
      </c>
      <c r="L800" s="9" t="s">
        <v>258</v>
      </c>
      <c r="M800" s="9" t="s">
        <v>1392</v>
      </c>
      <c r="N800" s="9" t="str">
        <f t="shared" si="12"/>
        <v>ADALTON/JANILSON RORIZ/MARIVALDO</v>
      </c>
    </row>
    <row r="801" spans="1:14" x14ac:dyDescent="0.3">
      <c r="A801" s="9">
        <v>704814</v>
      </c>
      <c r="B801" s="9" t="s">
        <v>795</v>
      </c>
      <c r="C801" s="10" t="s">
        <v>15</v>
      </c>
      <c r="D801" s="11">
        <v>45572</v>
      </c>
      <c r="E801" s="9" t="s">
        <v>418</v>
      </c>
      <c r="F801" s="9">
        <v>39601</v>
      </c>
      <c r="G801" s="9" t="s">
        <v>660</v>
      </c>
      <c r="H801" s="9" t="s">
        <v>661</v>
      </c>
      <c r="J801" s="9" t="s">
        <v>684</v>
      </c>
      <c r="K801" s="9" t="s">
        <v>666</v>
      </c>
      <c r="L801" s="9" t="s">
        <v>258</v>
      </c>
      <c r="M801" s="9" t="s">
        <v>1392</v>
      </c>
      <c r="N801" s="9" t="str">
        <f t="shared" si="12"/>
        <v>ADALTON/JANILSON RORIZ/MARIVALDO</v>
      </c>
    </row>
    <row r="802" spans="1:14" x14ac:dyDescent="0.3">
      <c r="A802" s="9">
        <v>705968</v>
      </c>
      <c r="B802" s="9" t="s">
        <v>1715</v>
      </c>
      <c r="C802" s="10" t="s">
        <v>15</v>
      </c>
      <c r="D802" s="11">
        <v>46119</v>
      </c>
      <c r="E802" s="9" t="s">
        <v>77</v>
      </c>
      <c r="F802" s="9">
        <v>38108</v>
      </c>
      <c r="G802" s="9" t="s">
        <v>1698</v>
      </c>
      <c r="H802" s="9" t="s">
        <v>661</v>
      </c>
      <c r="J802" s="9" t="s">
        <v>78</v>
      </c>
      <c r="K802" s="9" t="s">
        <v>1372</v>
      </c>
      <c r="N802" s="9" t="str">
        <f t="shared" si="12"/>
        <v xml:space="preserve">LEIDJANE MARTINS </v>
      </c>
    </row>
    <row r="803" spans="1:14" x14ac:dyDescent="0.3">
      <c r="A803" s="9">
        <v>705946</v>
      </c>
      <c r="B803" s="9" t="s">
        <v>1716</v>
      </c>
      <c r="C803" s="10" t="s">
        <v>15</v>
      </c>
      <c r="D803" s="11">
        <v>46119</v>
      </c>
      <c r="E803" s="9" t="s">
        <v>77</v>
      </c>
      <c r="F803" s="9">
        <v>38108</v>
      </c>
      <c r="G803" s="9" t="s">
        <v>1698</v>
      </c>
      <c r="H803" s="9" t="s">
        <v>661</v>
      </c>
      <c r="J803" s="9" t="s">
        <v>78</v>
      </c>
      <c r="K803" s="9" t="s">
        <v>1372</v>
      </c>
      <c r="N803" s="9" t="str">
        <f t="shared" si="12"/>
        <v xml:space="preserve">LEIDJANE MARTINS </v>
      </c>
    </row>
    <row r="804" spans="1:14" x14ac:dyDescent="0.3">
      <c r="A804" s="9">
        <v>704912</v>
      </c>
      <c r="B804" s="9" t="s">
        <v>796</v>
      </c>
      <c r="C804" s="10" t="s">
        <v>15</v>
      </c>
      <c r="D804" s="11">
        <v>45601</v>
      </c>
      <c r="E804" s="9" t="s">
        <v>31</v>
      </c>
      <c r="F804" s="9">
        <v>39601</v>
      </c>
      <c r="G804" s="9" t="s">
        <v>660</v>
      </c>
      <c r="H804" s="9" t="s">
        <v>661</v>
      </c>
      <c r="J804" s="9" t="s">
        <v>662</v>
      </c>
      <c r="K804" s="9" t="s">
        <v>666</v>
      </c>
      <c r="L804" s="9" t="s">
        <v>258</v>
      </c>
      <c r="N804" s="9" t="str">
        <f t="shared" si="12"/>
        <v>MATHEUS ALMEIDA</v>
      </c>
    </row>
    <row r="805" spans="1:14" x14ac:dyDescent="0.3">
      <c r="A805" s="9">
        <v>704037</v>
      </c>
      <c r="B805" s="9" t="s">
        <v>799</v>
      </c>
      <c r="C805" s="10" t="s">
        <v>15</v>
      </c>
      <c r="D805" s="11">
        <v>45145</v>
      </c>
      <c r="E805" s="9" t="s">
        <v>507</v>
      </c>
      <c r="F805" s="9">
        <v>24201</v>
      </c>
      <c r="G805" s="9" t="s">
        <v>664</v>
      </c>
      <c r="H805" s="9" t="s">
        <v>661</v>
      </c>
      <c r="J805" s="9" t="s">
        <v>665</v>
      </c>
      <c r="K805" s="9" t="s">
        <v>666</v>
      </c>
      <c r="L805" s="9" t="s">
        <v>258</v>
      </c>
      <c r="M805" s="9" t="s">
        <v>667</v>
      </c>
      <c r="N805" s="9" t="str">
        <f t="shared" si="12"/>
        <v>JOSIEL NEVES</v>
      </c>
    </row>
    <row r="806" spans="1:14" x14ac:dyDescent="0.3">
      <c r="A806" s="9">
        <v>702905</v>
      </c>
      <c r="B806" s="9" t="s">
        <v>800</v>
      </c>
      <c r="C806" s="10" t="s">
        <v>15</v>
      </c>
      <c r="D806" s="11">
        <v>44656</v>
      </c>
      <c r="E806" s="9" t="s">
        <v>60</v>
      </c>
      <c r="F806" s="9">
        <v>24102</v>
      </c>
      <c r="G806" s="9" t="s">
        <v>669</v>
      </c>
      <c r="H806" s="9" t="s">
        <v>661</v>
      </c>
      <c r="J806" s="9" t="s">
        <v>682</v>
      </c>
      <c r="K806" s="9" t="s">
        <v>666</v>
      </c>
      <c r="L806" s="9" t="s">
        <v>1390</v>
      </c>
      <c r="M806" s="9" t="s">
        <v>1391</v>
      </c>
      <c r="N806" s="9" t="str">
        <f t="shared" si="12"/>
        <v>ALCENO JUNIOR/JOÃO MARCOS</v>
      </c>
    </row>
    <row r="807" spans="1:14" x14ac:dyDescent="0.3">
      <c r="A807" s="9">
        <v>701710</v>
      </c>
      <c r="B807" s="9" t="s">
        <v>801</v>
      </c>
      <c r="C807" s="10" t="s">
        <v>15</v>
      </c>
      <c r="D807" s="11">
        <v>44025</v>
      </c>
      <c r="E807" s="9" t="s">
        <v>31</v>
      </c>
      <c r="F807" s="9">
        <v>24102</v>
      </c>
      <c r="G807" s="9" t="s">
        <v>669</v>
      </c>
      <c r="H807" s="9" t="s">
        <v>661</v>
      </c>
      <c r="J807" s="9" t="s">
        <v>670</v>
      </c>
      <c r="K807" s="9" t="s">
        <v>666</v>
      </c>
      <c r="L807" s="9" t="s">
        <v>1388</v>
      </c>
      <c r="M807" s="9" t="s">
        <v>1637</v>
      </c>
      <c r="N807" s="9" t="str">
        <f t="shared" si="12"/>
        <v>JUNIO TEIXEIRA /EDIVILSON</v>
      </c>
    </row>
    <row r="808" spans="1:14" x14ac:dyDescent="0.3">
      <c r="A808" s="9">
        <v>705588</v>
      </c>
      <c r="B808" s="9" t="s">
        <v>1333</v>
      </c>
      <c r="C808" s="10" t="s">
        <v>15</v>
      </c>
      <c r="D808" s="11">
        <v>45881</v>
      </c>
      <c r="E808" s="9" t="s">
        <v>31</v>
      </c>
      <c r="F808" s="9">
        <v>24102</v>
      </c>
      <c r="G808" s="9" t="s">
        <v>669</v>
      </c>
      <c r="H808" s="9" t="s">
        <v>661</v>
      </c>
      <c r="J808" s="9" t="s">
        <v>682</v>
      </c>
      <c r="K808" s="9" t="s">
        <v>666</v>
      </c>
      <c r="L808" s="9" t="s">
        <v>1390</v>
      </c>
      <c r="M808" s="9" t="s">
        <v>1391</v>
      </c>
      <c r="N808" s="9" t="str">
        <f t="shared" si="12"/>
        <v>ALCENO JUNIOR/JOÃO MARCOS</v>
      </c>
    </row>
    <row r="809" spans="1:14" x14ac:dyDescent="0.3">
      <c r="A809" s="9">
        <v>705971</v>
      </c>
      <c r="B809" s="9" t="s">
        <v>1717</v>
      </c>
      <c r="C809" s="10" t="s">
        <v>15</v>
      </c>
      <c r="D809" s="11">
        <v>46119</v>
      </c>
      <c r="E809" s="9" t="s">
        <v>77</v>
      </c>
      <c r="F809" s="9">
        <v>38108</v>
      </c>
      <c r="G809" s="9" t="s">
        <v>1698</v>
      </c>
      <c r="H809" s="9" t="s">
        <v>661</v>
      </c>
      <c r="J809" s="9" t="s">
        <v>78</v>
      </c>
      <c r="K809" s="9" t="s">
        <v>1372</v>
      </c>
      <c r="N809" s="9" t="str">
        <f t="shared" si="12"/>
        <v xml:space="preserve">LEIDJANE MARTINS </v>
      </c>
    </row>
    <row r="810" spans="1:14" x14ac:dyDescent="0.3">
      <c r="A810" s="9">
        <v>703069</v>
      </c>
      <c r="B810" s="9" t="s">
        <v>802</v>
      </c>
      <c r="C810" s="10" t="s">
        <v>15</v>
      </c>
      <c r="D810" s="11">
        <v>44713</v>
      </c>
      <c r="E810" s="9" t="s">
        <v>418</v>
      </c>
      <c r="F810" s="9">
        <v>39601</v>
      </c>
      <c r="G810" s="9" t="s">
        <v>660</v>
      </c>
      <c r="H810" s="9" t="s">
        <v>661</v>
      </c>
      <c r="J810" s="9" t="s">
        <v>662</v>
      </c>
      <c r="K810" s="9" t="s">
        <v>666</v>
      </c>
      <c r="L810" s="9" t="s">
        <v>258</v>
      </c>
      <c r="N810" s="9" t="str">
        <f t="shared" si="12"/>
        <v>MATHEUS ALMEIDA</v>
      </c>
    </row>
    <row r="811" spans="1:14" x14ac:dyDescent="0.3">
      <c r="A811" s="9">
        <v>705855</v>
      </c>
      <c r="B811" s="9" t="s">
        <v>1574</v>
      </c>
      <c r="C811" s="10" t="s">
        <v>15</v>
      </c>
      <c r="D811" s="11">
        <v>46063</v>
      </c>
      <c r="E811" s="9" t="s">
        <v>31</v>
      </c>
      <c r="F811" s="9">
        <v>24102</v>
      </c>
      <c r="G811" s="9" t="s">
        <v>669</v>
      </c>
      <c r="H811" s="9" t="s">
        <v>661</v>
      </c>
      <c r="J811" s="9" t="s">
        <v>672</v>
      </c>
      <c r="K811" s="9" t="s">
        <v>666</v>
      </c>
      <c r="L811" s="9" t="s">
        <v>1388</v>
      </c>
      <c r="M811" s="9" t="s">
        <v>1637</v>
      </c>
      <c r="N811" s="9" t="str">
        <f t="shared" si="12"/>
        <v>JUNIO TEIXEIRA /EDIVILSON</v>
      </c>
    </row>
    <row r="812" spans="1:14" x14ac:dyDescent="0.3">
      <c r="A812" s="9">
        <v>705762</v>
      </c>
      <c r="B812" s="9" t="s">
        <v>1498</v>
      </c>
      <c r="C812" s="10" t="s">
        <v>15</v>
      </c>
      <c r="D812" s="11">
        <v>45993</v>
      </c>
      <c r="E812" s="9" t="s">
        <v>230</v>
      </c>
      <c r="F812" s="9">
        <v>24201</v>
      </c>
      <c r="G812" s="9" t="s">
        <v>664</v>
      </c>
      <c r="H812" s="9" t="s">
        <v>661</v>
      </c>
      <c r="J812" s="9" t="s">
        <v>1012</v>
      </c>
      <c r="K812" s="9" t="s">
        <v>666</v>
      </c>
      <c r="L812" s="9" t="s">
        <v>258</v>
      </c>
      <c r="N812" s="9" t="str">
        <f t="shared" si="12"/>
        <v>MATHEUS ALMEIDA</v>
      </c>
    </row>
    <row r="813" spans="1:14" x14ac:dyDescent="0.3">
      <c r="A813" s="9">
        <v>706045</v>
      </c>
      <c r="B813" s="9" t="s">
        <v>1718</v>
      </c>
      <c r="C813" s="10" t="s">
        <v>15</v>
      </c>
      <c r="D813" s="11">
        <v>46126</v>
      </c>
      <c r="E813" s="9" t="s">
        <v>31</v>
      </c>
      <c r="F813" s="9">
        <v>24102</v>
      </c>
      <c r="G813" s="9" t="s">
        <v>669</v>
      </c>
      <c r="H813" s="9" t="s">
        <v>661</v>
      </c>
      <c r="J813" s="9" t="s">
        <v>670</v>
      </c>
      <c r="K813" s="9" t="s">
        <v>666</v>
      </c>
      <c r="L813" s="9" t="s">
        <v>1388</v>
      </c>
      <c r="M813" s="9" t="s">
        <v>1637</v>
      </c>
      <c r="N813" s="9" t="str">
        <f t="shared" si="12"/>
        <v>JUNIO TEIXEIRA /EDIVILSON</v>
      </c>
    </row>
    <row r="814" spans="1:14" x14ac:dyDescent="0.3">
      <c r="A814" s="9">
        <v>705856</v>
      </c>
      <c r="B814" s="9" t="s">
        <v>1575</v>
      </c>
      <c r="C814" s="10" t="s">
        <v>15</v>
      </c>
      <c r="D814" s="11">
        <v>46063</v>
      </c>
      <c r="E814" s="9" t="s">
        <v>31</v>
      </c>
      <c r="F814" s="9">
        <v>24102</v>
      </c>
      <c r="G814" s="9" t="s">
        <v>669</v>
      </c>
      <c r="H814" s="9" t="s">
        <v>661</v>
      </c>
      <c r="J814" s="9" t="s">
        <v>670</v>
      </c>
      <c r="K814" s="9" t="s">
        <v>666</v>
      </c>
      <c r="L814" s="9" t="s">
        <v>1388</v>
      </c>
      <c r="M814" s="9" t="s">
        <v>1637</v>
      </c>
      <c r="N814" s="9" t="str">
        <f t="shared" si="12"/>
        <v>JUNIO TEIXEIRA /EDIVILSON</v>
      </c>
    </row>
    <row r="815" spans="1:14" x14ac:dyDescent="0.3">
      <c r="A815" s="9">
        <v>705303</v>
      </c>
      <c r="B815" s="9" t="s">
        <v>1194</v>
      </c>
      <c r="C815" s="10" t="s">
        <v>15</v>
      </c>
      <c r="D815" s="11">
        <v>45762</v>
      </c>
      <c r="E815" s="9" t="s">
        <v>31</v>
      </c>
      <c r="F815" s="9">
        <v>24102</v>
      </c>
      <c r="G815" s="9" t="s">
        <v>669</v>
      </c>
      <c r="H815" s="9" t="s">
        <v>661</v>
      </c>
      <c r="J815" s="9" t="s">
        <v>680</v>
      </c>
      <c r="K815" s="9" t="s">
        <v>666</v>
      </c>
      <c r="L815" s="9" t="s">
        <v>1388</v>
      </c>
      <c r="M815" s="9" t="s">
        <v>1637</v>
      </c>
      <c r="N815" s="9" t="str">
        <f t="shared" si="12"/>
        <v>JUNIO TEIXEIRA /EDIVILSON</v>
      </c>
    </row>
    <row r="816" spans="1:14" x14ac:dyDescent="0.3">
      <c r="A816" s="9">
        <v>701747</v>
      </c>
      <c r="B816" s="9" t="s">
        <v>808</v>
      </c>
      <c r="C816" s="10" t="s">
        <v>15</v>
      </c>
      <c r="D816" s="11">
        <v>44053</v>
      </c>
      <c r="E816" s="9" t="s">
        <v>507</v>
      </c>
      <c r="F816" s="9">
        <v>24201</v>
      </c>
      <c r="G816" s="9" t="s">
        <v>664</v>
      </c>
      <c r="H816" s="9" t="s">
        <v>661</v>
      </c>
      <c r="J816" s="9" t="s">
        <v>665</v>
      </c>
      <c r="K816" s="9" t="s">
        <v>666</v>
      </c>
      <c r="L816" s="9" t="s">
        <v>258</v>
      </c>
      <c r="M816" s="9" t="s">
        <v>667</v>
      </c>
      <c r="N816" s="9" t="str">
        <f t="shared" si="12"/>
        <v>JOSIEL NEVES</v>
      </c>
    </row>
    <row r="817" spans="1:14" x14ac:dyDescent="0.3">
      <c r="A817" s="9">
        <v>700420</v>
      </c>
      <c r="B817" s="9" t="s">
        <v>809</v>
      </c>
      <c r="C817" s="10" t="s">
        <v>15</v>
      </c>
      <c r="D817" s="11">
        <v>43318</v>
      </c>
      <c r="E817" s="9" t="s">
        <v>60</v>
      </c>
      <c r="F817" s="9">
        <v>24102</v>
      </c>
      <c r="G817" s="9" t="s">
        <v>669</v>
      </c>
      <c r="H817" s="9" t="s">
        <v>661</v>
      </c>
      <c r="J817" s="9" t="s">
        <v>672</v>
      </c>
      <c r="K817" s="9" t="s">
        <v>666</v>
      </c>
      <c r="L817" s="9" t="s">
        <v>1388</v>
      </c>
      <c r="M817" s="9" t="s">
        <v>1637</v>
      </c>
      <c r="N817" s="9" t="str">
        <f t="shared" si="12"/>
        <v>JUNIO TEIXEIRA /EDIVILSON</v>
      </c>
    </row>
    <row r="818" spans="1:14" x14ac:dyDescent="0.3">
      <c r="A818" s="9">
        <v>704757</v>
      </c>
      <c r="B818" s="9" t="s">
        <v>810</v>
      </c>
      <c r="C818" s="10" t="s">
        <v>15</v>
      </c>
      <c r="D818" s="11">
        <v>45545</v>
      </c>
      <c r="E818" s="9" t="s">
        <v>31</v>
      </c>
      <c r="F818" s="9">
        <v>39601</v>
      </c>
      <c r="G818" s="9" t="s">
        <v>660</v>
      </c>
      <c r="H818" s="9" t="s">
        <v>661</v>
      </c>
      <c r="J818" s="9" t="s">
        <v>684</v>
      </c>
      <c r="K818" s="9" t="s">
        <v>666</v>
      </c>
      <c r="L818" s="9" t="s">
        <v>258</v>
      </c>
      <c r="M818" s="9" t="s">
        <v>1392</v>
      </c>
      <c r="N818" s="9" t="str">
        <f t="shared" si="12"/>
        <v>ADALTON/JANILSON RORIZ/MARIVALDO</v>
      </c>
    </row>
    <row r="819" spans="1:14" x14ac:dyDescent="0.3">
      <c r="A819" s="9">
        <v>705306</v>
      </c>
      <c r="B819" s="9" t="s">
        <v>1195</v>
      </c>
      <c r="C819" s="10" t="s">
        <v>15</v>
      </c>
      <c r="D819" s="11">
        <v>45762</v>
      </c>
      <c r="E819" s="9" t="s">
        <v>31</v>
      </c>
      <c r="F819" s="9">
        <v>39601</v>
      </c>
      <c r="G819" s="9" t="s">
        <v>660</v>
      </c>
      <c r="H819" s="9" t="s">
        <v>661</v>
      </c>
      <c r="J819" s="9" t="s">
        <v>684</v>
      </c>
      <c r="K819" s="9" t="s">
        <v>666</v>
      </c>
      <c r="L819" s="9" t="s">
        <v>258</v>
      </c>
      <c r="M819" s="9" t="s">
        <v>1392</v>
      </c>
      <c r="N819" s="9" t="str">
        <f t="shared" si="12"/>
        <v>ADALTON/JANILSON RORIZ/MARIVALDO</v>
      </c>
    </row>
    <row r="820" spans="1:14" x14ac:dyDescent="0.3">
      <c r="A820" s="9">
        <v>704688</v>
      </c>
      <c r="B820" s="9" t="s">
        <v>811</v>
      </c>
      <c r="C820" s="10" t="s">
        <v>15</v>
      </c>
      <c r="D820" s="11">
        <v>45510</v>
      </c>
      <c r="E820" s="9" t="s">
        <v>31</v>
      </c>
      <c r="F820" s="9">
        <v>39601</v>
      </c>
      <c r="G820" s="9" t="s">
        <v>660</v>
      </c>
      <c r="H820" s="9" t="s">
        <v>661</v>
      </c>
      <c r="J820" s="9" t="s">
        <v>662</v>
      </c>
      <c r="K820" s="9" t="s">
        <v>666</v>
      </c>
      <c r="L820" s="9" t="s">
        <v>258</v>
      </c>
      <c r="N820" s="9" t="str">
        <f t="shared" si="12"/>
        <v>MATHEUS ALMEIDA</v>
      </c>
    </row>
    <row r="821" spans="1:14" x14ac:dyDescent="0.3">
      <c r="A821" s="9">
        <v>705933</v>
      </c>
      <c r="B821" s="9" t="s">
        <v>1719</v>
      </c>
      <c r="C821" s="10" t="s">
        <v>15</v>
      </c>
      <c r="D821" s="11">
        <v>46119</v>
      </c>
      <c r="E821" s="9" t="s">
        <v>77</v>
      </c>
      <c r="F821" s="9">
        <v>38108</v>
      </c>
      <c r="G821" s="9" t="s">
        <v>1698</v>
      </c>
      <c r="H821" s="9" t="s">
        <v>661</v>
      </c>
      <c r="J821" s="9" t="s">
        <v>78</v>
      </c>
      <c r="K821" s="9" t="s">
        <v>1372</v>
      </c>
      <c r="N821" s="9" t="str">
        <f t="shared" si="12"/>
        <v xml:space="preserve">LEIDJANE MARTINS </v>
      </c>
    </row>
    <row r="822" spans="1:14" x14ac:dyDescent="0.3">
      <c r="A822" s="9">
        <v>705863</v>
      </c>
      <c r="B822" s="9" t="s">
        <v>1576</v>
      </c>
      <c r="C822" s="10" t="s">
        <v>15</v>
      </c>
      <c r="D822" s="11">
        <v>46063</v>
      </c>
      <c r="E822" s="9" t="s">
        <v>31</v>
      </c>
      <c r="F822" s="9">
        <v>24102</v>
      </c>
      <c r="G822" s="9" t="s">
        <v>669</v>
      </c>
      <c r="H822" s="9" t="s">
        <v>661</v>
      </c>
      <c r="J822" s="9" t="s">
        <v>672</v>
      </c>
      <c r="K822" s="9" t="s">
        <v>666</v>
      </c>
      <c r="L822" s="9" t="s">
        <v>1388</v>
      </c>
      <c r="M822" s="9" t="s">
        <v>1637</v>
      </c>
      <c r="N822" s="9" t="str">
        <f t="shared" si="12"/>
        <v>JUNIO TEIXEIRA /EDIVILSON</v>
      </c>
    </row>
    <row r="823" spans="1:14" x14ac:dyDescent="0.3">
      <c r="A823" s="9">
        <v>101321</v>
      </c>
      <c r="B823" s="9" t="s">
        <v>812</v>
      </c>
      <c r="C823" s="10" t="s">
        <v>15</v>
      </c>
      <c r="D823" s="11">
        <v>42863</v>
      </c>
      <c r="E823" s="9" t="s">
        <v>507</v>
      </c>
      <c r="F823" s="9">
        <v>24201</v>
      </c>
      <c r="G823" s="9" t="s">
        <v>664</v>
      </c>
      <c r="H823" s="9" t="s">
        <v>661</v>
      </c>
      <c r="J823" s="9" t="s">
        <v>665</v>
      </c>
      <c r="K823" s="9" t="s">
        <v>666</v>
      </c>
      <c r="L823" s="9" t="s">
        <v>258</v>
      </c>
      <c r="M823" s="9" t="s">
        <v>667</v>
      </c>
      <c r="N823" s="9" t="str">
        <f t="shared" si="12"/>
        <v>JOSIEL NEVES</v>
      </c>
    </row>
    <row r="824" spans="1:14" x14ac:dyDescent="0.3">
      <c r="A824" s="9">
        <v>700822</v>
      </c>
      <c r="B824" s="9" t="s">
        <v>813</v>
      </c>
      <c r="C824" s="10" t="s">
        <v>15</v>
      </c>
      <c r="D824" s="11">
        <v>43234</v>
      </c>
      <c r="E824" s="9" t="s">
        <v>16</v>
      </c>
      <c r="F824" s="9">
        <v>24102</v>
      </c>
      <c r="G824" s="9" t="s">
        <v>669</v>
      </c>
      <c r="H824" s="9" t="s">
        <v>661</v>
      </c>
      <c r="J824" s="9" t="s">
        <v>682</v>
      </c>
      <c r="K824" s="9" t="s">
        <v>666</v>
      </c>
      <c r="L824" s="9" t="s">
        <v>1390</v>
      </c>
      <c r="M824" s="9" t="s">
        <v>1391</v>
      </c>
      <c r="N824" s="9" t="str">
        <f t="shared" si="12"/>
        <v>ALCENO JUNIOR/JOÃO MARCOS</v>
      </c>
    </row>
    <row r="825" spans="1:14" x14ac:dyDescent="0.3">
      <c r="A825" s="9">
        <v>705853</v>
      </c>
      <c r="B825" s="9" t="s">
        <v>1577</v>
      </c>
      <c r="C825" s="10" t="s">
        <v>15</v>
      </c>
      <c r="D825" s="11">
        <v>46063</v>
      </c>
      <c r="E825" s="9" t="s">
        <v>31</v>
      </c>
      <c r="F825" s="9">
        <v>24102</v>
      </c>
      <c r="G825" s="9" t="s">
        <v>669</v>
      </c>
      <c r="H825" s="9" t="s">
        <v>661</v>
      </c>
      <c r="J825" s="9" t="s">
        <v>672</v>
      </c>
      <c r="K825" s="9" t="s">
        <v>666</v>
      </c>
      <c r="L825" s="9" t="s">
        <v>1388</v>
      </c>
      <c r="M825" s="9" t="s">
        <v>1637</v>
      </c>
      <c r="N825" s="9" t="str">
        <f t="shared" si="12"/>
        <v>JUNIO TEIXEIRA /EDIVILSON</v>
      </c>
    </row>
    <row r="826" spans="1:14" x14ac:dyDescent="0.3">
      <c r="A826" s="9">
        <v>700644</v>
      </c>
      <c r="B826" s="9" t="s">
        <v>815</v>
      </c>
      <c r="C826" s="10" t="s">
        <v>15</v>
      </c>
      <c r="D826" s="11">
        <v>43374</v>
      </c>
      <c r="E826" s="9" t="s">
        <v>31</v>
      </c>
      <c r="F826" s="9">
        <v>24102</v>
      </c>
      <c r="G826" s="9" t="s">
        <v>669</v>
      </c>
      <c r="H826" s="9" t="s">
        <v>661</v>
      </c>
      <c r="J826" s="9" t="s">
        <v>680</v>
      </c>
      <c r="K826" s="9" t="s">
        <v>666</v>
      </c>
      <c r="L826" s="9" t="s">
        <v>1388</v>
      </c>
      <c r="M826" s="9" t="s">
        <v>1637</v>
      </c>
      <c r="N826" s="9" t="str">
        <f t="shared" si="12"/>
        <v>JUNIO TEIXEIRA /EDIVILSON</v>
      </c>
    </row>
    <row r="827" spans="1:14" x14ac:dyDescent="0.3">
      <c r="A827" s="9">
        <v>704112</v>
      </c>
      <c r="B827" s="9" t="s">
        <v>816</v>
      </c>
      <c r="C827" s="10" t="s">
        <v>15</v>
      </c>
      <c r="D827" s="11">
        <v>45215</v>
      </c>
      <c r="E827" s="9" t="s">
        <v>109</v>
      </c>
      <c r="F827" s="9">
        <v>32102</v>
      </c>
      <c r="G827" s="9" t="s">
        <v>674</v>
      </c>
      <c r="H827" s="9" t="s">
        <v>661</v>
      </c>
      <c r="J827" s="9" t="s">
        <v>675</v>
      </c>
      <c r="K827" s="9" t="s">
        <v>25</v>
      </c>
      <c r="L827" s="9" t="s">
        <v>1369</v>
      </c>
      <c r="M827" s="9" t="s">
        <v>1638</v>
      </c>
      <c r="N827" s="9" t="str">
        <f t="shared" si="12"/>
        <v>EDIVILSON MENEZES</v>
      </c>
    </row>
    <row r="828" spans="1:14" x14ac:dyDescent="0.3">
      <c r="A828" s="9">
        <v>700166</v>
      </c>
      <c r="B828" s="9" t="s">
        <v>818</v>
      </c>
      <c r="C828" s="10" t="s">
        <v>15</v>
      </c>
      <c r="D828" s="11">
        <v>43234</v>
      </c>
      <c r="E828" s="9" t="s">
        <v>255</v>
      </c>
      <c r="F828" s="9">
        <v>39601</v>
      </c>
      <c r="G828" s="9" t="s">
        <v>660</v>
      </c>
      <c r="H828" s="9" t="s">
        <v>661</v>
      </c>
      <c r="J828" s="9" t="s">
        <v>684</v>
      </c>
      <c r="K828" s="9" t="s">
        <v>666</v>
      </c>
      <c r="L828" s="9" t="s">
        <v>258</v>
      </c>
      <c r="M828" s="9" t="s">
        <v>1392</v>
      </c>
      <c r="N828" s="9" t="str">
        <f t="shared" si="12"/>
        <v>ADALTON/JANILSON RORIZ/MARIVALDO</v>
      </c>
    </row>
    <row r="829" spans="1:14" x14ac:dyDescent="0.3">
      <c r="A829" s="9">
        <v>705409</v>
      </c>
      <c r="B829" s="9" t="s">
        <v>1248</v>
      </c>
      <c r="C829" s="10" t="s">
        <v>15</v>
      </c>
      <c r="D829" s="11">
        <v>45791</v>
      </c>
      <c r="E829" s="9" t="s">
        <v>31</v>
      </c>
      <c r="F829" s="9">
        <v>39601</v>
      </c>
      <c r="G829" s="9" t="s">
        <v>660</v>
      </c>
      <c r="H829" s="9" t="s">
        <v>661</v>
      </c>
      <c r="J829" s="9" t="s">
        <v>662</v>
      </c>
      <c r="K829" s="9" t="s">
        <v>666</v>
      </c>
      <c r="L829" s="9" t="s">
        <v>258</v>
      </c>
      <c r="N829" s="9" t="str">
        <f t="shared" si="12"/>
        <v>MATHEUS ALMEIDA</v>
      </c>
    </row>
    <row r="830" spans="1:14" x14ac:dyDescent="0.3">
      <c r="A830" s="9">
        <v>703108</v>
      </c>
      <c r="B830" s="9" t="s">
        <v>820</v>
      </c>
      <c r="C830" s="10" t="s">
        <v>15</v>
      </c>
      <c r="D830" s="11">
        <v>44713</v>
      </c>
      <c r="E830" s="9" t="s">
        <v>418</v>
      </c>
      <c r="F830" s="9">
        <v>39601</v>
      </c>
      <c r="G830" s="9" t="s">
        <v>660</v>
      </c>
      <c r="H830" s="9" t="s">
        <v>661</v>
      </c>
      <c r="J830" s="9" t="s">
        <v>684</v>
      </c>
      <c r="K830" s="9" t="s">
        <v>666</v>
      </c>
      <c r="L830" s="9" t="s">
        <v>258</v>
      </c>
      <c r="M830" s="9" t="s">
        <v>1392</v>
      </c>
      <c r="N830" s="9" t="str">
        <f t="shared" si="12"/>
        <v>ADALTON/JANILSON RORIZ/MARIVALDO</v>
      </c>
    </row>
    <row r="831" spans="1:14" x14ac:dyDescent="0.3">
      <c r="A831" s="9">
        <v>101708</v>
      </c>
      <c r="B831" s="9" t="s">
        <v>821</v>
      </c>
      <c r="C831" s="10" t="s">
        <v>15</v>
      </c>
      <c r="D831" s="11">
        <v>43060</v>
      </c>
      <c r="E831" s="9" t="s">
        <v>31</v>
      </c>
      <c r="F831" s="9">
        <v>24102</v>
      </c>
      <c r="G831" s="9" t="s">
        <v>669</v>
      </c>
      <c r="H831" s="9" t="s">
        <v>661</v>
      </c>
      <c r="J831" s="9" t="s">
        <v>672</v>
      </c>
      <c r="K831" s="9" t="s">
        <v>666</v>
      </c>
      <c r="L831" s="9" t="s">
        <v>1388</v>
      </c>
      <c r="M831" s="9" t="s">
        <v>1637</v>
      </c>
      <c r="N831" s="9" t="str">
        <f t="shared" si="12"/>
        <v>JUNIO TEIXEIRA /EDIVILSON</v>
      </c>
    </row>
    <row r="832" spans="1:14" x14ac:dyDescent="0.3">
      <c r="A832" s="9">
        <v>701752</v>
      </c>
      <c r="B832" s="9" t="s">
        <v>822</v>
      </c>
      <c r="C832" s="10" t="s">
        <v>15</v>
      </c>
      <c r="D832" s="11">
        <v>44053</v>
      </c>
      <c r="E832" s="9" t="s">
        <v>219</v>
      </c>
      <c r="F832" s="9">
        <v>32102</v>
      </c>
      <c r="G832" s="9" t="s">
        <v>674</v>
      </c>
      <c r="H832" s="9" t="s">
        <v>661</v>
      </c>
      <c r="J832" s="9" t="s">
        <v>675</v>
      </c>
      <c r="K832" s="9" t="s">
        <v>25</v>
      </c>
      <c r="L832" s="9" t="s">
        <v>1369</v>
      </c>
      <c r="M832" s="9" t="s">
        <v>1638</v>
      </c>
      <c r="N832" s="9" t="str">
        <f t="shared" si="12"/>
        <v>EDIVILSON MENEZES</v>
      </c>
    </row>
    <row r="833" spans="1:14" x14ac:dyDescent="0.3">
      <c r="A833" s="9">
        <v>703056</v>
      </c>
      <c r="B833" s="9" t="s">
        <v>823</v>
      </c>
      <c r="C833" s="10" t="s">
        <v>15</v>
      </c>
      <c r="D833" s="11">
        <v>44699</v>
      </c>
      <c r="E833" s="9" t="s">
        <v>686</v>
      </c>
      <c r="F833" s="9">
        <v>39601</v>
      </c>
      <c r="G833" s="9" t="s">
        <v>660</v>
      </c>
      <c r="H833" s="9" t="s">
        <v>661</v>
      </c>
      <c r="J833" s="9" t="s">
        <v>684</v>
      </c>
      <c r="K833" s="9" t="s">
        <v>666</v>
      </c>
      <c r="L833" s="9" t="s">
        <v>258</v>
      </c>
      <c r="M833" s="9" t="s">
        <v>1392</v>
      </c>
      <c r="N833" s="9" t="str">
        <f t="shared" si="12"/>
        <v>ADALTON/JANILSON RORIZ/MARIVALDO</v>
      </c>
    </row>
    <row r="834" spans="1:14" x14ac:dyDescent="0.3">
      <c r="A834" s="9">
        <v>706573</v>
      </c>
      <c r="B834" s="9" t="s">
        <v>824</v>
      </c>
      <c r="C834" s="10" t="s">
        <v>15</v>
      </c>
      <c r="D834" s="11">
        <v>45489</v>
      </c>
      <c r="E834" s="9" t="s">
        <v>418</v>
      </c>
      <c r="F834" s="9">
        <v>39601</v>
      </c>
      <c r="G834" s="9" t="s">
        <v>660</v>
      </c>
      <c r="H834" s="9" t="s">
        <v>661</v>
      </c>
      <c r="J834" s="9" t="s">
        <v>684</v>
      </c>
      <c r="K834" s="9" t="s">
        <v>666</v>
      </c>
      <c r="L834" s="9" t="s">
        <v>258</v>
      </c>
      <c r="M834" s="9" t="s">
        <v>1392</v>
      </c>
      <c r="N834" s="9" t="str">
        <f t="shared" si="12"/>
        <v>ADALTON/JANILSON RORIZ/MARIVALDO</v>
      </c>
    </row>
    <row r="835" spans="1:14" x14ac:dyDescent="0.3">
      <c r="A835" s="9">
        <v>705843</v>
      </c>
      <c r="B835" s="9" t="s">
        <v>1578</v>
      </c>
      <c r="C835" s="10" t="s">
        <v>15</v>
      </c>
      <c r="D835" s="11">
        <v>46063</v>
      </c>
      <c r="E835" s="9" t="s">
        <v>31</v>
      </c>
      <c r="F835" s="9">
        <v>24102</v>
      </c>
      <c r="G835" s="9" t="s">
        <v>669</v>
      </c>
      <c r="H835" s="9" t="s">
        <v>661</v>
      </c>
      <c r="J835" s="9" t="s">
        <v>672</v>
      </c>
      <c r="K835" s="9" t="s">
        <v>666</v>
      </c>
      <c r="L835" s="9" t="s">
        <v>1388</v>
      </c>
      <c r="M835" s="9" t="s">
        <v>1637</v>
      </c>
      <c r="N835" s="9" t="str">
        <f t="shared" ref="N835:N898" si="13">IF(M835&lt;&gt;"", M835, IF(L835&lt;&gt;"", L835, K835))</f>
        <v>JUNIO TEIXEIRA /EDIVILSON</v>
      </c>
    </row>
    <row r="836" spans="1:14" x14ac:dyDescent="0.3">
      <c r="A836" s="9">
        <v>101761</v>
      </c>
      <c r="B836" s="9" t="s">
        <v>825</v>
      </c>
      <c r="C836" s="10" t="s">
        <v>15</v>
      </c>
      <c r="D836" s="11">
        <v>43073</v>
      </c>
      <c r="E836" s="9" t="s">
        <v>60</v>
      </c>
      <c r="F836" s="9">
        <v>24102</v>
      </c>
      <c r="G836" s="9" t="s">
        <v>669</v>
      </c>
      <c r="H836" s="9" t="s">
        <v>661</v>
      </c>
      <c r="J836" s="9" t="s">
        <v>672</v>
      </c>
      <c r="K836" s="9" t="s">
        <v>666</v>
      </c>
      <c r="L836" s="9" t="s">
        <v>1388</v>
      </c>
      <c r="M836" s="9" t="s">
        <v>1637</v>
      </c>
      <c r="N836" s="9" t="str">
        <f t="shared" si="13"/>
        <v>JUNIO TEIXEIRA /EDIVILSON</v>
      </c>
    </row>
    <row r="837" spans="1:14" x14ac:dyDescent="0.3">
      <c r="A837" s="9">
        <v>705026</v>
      </c>
      <c r="B837" s="9" t="s">
        <v>827</v>
      </c>
      <c r="C837" s="10" t="s">
        <v>15</v>
      </c>
      <c r="D837" s="11">
        <v>45636</v>
      </c>
      <c r="E837" s="9" t="s">
        <v>31</v>
      </c>
      <c r="F837" s="9">
        <v>24102</v>
      </c>
      <c r="G837" s="9" t="s">
        <v>669</v>
      </c>
      <c r="H837" s="9" t="s">
        <v>661</v>
      </c>
      <c r="J837" s="9" t="s">
        <v>672</v>
      </c>
      <c r="K837" s="9" t="s">
        <v>666</v>
      </c>
      <c r="L837" s="9" t="s">
        <v>1388</v>
      </c>
      <c r="M837" s="9" t="s">
        <v>1637</v>
      </c>
      <c r="N837" s="9" t="str">
        <f t="shared" si="13"/>
        <v>JUNIO TEIXEIRA /EDIVILSON</v>
      </c>
    </row>
    <row r="838" spans="1:14" x14ac:dyDescent="0.3">
      <c r="A838" s="9">
        <v>705446</v>
      </c>
      <c r="B838" s="9" t="s">
        <v>1249</v>
      </c>
      <c r="C838" s="10" t="s">
        <v>15</v>
      </c>
      <c r="D838" s="11">
        <v>45797</v>
      </c>
      <c r="E838" s="9" t="s">
        <v>31</v>
      </c>
      <c r="F838" s="9">
        <v>24102</v>
      </c>
      <c r="G838" s="9" t="s">
        <v>669</v>
      </c>
      <c r="H838" s="9" t="s">
        <v>661</v>
      </c>
      <c r="J838" s="9" t="s">
        <v>672</v>
      </c>
      <c r="K838" s="9" t="s">
        <v>666</v>
      </c>
      <c r="L838" s="9" t="s">
        <v>1388</v>
      </c>
      <c r="M838" s="9" t="s">
        <v>1637</v>
      </c>
      <c r="N838" s="9" t="str">
        <f t="shared" si="13"/>
        <v>JUNIO TEIXEIRA /EDIVILSON</v>
      </c>
    </row>
    <row r="839" spans="1:14" x14ac:dyDescent="0.3">
      <c r="A839" s="9">
        <v>700501</v>
      </c>
      <c r="B839" s="9" t="s">
        <v>828</v>
      </c>
      <c r="C839" s="10" t="s">
        <v>15</v>
      </c>
      <c r="D839" s="11">
        <v>43346</v>
      </c>
      <c r="E839" s="9" t="s">
        <v>60</v>
      </c>
      <c r="F839" s="9">
        <v>24102</v>
      </c>
      <c r="G839" s="9" t="s">
        <v>669</v>
      </c>
      <c r="H839" s="9" t="s">
        <v>661</v>
      </c>
      <c r="J839" s="9" t="s">
        <v>672</v>
      </c>
      <c r="K839" s="9" t="s">
        <v>666</v>
      </c>
      <c r="L839" s="9" t="s">
        <v>1388</v>
      </c>
      <c r="M839" s="9" t="s">
        <v>1637</v>
      </c>
      <c r="N839" s="9" t="str">
        <f t="shared" si="13"/>
        <v>JUNIO TEIXEIRA /EDIVILSON</v>
      </c>
    </row>
    <row r="840" spans="1:14" x14ac:dyDescent="0.3">
      <c r="A840" s="9">
        <v>704843</v>
      </c>
      <c r="B840" s="9" t="s">
        <v>829</v>
      </c>
      <c r="C840" s="10" t="s">
        <v>15</v>
      </c>
      <c r="D840" s="11">
        <v>45572</v>
      </c>
      <c r="E840" s="9" t="s">
        <v>138</v>
      </c>
      <c r="F840" s="9">
        <v>24102</v>
      </c>
      <c r="G840" s="9" t="s">
        <v>669</v>
      </c>
      <c r="H840" s="9" t="s">
        <v>661</v>
      </c>
      <c r="J840" s="9" t="s">
        <v>682</v>
      </c>
      <c r="K840" s="9" t="s">
        <v>666</v>
      </c>
      <c r="L840" s="9" t="s">
        <v>1390</v>
      </c>
      <c r="M840" s="9" t="s">
        <v>1391</v>
      </c>
      <c r="N840" s="9" t="str">
        <f t="shared" si="13"/>
        <v>ALCENO JUNIOR/JOÃO MARCOS</v>
      </c>
    </row>
    <row r="841" spans="1:14" x14ac:dyDescent="0.3">
      <c r="A841" s="9">
        <v>705336</v>
      </c>
      <c r="B841" s="9" t="s">
        <v>1250</v>
      </c>
      <c r="C841" s="10" t="s">
        <v>15</v>
      </c>
      <c r="D841" s="11">
        <v>45784</v>
      </c>
      <c r="E841" s="9" t="s">
        <v>31</v>
      </c>
      <c r="F841" s="9">
        <v>24102</v>
      </c>
      <c r="G841" s="9" t="s">
        <v>669</v>
      </c>
      <c r="H841" s="9" t="s">
        <v>661</v>
      </c>
      <c r="J841" s="9" t="s">
        <v>672</v>
      </c>
      <c r="K841" s="9" t="s">
        <v>666</v>
      </c>
      <c r="L841" s="9" t="s">
        <v>1388</v>
      </c>
      <c r="M841" s="9" t="s">
        <v>1637</v>
      </c>
      <c r="N841" s="9" t="str">
        <f t="shared" si="13"/>
        <v>JUNIO TEIXEIRA /EDIVILSON</v>
      </c>
    </row>
    <row r="842" spans="1:14" x14ac:dyDescent="0.3">
      <c r="A842" s="9">
        <v>705346</v>
      </c>
      <c r="B842" s="9" t="s">
        <v>1251</v>
      </c>
      <c r="C842" s="10" t="s">
        <v>15</v>
      </c>
      <c r="D842" s="11">
        <v>45784</v>
      </c>
      <c r="E842" s="9" t="s">
        <v>31</v>
      </c>
      <c r="F842" s="9">
        <v>24102</v>
      </c>
      <c r="G842" s="9" t="s">
        <v>669</v>
      </c>
      <c r="H842" s="9" t="s">
        <v>661</v>
      </c>
      <c r="J842" s="9" t="s">
        <v>672</v>
      </c>
      <c r="K842" s="9" t="s">
        <v>666</v>
      </c>
      <c r="L842" s="9" t="s">
        <v>1388</v>
      </c>
      <c r="M842" s="9" t="s">
        <v>1637</v>
      </c>
      <c r="N842" s="9" t="str">
        <f t="shared" si="13"/>
        <v>JUNIO TEIXEIRA /EDIVILSON</v>
      </c>
    </row>
    <row r="843" spans="1:14" x14ac:dyDescent="0.3">
      <c r="A843" s="9">
        <v>703182</v>
      </c>
      <c r="B843" s="9" t="s">
        <v>830</v>
      </c>
      <c r="C843" s="10" t="s">
        <v>15</v>
      </c>
      <c r="D843" s="11">
        <v>44753</v>
      </c>
      <c r="E843" s="9" t="s">
        <v>686</v>
      </c>
      <c r="F843" s="9">
        <v>39601</v>
      </c>
      <c r="G843" s="9" t="s">
        <v>660</v>
      </c>
      <c r="H843" s="9" t="s">
        <v>661</v>
      </c>
      <c r="J843" s="9" t="s">
        <v>684</v>
      </c>
      <c r="K843" s="9" t="s">
        <v>666</v>
      </c>
      <c r="L843" s="9" t="s">
        <v>258</v>
      </c>
      <c r="M843" s="9" t="s">
        <v>1392</v>
      </c>
      <c r="N843" s="9" t="str">
        <f t="shared" si="13"/>
        <v>ADALTON/JANILSON RORIZ/MARIVALDO</v>
      </c>
    </row>
    <row r="844" spans="1:14" x14ac:dyDescent="0.3">
      <c r="A844" s="9">
        <v>704125</v>
      </c>
      <c r="B844" s="9" t="s">
        <v>831</v>
      </c>
      <c r="C844" s="10" t="s">
        <v>15</v>
      </c>
      <c r="D844" s="11">
        <v>45238</v>
      </c>
      <c r="E844" s="9" t="s">
        <v>138</v>
      </c>
      <c r="F844" s="9">
        <v>24102</v>
      </c>
      <c r="G844" s="9" t="s">
        <v>669</v>
      </c>
      <c r="H844" s="9" t="s">
        <v>661</v>
      </c>
      <c r="J844" s="9" t="s">
        <v>682</v>
      </c>
      <c r="K844" s="9" t="s">
        <v>666</v>
      </c>
      <c r="L844" s="9" t="s">
        <v>1390</v>
      </c>
      <c r="M844" s="9" t="s">
        <v>1391</v>
      </c>
      <c r="N844" s="9" t="str">
        <f t="shared" si="13"/>
        <v>ALCENO JUNIOR/JOÃO MARCOS</v>
      </c>
    </row>
    <row r="845" spans="1:14" x14ac:dyDescent="0.3">
      <c r="A845" s="9">
        <v>704928</v>
      </c>
      <c r="B845" s="9" t="s">
        <v>832</v>
      </c>
      <c r="C845" s="10" t="s">
        <v>15</v>
      </c>
      <c r="D845" s="11">
        <v>45601</v>
      </c>
      <c r="E845" s="9" t="s">
        <v>418</v>
      </c>
      <c r="F845" s="9">
        <v>39601</v>
      </c>
      <c r="G845" s="9" t="s">
        <v>660</v>
      </c>
      <c r="H845" s="9" t="s">
        <v>661</v>
      </c>
      <c r="J845" s="9" t="s">
        <v>662</v>
      </c>
      <c r="K845" s="9" t="s">
        <v>666</v>
      </c>
      <c r="L845" s="9" t="s">
        <v>258</v>
      </c>
      <c r="N845" s="9" t="str">
        <f t="shared" si="13"/>
        <v>MATHEUS ALMEIDA</v>
      </c>
    </row>
    <row r="846" spans="1:14" x14ac:dyDescent="0.3">
      <c r="A846" s="9">
        <v>705087</v>
      </c>
      <c r="B846" s="9" t="s">
        <v>833</v>
      </c>
      <c r="C846" s="10" t="s">
        <v>15</v>
      </c>
      <c r="D846" s="11">
        <v>45670</v>
      </c>
      <c r="E846" s="9" t="s">
        <v>31</v>
      </c>
      <c r="F846" s="9">
        <v>24102</v>
      </c>
      <c r="G846" s="9" t="s">
        <v>669</v>
      </c>
      <c r="H846" s="9" t="s">
        <v>661</v>
      </c>
      <c r="J846" s="9" t="s">
        <v>672</v>
      </c>
      <c r="K846" s="9" t="s">
        <v>666</v>
      </c>
      <c r="L846" s="9" t="s">
        <v>1388</v>
      </c>
      <c r="M846" s="9" t="s">
        <v>1637</v>
      </c>
      <c r="N846" s="9" t="str">
        <f t="shared" si="13"/>
        <v>JUNIO TEIXEIRA /EDIVILSON</v>
      </c>
    </row>
    <row r="847" spans="1:14" x14ac:dyDescent="0.3">
      <c r="A847" s="9">
        <v>705681</v>
      </c>
      <c r="B847" s="9" t="s">
        <v>1429</v>
      </c>
      <c r="C847" s="10" t="s">
        <v>15</v>
      </c>
      <c r="D847" s="11">
        <v>45944</v>
      </c>
      <c r="E847" s="9" t="s">
        <v>31</v>
      </c>
      <c r="F847" s="9">
        <v>39601</v>
      </c>
      <c r="G847" s="9" t="s">
        <v>660</v>
      </c>
      <c r="H847" s="9" t="s">
        <v>661</v>
      </c>
      <c r="J847" s="9" t="s">
        <v>662</v>
      </c>
      <c r="K847" s="9" t="s">
        <v>666</v>
      </c>
      <c r="L847" s="9" t="s">
        <v>258</v>
      </c>
      <c r="N847" s="9" t="str">
        <f t="shared" si="13"/>
        <v>MATHEUS ALMEIDA</v>
      </c>
    </row>
    <row r="848" spans="1:14" x14ac:dyDescent="0.3">
      <c r="A848" s="9">
        <v>703005</v>
      </c>
      <c r="B848" s="9" t="s">
        <v>834</v>
      </c>
      <c r="C848" s="10" t="s">
        <v>15</v>
      </c>
      <c r="D848" s="11">
        <v>44691</v>
      </c>
      <c r="E848" s="9" t="s">
        <v>146</v>
      </c>
      <c r="F848" s="9">
        <v>24102</v>
      </c>
      <c r="G848" s="9" t="s">
        <v>669</v>
      </c>
      <c r="H848" s="9" t="s">
        <v>661</v>
      </c>
      <c r="J848" s="9" t="s">
        <v>697</v>
      </c>
      <c r="K848" s="9" t="s">
        <v>666</v>
      </c>
      <c r="L848" s="9" t="s">
        <v>1390</v>
      </c>
      <c r="M848" s="9" t="s">
        <v>1391</v>
      </c>
      <c r="N848" s="9" t="str">
        <f t="shared" si="13"/>
        <v>ALCENO JUNIOR/JOÃO MARCOS</v>
      </c>
    </row>
    <row r="849" spans="1:14" x14ac:dyDescent="0.3">
      <c r="A849" s="9">
        <v>702606</v>
      </c>
      <c r="B849" s="9" t="s">
        <v>835</v>
      </c>
      <c r="C849" s="10" t="s">
        <v>15</v>
      </c>
      <c r="D849" s="11">
        <v>44487</v>
      </c>
      <c r="E849" s="9" t="s">
        <v>507</v>
      </c>
      <c r="F849" s="9">
        <v>24201</v>
      </c>
      <c r="G849" s="9" t="s">
        <v>664</v>
      </c>
      <c r="H849" s="9" t="s">
        <v>661</v>
      </c>
      <c r="J849" s="9" t="s">
        <v>665</v>
      </c>
      <c r="K849" s="9" t="s">
        <v>666</v>
      </c>
      <c r="L849" s="9" t="s">
        <v>258</v>
      </c>
      <c r="M849" s="9" t="s">
        <v>667</v>
      </c>
      <c r="N849" s="9" t="str">
        <f t="shared" si="13"/>
        <v>JOSIEL NEVES</v>
      </c>
    </row>
    <row r="850" spans="1:14" x14ac:dyDescent="0.3">
      <c r="A850" s="9">
        <v>702143</v>
      </c>
      <c r="B850" s="9" t="s">
        <v>836</v>
      </c>
      <c r="C850" s="10" t="s">
        <v>15</v>
      </c>
      <c r="D850" s="11">
        <v>44299</v>
      </c>
      <c r="E850" s="9" t="s">
        <v>138</v>
      </c>
      <c r="F850" s="9">
        <v>24102</v>
      </c>
      <c r="G850" s="9" t="s">
        <v>669</v>
      </c>
      <c r="H850" s="9" t="s">
        <v>661</v>
      </c>
      <c r="J850" s="9" t="s">
        <v>682</v>
      </c>
      <c r="K850" s="9" t="s">
        <v>666</v>
      </c>
      <c r="L850" s="9" t="s">
        <v>1390</v>
      </c>
      <c r="M850" s="9" t="s">
        <v>1391</v>
      </c>
      <c r="N850" s="9" t="str">
        <f t="shared" si="13"/>
        <v>ALCENO JUNIOR/JOÃO MARCOS</v>
      </c>
    </row>
    <row r="851" spans="1:14" x14ac:dyDescent="0.3">
      <c r="A851" s="9">
        <v>705394</v>
      </c>
      <c r="B851" s="9" t="s">
        <v>1252</v>
      </c>
      <c r="C851" s="10" t="s">
        <v>15</v>
      </c>
      <c r="D851" s="11">
        <v>45791</v>
      </c>
      <c r="E851" s="9" t="s">
        <v>31</v>
      </c>
      <c r="F851" s="9">
        <v>39601</v>
      </c>
      <c r="G851" s="9" t="s">
        <v>660</v>
      </c>
      <c r="H851" s="9" t="s">
        <v>661</v>
      </c>
      <c r="J851" s="9" t="s">
        <v>662</v>
      </c>
      <c r="K851" s="9" t="s">
        <v>666</v>
      </c>
      <c r="L851" s="9" t="s">
        <v>258</v>
      </c>
      <c r="N851" s="9" t="str">
        <f t="shared" si="13"/>
        <v>MATHEUS ALMEIDA</v>
      </c>
    </row>
    <row r="852" spans="1:14" x14ac:dyDescent="0.3">
      <c r="A852" s="9">
        <v>705549</v>
      </c>
      <c r="B852" s="9" t="s">
        <v>1334</v>
      </c>
      <c r="C852" s="10" t="s">
        <v>15</v>
      </c>
      <c r="D852" s="11">
        <v>45881</v>
      </c>
      <c r="E852" s="9" t="s">
        <v>16</v>
      </c>
      <c r="F852" s="9">
        <v>24102</v>
      </c>
      <c r="G852" s="9" t="s">
        <v>669</v>
      </c>
      <c r="H852" s="9" t="s">
        <v>661</v>
      </c>
      <c r="J852" s="9" t="s">
        <v>682</v>
      </c>
      <c r="K852" s="9" t="s">
        <v>666</v>
      </c>
      <c r="L852" s="9" t="s">
        <v>1390</v>
      </c>
      <c r="M852" s="9" t="s">
        <v>1391</v>
      </c>
      <c r="N852" s="9" t="str">
        <f t="shared" si="13"/>
        <v>ALCENO JUNIOR/JOÃO MARCOS</v>
      </c>
    </row>
    <row r="853" spans="1:14" x14ac:dyDescent="0.3">
      <c r="A853" s="9">
        <v>703708</v>
      </c>
      <c r="B853" s="9" t="s">
        <v>837</v>
      </c>
      <c r="C853" s="10" t="s">
        <v>15</v>
      </c>
      <c r="D853" s="11">
        <v>45019</v>
      </c>
      <c r="E853" s="9" t="s">
        <v>686</v>
      </c>
      <c r="F853" s="9">
        <v>39602</v>
      </c>
      <c r="G853" s="9" t="s">
        <v>699</v>
      </c>
      <c r="H853" s="9" t="s">
        <v>661</v>
      </c>
      <c r="J853" s="9" t="s">
        <v>700</v>
      </c>
      <c r="K853" s="9" t="s">
        <v>666</v>
      </c>
      <c r="L853" s="9" t="s">
        <v>258</v>
      </c>
      <c r="M853" s="9" t="s">
        <v>701</v>
      </c>
      <c r="N853" s="9" t="str">
        <f t="shared" si="13"/>
        <v>IURY GUEDES</v>
      </c>
    </row>
    <row r="854" spans="1:14" x14ac:dyDescent="0.3">
      <c r="A854" s="9">
        <v>701294</v>
      </c>
      <c r="B854" s="9" t="s">
        <v>840</v>
      </c>
      <c r="C854" s="10" t="s">
        <v>15</v>
      </c>
      <c r="D854" s="11">
        <v>43718</v>
      </c>
      <c r="E854" s="9" t="s">
        <v>105</v>
      </c>
      <c r="F854" s="9">
        <v>24102</v>
      </c>
      <c r="G854" s="9" t="s">
        <v>669</v>
      </c>
      <c r="H854" s="9" t="s">
        <v>661</v>
      </c>
      <c r="J854" s="9" t="s">
        <v>697</v>
      </c>
      <c r="K854" s="9" t="s">
        <v>666</v>
      </c>
      <c r="L854" s="9" t="s">
        <v>1390</v>
      </c>
      <c r="M854" s="9" t="s">
        <v>1391</v>
      </c>
      <c r="N854" s="9" t="str">
        <f t="shared" si="13"/>
        <v>ALCENO JUNIOR/JOÃO MARCOS</v>
      </c>
    </row>
    <row r="855" spans="1:14" x14ac:dyDescent="0.3">
      <c r="A855" s="9">
        <v>704322</v>
      </c>
      <c r="B855" s="9" t="s">
        <v>841</v>
      </c>
      <c r="C855" s="10" t="s">
        <v>15</v>
      </c>
      <c r="D855" s="11">
        <v>45356</v>
      </c>
      <c r="E855" s="9" t="s">
        <v>507</v>
      </c>
      <c r="F855" s="9">
        <v>24102</v>
      </c>
      <c r="G855" s="9" t="s">
        <v>669</v>
      </c>
      <c r="H855" s="9" t="s">
        <v>661</v>
      </c>
      <c r="J855" s="9" t="s">
        <v>670</v>
      </c>
      <c r="K855" s="9" t="s">
        <v>666</v>
      </c>
      <c r="L855" s="9" t="s">
        <v>1388</v>
      </c>
      <c r="M855" s="9" t="s">
        <v>1637</v>
      </c>
      <c r="N855" s="9" t="str">
        <f t="shared" si="13"/>
        <v>JUNIO TEIXEIRA /EDIVILSON</v>
      </c>
    </row>
    <row r="856" spans="1:14" x14ac:dyDescent="0.3">
      <c r="A856" s="9">
        <v>705319</v>
      </c>
      <c r="B856" s="9" t="s">
        <v>1253</v>
      </c>
      <c r="C856" s="10" t="s">
        <v>15</v>
      </c>
      <c r="D856" s="11">
        <v>45784</v>
      </c>
      <c r="E856" s="9" t="s">
        <v>60</v>
      </c>
      <c r="F856" s="9">
        <v>24102</v>
      </c>
      <c r="G856" s="9" t="s">
        <v>669</v>
      </c>
      <c r="H856" s="9" t="s">
        <v>661</v>
      </c>
      <c r="J856" s="9" t="s">
        <v>804</v>
      </c>
      <c r="K856" s="9" t="s">
        <v>666</v>
      </c>
      <c r="M856" s="9" t="s">
        <v>805</v>
      </c>
      <c r="N856" s="9" t="str">
        <f t="shared" si="13"/>
        <v>JAILSON RORIZ</v>
      </c>
    </row>
    <row r="857" spans="1:14" x14ac:dyDescent="0.3">
      <c r="A857" s="9">
        <v>705837</v>
      </c>
      <c r="B857" s="9" t="s">
        <v>1580</v>
      </c>
      <c r="C857" s="10" t="s">
        <v>15</v>
      </c>
      <c r="D857" s="11">
        <v>46063</v>
      </c>
      <c r="E857" s="9" t="s">
        <v>16</v>
      </c>
      <c r="F857" s="9">
        <v>24102</v>
      </c>
      <c r="G857" s="9" t="s">
        <v>669</v>
      </c>
      <c r="H857" s="9" t="s">
        <v>661</v>
      </c>
      <c r="J857" s="9" t="s">
        <v>682</v>
      </c>
      <c r="K857" s="9" t="s">
        <v>666</v>
      </c>
      <c r="L857" s="9" t="s">
        <v>1390</v>
      </c>
      <c r="M857" s="9" t="s">
        <v>1391</v>
      </c>
      <c r="N857" s="9" t="str">
        <f t="shared" si="13"/>
        <v>ALCENO JUNIOR/JOÃO MARCOS</v>
      </c>
    </row>
    <row r="858" spans="1:14" x14ac:dyDescent="0.3">
      <c r="A858" s="9">
        <v>703965</v>
      </c>
      <c r="B858" s="9" t="s">
        <v>842</v>
      </c>
      <c r="C858" s="10" t="s">
        <v>15</v>
      </c>
      <c r="D858" s="11">
        <v>45113</v>
      </c>
      <c r="E858" s="9" t="s">
        <v>418</v>
      </c>
      <c r="F858" s="9">
        <v>39601</v>
      </c>
      <c r="G858" s="9" t="s">
        <v>660</v>
      </c>
      <c r="H858" s="9" t="s">
        <v>661</v>
      </c>
      <c r="J858" s="9" t="s">
        <v>662</v>
      </c>
      <c r="K858" s="9" t="s">
        <v>666</v>
      </c>
      <c r="L858" s="9" t="s">
        <v>258</v>
      </c>
      <c r="N858" s="9" t="str">
        <f t="shared" si="13"/>
        <v>MATHEUS ALMEIDA</v>
      </c>
    </row>
    <row r="859" spans="1:14" x14ac:dyDescent="0.3">
      <c r="A859" s="9">
        <v>703414</v>
      </c>
      <c r="B859" s="9" t="s">
        <v>843</v>
      </c>
      <c r="C859" s="10" t="s">
        <v>15</v>
      </c>
      <c r="D859" s="11">
        <v>44873</v>
      </c>
      <c r="E859" s="9" t="s">
        <v>52</v>
      </c>
      <c r="F859" s="9">
        <v>32102</v>
      </c>
      <c r="G859" s="9" t="s">
        <v>674</v>
      </c>
      <c r="H859" s="9" t="s">
        <v>661</v>
      </c>
      <c r="J859" s="9" t="s">
        <v>675</v>
      </c>
      <c r="K859" s="9" t="s">
        <v>25</v>
      </c>
      <c r="L859" s="9" t="s">
        <v>1369</v>
      </c>
      <c r="M859" s="9" t="s">
        <v>1638</v>
      </c>
      <c r="N859" s="9" t="str">
        <f t="shared" si="13"/>
        <v>EDIVILSON MENEZES</v>
      </c>
    </row>
    <row r="860" spans="1:14" x14ac:dyDescent="0.3">
      <c r="A860" s="9">
        <v>101406</v>
      </c>
      <c r="B860" s="9" t="s">
        <v>844</v>
      </c>
      <c r="C860" s="10" t="s">
        <v>15</v>
      </c>
      <c r="D860" s="11">
        <v>42926</v>
      </c>
      <c r="E860" s="9" t="s">
        <v>31</v>
      </c>
      <c r="F860" s="9">
        <v>24102</v>
      </c>
      <c r="G860" s="9" t="s">
        <v>669</v>
      </c>
      <c r="H860" s="9" t="s">
        <v>661</v>
      </c>
      <c r="J860" s="9" t="s">
        <v>670</v>
      </c>
      <c r="K860" s="9" t="s">
        <v>666</v>
      </c>
      <c r="L860" s="9" t="s">
        <v>1388</v>
      </c>
      <c r="M860" s="9" t="s">
        <v>1637</v>
      </c>
      <c r="N860" s="9" t="str">
        <f t="shared" si="13"/>
        <v>JUNIO TEIXEIRA /EDIVILSON</v>
      </c>
    </row>
    <row r="861" spans="1:14" x14ac:dyDescent="0.3">
      <c r="A861" s="9">
        <v>701205</v>
      </c>
      <c r="B861" s="9" t="s">
        <v>845</v>
      </c>
      <c r="C861" s="10" t="s">
        <v>15</v>
      </c>
      <c r="D861" s="11">
        <v>43682</v>
      </c>
      <c r="E861" s="9" t="s">
        <v>31</v>
      </c>
      <c r="F861" s="9">
        <v>24102</v>
      </c>
      <c r="G861" s="9" t="s">
        <v>669</v>
      </c>
      <c r="H861" s="9" t="s">
        <v>661</v>
      </c>
      <c r="J861" s="9" t="s">
        <v>672</v>
      </c>
      <c r="K861" s="9" t="s">
        <v>666</v>
      </c>
      <c r="L861" s="9" t="s">
        <v>1388</v>
      </c>
      <c r="M861" s="9" t="s">
        <v>1637</v>
      </c>
      <c r="N861" s="9" t="str">
        <f t="shared" si="13"/>
        <v>JUNIO TEIXEIRA /EDIVILSON</v>
      </c>
    </row>
    <row r="862" spans="1:14" x14ac:dyDescent="0.3">
      <c r="A862" s="9">
        <v>702545</v>
      </c>
      <c r="B862" s="9" t="s">
        <v>846</v>
      </c>
      <c r="C862" s="10" t="s">
        <v>15</v>
      </c>
      <c r="D862" s="11">
        <v>44452</v>
      </c>
      <c r="E862" s="9" t="s">
        <v>507</v>
      </c>
      <c r="F862" s="9">
        <v>24201</v>
      </c>
      <c r="G862" s="9" t="s">
        <v>664</v>
      </c>
      <c r="H862" s="9" t="s">
        <v>661</v>
      </c>
      <c r="J862" s="9" t="s">
        <v>665</v>
      </c>
      <c r="K862" s="9" t="s">
        <v>666</v>
      </c>
      <c r="L862" s="9" t="s">
        <v>258</v>
      </c>
      <c r="M862" s="9" t="s">
        <v>667</v>
      </c>
      <c r="N862" s="9" t="str">
        <f t="shared" si="13"/>
        <v>JOSIEL NEVES</v>
      </c>
    </row>
    <row r="863" spans="1:14" x14ac:dyDescent="0.3">
      <c r="A863" s="9">
        <v>704349</v>
      </c>
      <c r="B863" s="9" t="s">
        <v>847</v>
      </c>
      <c r="C863" s="10" t="s">
        <v>15</v>
      </c>
      <c r="D863" s="11">
        <v>45363</v>
      </c>
      <c r="E863" s="9" t="s">
        <v>16</v>
      </c>
      <c r="F863" s="9">
        <v>24102</v>
      </c>
      <c r="G863" s="9" t="s">
        <v>669</v>
      </c>
      <c r="H863" s="9" t="s">
        <v>661</v>
      </c>
      <c r="J863" s="9" t="s">
        <v>682</v>
      </c>
      <c r="K863" s="9" t="s">
        <v>666</v>
      </c>
      <c r="L863" s="9" t="s">
        <v>1390</v>
      </c>
      <c r="M863" s="9" t="s">
        <v>1391</v>
      </c>
      <c r="N863" s="9" t="str">
        <f t="shared" si="13"/>
        <v>ALCENO JUNIOR/JOÃO MARCOS</v>
      </c>
    </row>
    <row r="864" spans="1:14" x14ac:dyDescent="0.3">
      <c r="A864" s="9">
        <v>706023</v>
      </c>
      <c r="B864" s="9" t="s">
        <v>1720</v>
      </c>
      <c r="C864" s="10" t="s">
        <v>15</v>
      </c>
      <c r="D864" s="11">
        <v>46126</v>
      </c>
      <c r="E864" s="9" t="s">
        <v>31</v>
      </c>
      <c r="F864" s="9">
        <v>39601</v>
      </c>
      <c r="G864" s="9" t="s">
        <v>660</v>
      </c>
      <c r="H864" s="9" t="s">
        <v>661</v>
      </c>
      <c r="J864" s="9" t="s">
        <v>662</v>
      </c>
      <c r="K864" s="9" t="s">
        <v>666</v>
      </c>
      <c r="L864" s="9" t="s">
        <v>258</v>
      </c>
      <c r="N864" s="9" t="str">
        <f t="shared" si="13"/>
        <v>MATHEUS ALMEIDA</v>
      </c>
    </row>
    <row r="865" spans="1:14" x14ac:dyDescent="0.3">
      <c r="A865" s="9">
        <v>705097</v>
      </c>
      <c r="B865" s="9" t="s">
        <v>848</v>
      </c>
      <c r="C865" s="10" t="s">
        <v>233</v>
      </c>
      <c r="D865" s="11">
        <v>45670</v>
      </c>
      <c r="E865" s="9" t="s">
        <v>138</v>
      </c>
      <c r="F865" s="9">
        <v>24102</v>
      </c>
      <c r="G865" s="9" t="s">
        <v>669</v>
      </c>
      <c r="H865" s="9" t="s">
        <v>661</v>
      </c>
      <c r="J865" s="9" t="s">
        <v>682</v>
      </c>
      <c r="K865" s="9" t="s">
        <v>666</v>
      </c>
      <c r="L865" s="9" t="s">
        <v>1390</v>
      </c>
      <c r="M865" s="9" t="s">
        <v>1391</v>
      </c>
      <c r="N865" s="9" t="str">
        <f t="shared" si="13"/>
        <v>ALCENO JUNIOR/JOÃO MARCOS</v>
      </c>
    </row>
    <row r="866" spans="1:14" x14ac:dyDescent="0.3">
      <c r="A866" s="9">
        <v>704579</v>
      </c>
      <c r="B866" s="9" t="s">
        <v>849</v>
      </c>
      <c r="C866" s="10" t="s">
        <v>15</v>
      </c>
      <c r="D866" s="11">
        <v>45448</v>
      </c>
      <c r="E866" s="9" t="s">
        <v>1626</v>
      </c>
      <c r="F866" s="9">
        <v>39602</v>
      </c>
      <c r="G866" s="9" t="s">
        <v>699</v>
      </c>
      <c r="H866" s="9" t="s">
        <v>661</v>
      </c>
      <c r="J866" s="9" t="s">
        <v>700</v>
      </c>
      <c r="K866" s="9" t="s">
        <v>666</v>
      </c>
      <c r="L866" s="9" t="s">
        <v>258</v>
      </c>
      <c r="M866" s="9" t="s">
        <v>701</v>
      </c>
      <c r="N866" s="9" t="str">
        <f t="shared" si="13"/>
        <v>IURY GUEDES</v>
      </c>
    </row>
    <row r="867" spans="1:14" x14ac:dyDescent="0.3">
      <c r="A867" s="9">
        <v>705941</v>
      </c>
      <c r="B867" s="9" t="s">
        <v>1721</v>
      </c>
      <c r="C867" s="10" t="s">
        <v>15</v>
      </c>
      <c r="D867" s="11">
        <v>46119</v>
      </c>
      <c r="E867" s="9" t="s">
        <v>77</v>
      </c>
      <c r="F867" s="9">
        <v>38108</v>
      </c>
      <c r="G867" s="9" t="s">
        <v>1698</v>
      </c>
      <c r="H867" s="9" t="s">
        <v>661</v>
      </c>
      <c r="J867" s="9" t="s">
        <v>78</v>
      </c>
      <c r="K867" s="9" t="s">
        <v>1372</v>
      </c>
      <c r="N867" s="9" t="str">
        <f t="shared" si="13"/>
        <v xml:space="preserve">LEIDJANE MARTINS </v>
      </c>
    </row>
    <row r="868" spans="1:14" x14ac:dyDescent="0.3">
      <c r="A868" s="9">
        <v>704235</v>
      </c>
      <c r="B868" s="9" t="s">
        <v>850</v>
      </c>
      <c r="C868" s="10" t="s">
        <v>15</v>
      </c>
      <c r="D868" s="11">
        <v>45328</v>
      </c>
      <c r="E868" s="9" t="s">
        <v>31</v>
      </c>
      <c r="F868" s="9">
        <v>24102</v>
      </c>
      <c r="G868" s="9" t="s">
        <v>669</v>
      </c>
      <c r="H868" s="9" t="s">
        <v>661</v>
      </c>
      <c r="J868" s="9" t="s">
        <v>672</v>
      </c>
      <c r="K868" s="9" t="s">
        <v>666</v>
      </c>
      <c r="L868" s="9" t="s">
        <v>1388</v>
      </c>
      <c r="M868" s="9" t="s">
        <v>1637</v>
      </c>
      <c r="N868" s="9" t="str">
        <f t="shared" si="13"/>
        <v>JUNIO TEIXEIRA /EDIVILSON</v>
      </c>
    </row>
    <row r="869" spans="1:14" x14ac:dyDescent="0.3">
      <c r="A869" s="9">
        <v>703984</v>
      </c>
      <c r="B869" s="9" t="s">
        <v>851</v>
      </c>
      <c r="C869" s="10" t="s">
        <v>15</v>
      </c>
      <c r="D869" s="11">
        <v>45113</v>
      </c>
      <c r="E869" s="9" t="s">
        <v>31</v>
      </c>
      <c r="F869" s="9">
        <v>24102</v>
      </c>
      <c r="G869" s="9" t="s">
        <v>669</v>
      </c>
      <c r="H869" s="9" t="s">
        <v>661</v>
      </c>
      <c r="J869" s="9" t="s">
        <v>672</v>
      </c>
      <c r="K869" s="9" t="s">
        <v>666</v>
      </c>
      <c r="L869" s="9" t="s">
        <v>1388</v>
      </c>
      <c r="M869" s="9" t="s">
        <v>1637</v>
      </c>
      <c r="N869" s="9" t="str">
        <f t="shared" si="13"/>
        <v>JUNIO TEIXEIRA /EDIVILSON</v>
      </c>
    </row>
    <row r="870" spans="1:14" x14ac:dyDescent="0.3">
      <c r="A870" s="9">
        <v>705272</v>
      </c>
      <c r="B870" s="9" t="s">
        <v>1198</v>
      </c>
      <c r="C870" s="10" t="s">
        <v>15</v>
      </c>
      <c r="D870" s="11">
        <v>45762</v>
      </c>
      <c r="E870" s="9" t="s">
        <v>31</v>
      </c>
      <c r="F870" s="9">
        <v>24102</v>
      </c>
      <c r="G870" s="9" t="s">
        <v>669</v>
      </c>
      <c r="H870" s="9" t="s">
        <v>661</v>
      </c>
      <c r="J870" s="9" t="s">
        <v>680</v>
      </c>
      <c r="K870" s="9" t="s">
        <v>666</v>
      </c>
      <c r="L870" s="9" t="s">
        <v>1388</v>
      </c>
      <c r="M870" s="9" t="s">
        <v>1637</v>
      </c>
      <c r="N870" s="9" t="str">
        <f t="shared" si="13"/>
        <v>JUNIO TEIXEIRA /EDIVILSON</v>
      </c>
    </row>
    <row r="871" spans="1:14" x14ac:dyDescent="0.3">
      <c r="A871" s="9">
        <v>705347</v>
      </c>
      <c r="B871" s="9" t="s">
        <v>1254</v>
      </c>
      <c r="C871" s="10" t="s">
        <v>15</v>
      </c>
      <c r="D871" s="11">
        <v>45784</v>
      </c>
      <c r="E871" s="9" t="s">
        <v>31</v>
      </c>
      <c r="F871" s="9">
        <v>39601</v>
      </c>
      <c r="G871" s="9" t="s">
        <v>660</v>
      </c>
      <c r="H871" s="9" t="s">
        <v>661</v>
      </c>
      <c r="J871" s="9" t="s">
        <v>684</v>
      </c>
      <c r="K871" s="9" t="s">
        <v>666</v>
      </c>
      <c r="L871" s="9" t="s">
        <v>258</v>
      </c>
      <c r="M871" s="9" t="s">
        <v>1392</v>
      </c>
      <c r="N871" s="9" t="str">
        <f t="shared" si="13"/>
        <v>ADALTON/JANILSON RORIZ/MARIVALDO</v>
      </c>
    </row>
    <row r="872" spans="1:14" x14ac:dyDescent="0.3">
      <c r="A872" s="9">
        <v>705979</v>
      </c>
      <c r="B872" s="9" t="s">
        <v>1722</v>
      </c>
      <c r="C872" s="10" t="s">
        <v>15</v>
      </c>
      <c r="D872" s="11">
        <v>46119</v>
      </c>
      <c r="E872" s="9" t="s">
        <v>77</v>
      </c>
      <c r="F872" s="9">
        <v>38108</v>
      </c>
      <c r="G872" s="9" t="s">
        <v>1698</v>
      </c>
      <c r="H872" s="9" t="s">
        <v>661</v>
      </c>
      <c r="J872" s="9" t="s">
        <v>78</v>
      </c>
      <c r="K872" s="9" t="s">
        <v>1372</v>
      </c>
      <c r="N872" s="9" t="str">
        <f t="shared" si="13"/>
        <v xml:space="preserve">LEIDJANE MARTINS </v>
      </c>
    </row>
    <row r="873" spans="1:14" x14ac:dyDescent="0.3">
      <c r="A873" s="9">
        <v>706041</v>
      </c>
      <c r="B873" s="9" t="s">
        <v>1723</v>
      </c>
      <c r="C873" s="10" t="s">
        <v>15</v>
      </c>
      <c r="D873" s="11">
        <v>46126</v>
      </c>
      <c r="E873" s="9" t="s">
        <v>31</v>
      </c>
      <c r="F873" s="9">
        <v>24201</v>
      </c>
      <c r="G873" s="9" t="s">
        <v>664</v>
      </c>
      <c r="H873" s="9" t="s">
        <v>661</v>
      </c>
      <c r="J873" s="9" t="s">
        <v>665</v>
      </c>
      <c r="K873" s="9" t="s">
        <v>666</v>
      </c>
      <c r="L873" s="9" t="s">
        <v>258</v>
      </c>
      <c r="M873" s="9" t="s">
        <v>667</v>
      </c>
      <c r="N873" s="9" t="str">
        <f t="shared" si="13"/>
        <v>JOSIEL NEVES</v>
      </c>
    </row>
    <row r="874" spans="1:14" x14ac:dyDescent="0.3">
      <c r="A874" s="9">
        <v>706020</v>
      </c>
      <c r="B874" s="9" t="s">
        <v>1724</v>
      </c>
      <c r="C874" s="10" t="s">
        <v>15</v>
      </c>
      <c r="D874" s="11">
        <v>46126</v>
      </c>
      <c r="E874" s="9" t="s">
        <v>31</v>
      </c>
      <c r="F874" s="9">
        <v>39601</v>
      </c>
      <c r="G874" s="9" t="s">
        <v>660</v>
      </c>
      <c r="H874" s="9" t="s">
        <v>661</v>
      </c>
      <c r="J874" s="9" t="s">
        <v>662</v>
      </c>
      <c r="K874" s="9" t="s">
        <v>666</v>
      </c>
      <c r="L874" s="9" t="s">
        <v>258</v>
      </c>
      <c r="N874" s="9" t="str">
        <f t="shared" si="13"/>
        <v>MATHEUS ALMEIDA</v>
      </c>
    </row>
    <row r="875" spans="1:14" x14ac:dyDescent="0.3">
      <c r="A875" s="9">
        <v>706009</v>
      </c>
      <c r="B875" s="9" t="s">
        <v>1725</v>
      </c>
      <c r="C875" s="10" t="s">
        <v>15</v>
      </c>
      <c r="D875" s="11">
        <v>46126</v>
      </c>
      <c r="E875" s="9" t="s">
        <v>31</v>
      </c>
      <c r="F875" s="9">
        <v>39601</v>
      </c>
      <c r="G875" s="9" t="s">
        <v>660</v>
      </c>
      <c r="H875" s="9" t="s">
        <v>661</v>
      </c>
      <c r="J875" s="9" t="s">
        <v>662</v>
      </c>
      <c r="K875" s="9" t="s">
        <v>666</v>
      </c>
      <c r="L875" s="9" t="s">
        <v>258</v>
      </c>
      <c r="N875" s="9" t="str">
        <f t="shared" si="13"/>
        <v>MATHEUS ALMEIDA</v>
      </c>
    </row>
    <row r="876" spans="1:14" x14ac:dyDescent="0.3">
      <c r="A876" s="9">
        <v>706031</v>
      </c>
      <c r="B876" s="9" t="s">
        <v>1726</v>
      </c>
      <c r="C876" s="10" t="s">
        <v>15</v>
      </c>
      <c r="D876" s="11">
        <v>46126</v>
      </c>
      <c r="E876" s="9" t="s">
        <v>31</v>
      </c>
      <c r="F876" s="9">
        <v>24201</v>
      </c>
      <c r="G876" s="9" t="s">
        <v>664</v>
      </c>
      <c r="H876" s="9" t="s">
        <v>661</v>
      </c>
      <c r="J876" s="9" t="s">
        <v>665</v>
      </c>
      <c r="K876" s="9" t="s">
        <v>666</v>
      </c>
      <c r="L876" s="9" t="s">
        <v>258</v>
      </c>
      <c r="M876" s="9" t="s">
        <v>667</v>
      </c>
      <c r="N876" s="9" t="str">
        <f t="shared" si="13"/>
        <v>JOSIEL NEVES</v>
      </c>
    </row>
    <row r="877" spans="1:14" x14ac:dyDescent="0.3">
      <c r="A877" s="9">
        <v>703622</v>
      </c>
      <c r="B877" s="9" t="s">
        <v>852</v>
      </c>
      <c r="C877" s="10" t="s">
        <v>15</v>
      </c>
      <c r="D877" s="11">
        <v>44991</v>
      </c>
      <c r="E877" s="9" t="s">
        <v>138</v>
      </c>
      <c r="F877" s="9">
        <v>24102</v>
      </c>
      <c r="G877" s="9" t="s">
        <v>669</v>
      </c>
      <c r="H877" s="9" t="s">
        <v>661</v>
      </c>
      <c r="J877" s="9" t="s">
        <v>697</v>
      </c>
      <c r="K877" s="9" t="s">
        <v>666</v>
      </c>
      <c r="L877" s="9" t="s">
        <v>1390</v>
      </c>
      <c r="M877" s="9" t="s">
        <v>1391</v>
      </c>
      <c r="N877" s="9" t="str">
        <f t="shared" si="13"/>
        <v>ALCENO JUNIOR/JOÃO MARCOS</v>
      </c>
    </row>
    <row r="878" spans="1:14" x14ac:dyDescent="0.3">
      <c r="A878" s="9">
        <v>705935</v>
      </c>
      <c r="B878" s="9" t="s">
        <v>1727</v>
      </c>
      <c r="C878" s="10" t="s">
        <v>15</v>
      </c>
      <c r="D878" s="11">
        <v>46119</v>
      </c>
      <c r="E878" s="9" t="s">
        <v>77</v>
      </c>
      <c r="F878" s="9">
        <v>38108</v>
      </c>
      <c r="G878" s="9" t="s">
        <v>1698</v>
      </c>
      <c r="H878" s="9" t="s">
        <v>661</v>
      </c>
      <c r="J878" s="9" t="s">
        <v>78</v>
      </c>
      <c r="K878" s="9" t="s">
        <v>1372</v>
      </c>
      <c r="N878" s="9" t="str">
        <f t="shared" si="13"/>
        <v xml:space="preserve">LEIDJANE MARTINS </v>
      </c>
    </row>
    <row r="879" spans="1:14" x14ac:dyDescent="0.3">
      <c r="A879" s="9">
        <v>701103</v>
      </c>
      <c r="B879" s="9" t="s">
        <v>853</v>
      </c>
      <c r="C879" s="10" t="s">
        <v>15</v>
      </c>
      <c r="D879" s="11">
        <v>43641</v>
      </c>
      <c r="E879" s="9" t="s">
        <v>371</v>
      </c>
      <c r="F879" s="9">
        <v>39601</v>
      </c>
      <c r="G879" s="9" t="s">
        <v>660</v>
      </c>
      <c r="H879" s="9" t="s">
        <v>661</v>
      </c>
      <c r="J879" s="9" t="s">
        <v>684</v>
      </c>
      <c r="K879" s="9" t="s">
        <v>666</v>
      </c>
      <c r="L879" s="9" t="s">
        <v>258</v>
      </c>
      <c r="M879" s="9" t="s">
        <v>1392</v>
      </c>
      <c r="N879" s="9" t="str">
        <f t="shared" si="13"/>
        <v>ADALTON/JANILSON RORIZ/MARIVALDO</v>
      </c>
    </row>
    <row r="880" spans="1:14" x14ac:dyDescent="0.3">
      <c r="A880" s="9">
        <v>704644</v>
      </c>
      <c r="B880" s="9" t="s">
        <v>854</v>
      </c>
      <c r="C880" s="10" t="s">
        <v>15</v>
      </c>
      <c r="D880" s="11">
        <v>45476</v>
      </c>
      <c r="E880" s="9" t="s">
        <v>381</v>
      </c>
      <c r="F880" s="9">
        <v>39602</v>
      </c>
      <c r="G880" s="9" t="s">
        <v>699</v>
      </c>
      <c r="H880" s="9" t="s">
        <v>661</v>
      </c>
      <c r="J880" s="9" t="s">
        <v>700</v>
      </c>
      <c r="K880" s="9" t="s">
        <v>666</v>
      </c>
      <c r="L880" s="9" t="s">
        <v>258</v>
      </c>
      <c r="M880" s="9" t="s">
        <v>701</v>
      </c>
      <c r="N880" s="9" t="str">
        <f t="shared" si="13"/>
        <v>IURY GUEDES</v>
      </c>
    </row>
    <row r="881" spans="1:14" x14ac:dyDescent="0.3">
      <c r="A881" s="9">
        <v>702901</v>
      </c>
      <c r="B881" s="9" t="s">
        <v>855</v>
      </c>
      <c r="C881" s="10" t="s">
        <v>15</v>
      </c>
      <c r="D881" s="11">
        <v>44642</v>
      </c>
      <c r="E881" s="9" t="s">
        <v>507</v>
      </c>
      <c r="F881" s="9">
        <v>24102</v>
      </c>
      <c r="G881" s="9" t="s">
        <v>669</v>
      </c>
      <c r="H881" s="9" t="s">
        <v>661</v>
      </c>
      <c r="J881" s="9" t="s">
        <v>85</v>
      </c>
      <c r="K881" s="9" t="s">
        <v>1371</v>
      </c>
      <c r="L881" s="9" t="s">
        <v>1380</v>
      </c>
      <c r="M881" s="9" t="s">
        <v>1380</v>
      </c>
      <c r="N881" s="9" t="str">
        <f t="shared" si="13"/>
        <v xml:space="preserve">LEONARDO SANTOS </v>
      </c>
    </row>
    <row r="882" spans="1:14" x14ac:dyDescent="0.3">
      <c r="A882" s="9">
        <v>701507</v>
      </c>
      <c r="B882" s="9" t="s">
        <v>857</v>
      </c>
      <c r="C882" s="10" t="s">
        <v>15</v>
      </c>
      <c r="D882" s="11">
        <v>43936</v>
      </c>
      <c r="E882" s="9" t="s">
        <v>105</v>
      </c>
      <c r="F882" s="9">
        <v>24102</v>
      </c>
      <c r="G882" s="9" t="s">
        <v>669</v>
      </c>
      <c r="H882" s="9" t="s">
        <v>661</v>
      </c>
      <c r="J882" s="9" t="s">
        <v>804</v>
      </c>
      <c r="K882" s="9" t="s">
        <v>666</v>
      </c>
      <c r="M882" s="9" t="s">
        <v>805</v>
      </c>
      <c r="N882" s="9" t="str">
        <f t="shared" si="13"/>
        <v>JAILSON RORIZ</v>
      </c>
    </row>
    <row r="883" spans="1:14" x14ac:dyDescent="0.3">
      <c r="A883" s="9">
        <v>706002</v>
      </c>
      <c r="B883" s="9" t="s">
        <v>1728</v>
      </c>
      <c r="C883" s="10" t="s">
        <v>15</v>
      </c>
      <c r="D883" s="11">
        <v>46126</v>
      </c>
      <c r="E883" s="9" t="s">
        <v>31</v>
      </c>
      <c r="F883" s="9">
        <v>39601</v>
      </c>
      <c r="G883" s="9" t="s">
        <v>660</v>
      </c>
      <c r="H883" s="9" t="s">
        <v>661</v>
      </c>
      <c r="J883" s="9" t="s">
        <v>662</v>
      </c>
      <c r="K883" s="9" t="s">
        <v>666</v>
      </c>
      <c r="L883" s="9" t="s">
        <v>258</v>
      </c>
      <c r="N883" s="9" t="str">
        <f t="shared" si="13"/>
        <v>MATHEUS ALMEIDA</v>
      </c>
    </row>
    <row r="884" spans="1:14" x14ac:dyDescent="0.3">
      <c r="A884" s="9">
        <v>705293</v>
      </c>
      <c r="B884" s="9" t="s">
        <v>1199</v>
      </c>
      <c r="C884" s="10" t="s">
        <v>15</v>
      </c>
      <c r="D884" s="11">
        <v>45762</v>
      </c>
      <c r="E884" s="9" t="s">
        <v>31</v>
      </c>
      <c r="F884" s="9">
        <v>39601</v>
      </c>
      <c r="G884" s="9" t="s">
        <v>660</v>
      </c>
      <c r="H884" s="9" t="s">
        <v>661</v>
      </c>
      <c r="J884" s="9" t="s">
        <v>684</v>
      </c>
      <c r="K884" s="9" t="s">
        <v>666</v>
      </c>
      <c r="L884" s="9" t="s">
        <v>258</v>
      </c>
      <c r="M884" s="9" t="s">
        <v>1392</v>
      </c>
      <c r="N884" s="9" t="str">
        <f t="shared" si="13"/>
        <v>ADALTON/JANILSON RORIZ/MARIVALDO</v>
      </c>
    </row>
    <row r="885" spans="1:14" x14ac:dyDescent="0.3">
      <c r="A885" s="9">
        <v>705952</v>
      </c>
      <c r="B885" s="9" t="s">
        <v>1729</v>
      </c>
      <c r="C885" s="10" t="s">
        <v>15</v>
      </c>
      <c r="D885" s="11">
        <v>46119</v>
      </c>
      <c r="E885" s="9" t="s">
        <v>77</v>
      </c>
      <c r="F885" s="9">
        <v>38108</v>
      </c>
      <c r="G885" s="9" t="s">
        <v>1698</v>
      </c>
      <c r="H885" s="9" t="s">
        <v>661</v>
      </c>
      <c r="J885" s="9" t="s">
        <v>78</v>
      </c>
      <c r="K885" s="9" t="s">
        <v>1372</v>
      </c>
      <c r="N885" s="9" t="str">
        <f t="shared" si="13"/>
        <v xml:space="preserve">LEIDJANE MARTINS </v>
      </c>
    </row>
    <row r="886" spans="1:14" x14ac:dyDescent="0.3">
      <c r="A886" s="9">
        <v>705896</v>
      </c>
      <c r="B886" s="9" t="s">
        <v>1627</v>
      </c>
      <c r="C886" s="10" t="s">
        <v>92</v>
      </c>
      <c r="D886" s="11">
        <v>46091</v>
      </c>
      <c r="E886" s="9" t="s">
        <v>22</v>
      </c>
      <c r="F886" s="9">
        <v>39601</v>
      </c>
      <c r="G886" s="9" t="s">
        <v>660</v>
      </c>
      <c r="H886" s="9" t="s">
        <v>661</v>
      </c>
      <c r="I886" s="11">
        <v>46118</v>
      </c>
      <c r="J886" s="9" t="s">
        <v>700</v>
      </c>
      <c r="K886" s="9" t="s">
        <v>666</v>
      </c>
      <c r="L886" s="9" t="s">
        <v>258</v>
      </c>
      <c r="M886" s="9" t="s">
        <v>701</v>
      </c>
      <c r="N886" s="9" t="str">
        <f t="shared" si="13"/>
        <v>IURY GUEDES</v>
      </c>
    </row>
    <row r="887" spans="1:14" x14ac:dyDescent="0.3">
      <c r="A887" s="9">
        <v>700408</v>
      </c>
      <c r="B887" s="9" t="s">
        <v>858</v>
      </c>
      <c r="C887" s="10" t="s">
        <v>15</v>
      </c>
      <c r="D887" s="11">
        <v>43318</v>
      </c>
      <c r="E887" s="9" t="s">
        <v>141</v>
      </c>
      <c r="F887" s="9">
        <v>24102</v>
      </c>
      <c r="G887" s="9" t="s">
        <v>669</v>
      </c>
      <c r="H887" s="9" t="s">
        <v>661</v>
      </c>
      <c r="J887" s="9" t="s">
        <v>697</v>
      </c>
      <c r="K887" s="9" t="s">
        <v>666</v>
      </c>
      <c r="L887" s="9" t="s">
        <v>1390</v>
      </c>
      <c r="M887" s="9" t="s">
        <v>1391</v>
      </c>
      <c r="N887" s="9" t="str">
        <f t="shared" si="13"/>
        <v>ALCENO JUNIOR/JOÃO MARCOS</v>
      </c>
    </row>
    <row r="888" spans="1:14" x14ac:dyDescent="0.3">
      <c r="A888" s="9">
        <v>705912</v>
      </c>
      <c r="B888" s="9" t="s">
        <v>1628</v>
      </c>
      <c r="C888" s="10" t="s">
        <v>15</v>
      </c>
      <c r="D888" s="11">
        <v>46091</v>
      </c>
      <c r="E888" s="9" t="s">
        <v>31</v>
      </c>
      <c r="F888" s="9">
        <v>24102</v>
      </c>
      <c r="G888" s="9" t="s">
        <v>669</v>
      </c>
      <c r="H888" s="9" t="s">
        <v>661</v>
      </c>
      <c r="J888" s="9" t="s">
        <v>680</v>
      </c>
      <c r="K888" s="9" t="s">
        <v>666</v>
      </c>
      <c r="L888" s="9" t="s">
        <v>1388</v>
      </c>
      <c r="M888" s="9" t="s">
        <v>1637</v>
      </c>
      <c r="N888" s="9" t="str">
        <f t="shared" si="13"/>
        <v>JUNIO TEIXEIRA /EDIVILSON</v>
      </c>
    </row>
    <row r="889" spans="1:14" x14ac:dyDescent="0.3">
      <c r="A889" s="9">
        <v>705426</v>
      </c>
      <c r="B889" s="9" t="s">
        <v>1257</v>
      </c>
      <c r="C889" s="10" t="s">
        <v>15</v>
      </c>
      <c r="D889" s="11">
        <v>45797</v>
      </c>
      <c r="E889" s="9" t="s">
        <v>31</v>
      </c>
      <c r="F889" s="9">
        <v>39601</v>
      </c>
      <c r="G889" s="9" t="s">
        <v>660</v>
      </c>
      <c r="H889" s="9" t="s">
        <v>661</v>
      </c>
      <c r="J889" s="9" t="s">
        <v>662</v>
      </c>
      <c r="K889" s="9" t="s">
        <v>666</v>
      </c>
      <c r="L889" s="9" t="s">
        <v>258</v>
      </c>
      <c r="N889" s="9" t="str">
        <f t="shared" si="13"/>
        <v>MATHEUS ALMEIDA</v>
      </c>
    </row>
    <row r="890" spans="1:14" x14ac:dyDescent="0.3">
      <c r="A890" s="9">
        <v>705427</v>
      </c>
      <c r="B890" s="9" t="s">
        <v>1258</v>
      </c>
      <c r="C890" s="10" t="s">
        <v>15</v>
      </c>
      <c r="D890" s="11">
        <v>45797</v>
      </c>
      <c r="E890" s="9" t="s">
        <v>31</v>
      </c>
      <c r="F890" s="9">
        <v>39601</v>
      </c>
      <c r="G890" s="9" t="s">
        <v>660</v>
      </c>
      <c r="H890" s="9" t="s">
        <v>661</v>
      </c>
      <c r="J890" s="9" t="s">
        <v>662</v>
      </c>
      <c r="K890" s="9" t="s">
        <v>666</v>
      </c>
      <c r="L890" s="9" t="s">
        <v>258</v>
      </c>
      <c r="N890" s="9" t="str">
        <f t="shared" si="13"/>
        <v>MATHEUS ALMEIDA</v>
      </c>
    </row>
    <row r="891" spans="1:14" x14ac:dyDescent="0.3">
      <c r="A891" s="9">
        <v>703314</v>
      </c>
      <c r="B891" s="9" t="s">
        <v>859</v>
      </c>
      <c r="C891" s="10" t="s">
        <v>15</v>
      </c>
      <c r="D891" s="11">
        <v>44824</v>
      </c>
      <c r="E891" s="9" t="s">
        <v>507</v>
      </c>
      <c r="F891" s="9">
        <v>24201</v>
      </c>
      <c r="G891" s="9" t="s">
        <v>664</v>
      </c>
      <c r="H891" s="9" t="s">
        <v>661</v>
      </c>
      <c r="J891" s="9" t="s">
        <v>665</v>
      </c>
      <c r="K891" s="9" t="s">
        <v>666</v>
      </c>
      <c r="L891" s="9" t="s">
        <v>258</v>
      </c>
      <c r="M891" s="9" t="s">
        <v>667</v>
      </c>
      <c r="N891" s="9" t="str">
        <f t="shared" si="13"/>
        <v>JOSIEL NEVES</v>
      </c>
    </row>
    <row r="892" spans="1:14" x14ac:dyDescent="0.3">
      <c r="A892" s="9">
        <v>705711</v>
      </c>
      <c r="B892" s="9" t="s">
        <v>1465</v>
      </c>
      <c r="C892" s="10" t="s">
        <v>15</v>
      </c>
      <c r="D892" s="11">
        <v>45971</v>
      </c>
      <c r="E892" s="9" t="s">
        <v>31</v>
      </c>
      <c r="F892" s="9">
        <v>24102</v>
      </c>
      <c r="G892" s="9" t="s">
        <v>669</v>
      </c>
      <c r="H892" s="9" t="s">
        <v>661</v>
      </c>
      <c r="J892" s="9" t="s">
        <v>672</v>
      </c>
      <c r="K892" s="9" t="s">
        <v>666</v>
      </c>
      <c r="L892" s="9" t="s">
        <v>1388</v>
      </c>
      <c r="M892" s="9" t="s">
        <v>1637</v>
      </c>
      <c r="N892" s="9" t="str">
        <f t="shared" si="13"/>
        <v>JUNIO TEIXEIRA /EDIVILSON</v>
      </c>
    </row>
    <row r="893" spans="1:14" x14ac:dyDescent="0.3">
      <c r="A893" s="9">
        <v>702315</v>
      </c>
      <c r="B893" s="9" t="s">
        <v>860</v>
      </c>
      <c r="C893" s="10" t="s">
        <v>15</v>
      </c>
      <c r="D893" s="11">
        <v>44334</v>
      </c>
      <c r="E893" s="9" t="s">
        <v>861</v>
      </c>
      <c r="F893" s="9">
        <v>39602</v>
      </c>
      <c r="G893" s="9" t="s">
        <v>699</v>
      </c>
      <c r="H893" s="9" t="s">
        <v>661</v>
      </c>
      <c r="J893" s="9" t="s">
        <v>1695</v>
      </c>
      <c r="K893" s="9" t="s">
        <v>666</v>
      </c>
      <c r="L893" s="9" t="s">
        <v>258</v>
      </c>
      <c r="N893" s="9" t="str">
        <f t="shared" si="13"/>
        <v>MATHEUS ALMEIDA</v>
      </c>
    </row>
    <row r="894" spans="1:14" x14ac:dyDescent="0.3">
      <c r="A894" s="9">
        <v>700255</v>
      </c>
      <c r="B894" s="9" t="s">
        <v>862</v>
      </c>
      <c r="C894" s="10" t="s">
        <v>15</v>
      </c>
      <c r="D894" s="11">
        <v>43262</v>
      </c>
      <c r="E894" s="9" t="s">
        <v>166</v>
      </c>
      <c r="F894" s="9">
        <v>24102</v>
      </c>
      <c r="G894" s="9" t="s">
        <v>669</v>
      </c>
      <c r="H894" s="9" t="s">
        <v>661</v>
      </c>
      <c r="J894" s="9" t="s">
        <v>697</v>
      </c>
      <c r="K894" s="9" t="s">
        <v>666</v>
      </c>
      <c r="L894" s="9" t="s">
        <v>1390</v>
      </c>
      <c r="M894" s="9" t="s">
        <v>1391</v>
      </c>
      <c r="N894" s="9" t="str">
        <f t="shared" si="13"/>
        <v>ALCENO JUNIOR/JOÃO MARCOS</v>
      </c>
    </row>
    <row r="895" spans="1:14" x14ac:dyDescent="0.3">
      <c r="A895" s="9">
        <v>704868</v>
      </c>
      <c r="B895" s="9" t="s">
        <v>863</v>
      </c>
      <c r="C895" s="10" t="s">
        <v>15</v>
      </c>
      <c r="D895" s="11">
        <v>45579</v>
      </c>
      <c r="E895" s="9" t="s">
        <v>31</v>
      </c>
      <c r="F895" s="9">
        <v>24201</v>
      </c>
      <c r="G895" s="9" t="s">
        <v>664</v>
      </c>
      <c r="H895" s="9" t="s">
        <v>661</v>
      </c>
      <c r="J895" s="9" t="s">
        <v>665</v>
      </c>
      <c r="K895" s="9" t="s">
        <v>666</v>
      </c>
      <c r="L895" s="9" t="s">
        <v>258</v>
      </c>
      <c r="M895" s="9" t="s">
        <v>667</v>
      </c>
      <c r="N895" s="9" t="str">
        <f t="shared" si="13"/>
        <v>JOSIEL NEVES</v>
      </c>
    </row>
    <row r="896" spans="1:14" x14ac:dyDescent="0.3">
      <c r="A896" s="9">
        <v>705911</v>
      </c>
      <c r="B896" s="9" t="s">
        <v>1629</v>
      </c>
      <c r="C896" s="10" t="s">
        <v>15</v>
      </c>
      <c r="D896" s="11">
        <v>46091</v>
      </c>
      <c r="E896" s="9" t="s">
        <v>31</v>
      </c>
      <c r="F896" s="9">
        <v>24102</v>
      </c>
      <c r="G896" s="9" t="s">
        <v>669</v>
      </c>
      <c r="H896" s="9" t="s">
        <v>661</v>
      </c>
      <c r="J896" s="9" t="s">
        <v>680</v>
      </c>
      <c r="K896" s="9" t="s">
        <v>666</v>
      </c>
      <c r="L896" s="9" t="s">
        <v>1388</v>
      </c>
      <c r="M896" s="9" t="s">
        <v>1637</v>
      </c>
      <c r="N896" s="9" t="str">
        <f t="shared" si="13"/>
        <v>JUNIO TEIXEIRA /EDIVILSON</v>
      </c>
    </row>
    <row r="897" spans="1:14" x14ac:dyDescent="0.3">
      <c r="A897" s="9">
        <v>702159</v>
      </c>
      <c r="B897" s="9" t="s">
        <v>864</v>
      </c>
      <c r="C897" s="10" t="s">
        <v>15</v>
      </c>
      <c r="D897" s="11">
        <v>44299</v>
      </c>
      <c r="E897" s="9" t="s">
        <v>60</v>
      </c>
      <c r="F897" s="9">
        <v>24102</v>
      </c>
      <c r="G897" s="9" t="s">
        <v>669</v>
      </c>
      <c r="H897" s="9" t="s">
        <v>661</v>
      </c>
      <c r="J897" s="9" t="s">
        <v>682</v>
      </c>
      <c r="K897" s="9" t="s">
        <v>666</v>
      </c>
      <c r="L897" s="9" t="s">
        <v>1390</v>
      </c>
      <c r="M897" s="9" t="s">
        <v>1391</v>
      </c>
      <c r="N897" s="9" t="str">
        <f t="shared" si="13"/>
        <v>ALCENO JUNIOR/JOÃO MARCOS</v>
      </c>
    </row>
    <row r="898" spans="1:14" x14ac:dyDescent="0.3">
      <c r="A898" s="9">
        <v>101465</v>
      </c>
      <c r="B898" s="9" t="s">
        <v>865</v>
      </c>
      <c r="C898" s="10" t="s">
        <v>15</v>
      </c>
      <c r="D898" s="11">
        <v>42962</v>
      </c>
      <c r="E898" s="9" t="s">
        <v>31</v>
      </c>
      <c r="F898" s="9">
        <v>24102</v>
      </c>
      <c r="G898" s="9" t="s">
        <v>669</v>
      </c>
      <c r="H898" s="9" t="s">
        <v>661</v>
      </c>
      <c r="J898" s="9" t="s">
        <v>670</v>
      </c>
      <c r="K898" s="9" t="s">
        <v>666</v>
      </c>
      <c r="L898" s="9" t="s">
        <v>1388</v>
      </c>
      <c r="M898" s="9" t="s">
        <v>1637</v>
      </c>
      <c r="N898" s="9" t="str">
        <f t="shared" si="13"/>
        <v>JUNIO TEIXEIRA /EDIVILSON</v>
      </c>
    </row>
    <row r="899" spans="1:14" x14ac:dyDescent="0.3">
      <c r="A899" s="9">
        <v>705182</v>
      </c>
      <c r="B899" s="9" t="s">
        <v>1172</v>
      </c>
      <c r="C899" s="10" t="s">
        <v>15</v>
      </c>
      <c r="D899" s="11">
        <v>45733</v>
      </c>
      <c r="E899" s="9" t="s">
        <v>31</v>
      </c>
      <c r="F899" s="9">
        <v>24102</v>
      </c>
      <c r="G899" s="9" t="s">
        <v>669</v>
      </c>
      <c r="H899" s="9" t="s">
        <v>661</v>
      </c>
      <c r="J899" s="9" t="s">
        <v>680</v>
      </c>
      <c r="K899" s="9" t="s">
        <v>666</v>
      </c>
      <c r="L899" s="9" t="s">
        <v>1388</v>
      </c>
      <c r="M899" s="9" t="s">
        <v>1637</v>
      </c>
      <c r="N899" s="9" t="str">
        <f t="shared" ref="N899:N962" si="14">IF(M899&lt;&gt;"", M899, IF(L899&lt;&gt;"", L899, K899))</f>
        <v>JUNIO TEIXEIRA /EDIVILSON</v>
      </c>
    </row>
    <row r="900" spans="1:14" x14ac:dyDescent="0.3">
      <c r="A900" s="9">
        <v>700101</v>
      </c>
      <c r="B900" s="9" t="s">
        <v>867</v>
      </c>
      <c r="C900" s="10" t="s">
        <v>15</v>
      </c>
      <c r="D900" s="11">
        <v>43164</v>
      </c>
      <c r="E900" s="9" t="s">
        <v>31</v>
      </c>
      <c r="F900" s="9">
        <v>24102</v>
      </c>
      <c r="G900" s="9" t="s">
        <v>669</v>
      </c>
      <c r="H900" s="9" t="s">
        <v>661</v>
      </c>
      <c r="J900" s="9" t="s">
        <v>672</v>
      </c>
      <c r="K900" s="9" t="s">
        <v>666</v>
      </c>
      <c r="L900" s="9" t="s">
        <v>1388</v>
      </c>
      <c r="M900" s="9" t="s">
        <v>1637</v>
      </c>
      <c r="N900" s="9" t="str">
        <f t="shared" si="14"/>
        <v>JUNIO TEIXEIRA /EDIVILSON</v>
      </c>
    </row>
    <row r="901" spans="1:14" x14ac:dyDescent="0.3">
      <c r="A901" s="9">
        <v>705841</v>
      </c>
      <c r="B901" s="9" t="s">
        <v>1581</v>
      </c>
      <c r="C901" s="10" t="s">
        <v>15</v>
      </c>
      <c r="D901" s="11">
        <v>46063</v>
      </c>
      <c r="E901" s="9" t="s">
        <v>31</v>
      </c>
      <c r="F901" s="9">
        <v>24102</v>
      </c>
      <c r="G901" s="9" t="s">
        <v>669</v>
      </c>
      <c r="H901" s="9" t="s">
        <v>661</v>
      </c>
      <c r="J901" s="9" t="s">
        <v>672</v>
      </c>
      <c r="K901" s="9" t="s">
        <v>666</v>
      </c>
      <c r="L901" s="9" t="s">
        <v>1388</v>
      </c>
      <c r="M901" s="9" t="s">
        <v>1637</v>
      </c>
      <c r="N901" s="9" t="str">
        <f t="shared" si="14"/>
        <v>JUNIO TEIXEIRA /EDIVILSON</v>
      </c>
    </row>
    <row r="902" spans="1:14" x14ac:dyDescent="0.3">
      <c r="A902" s="9">
        <v>100978</v>
      </c>
      <c r="B902" s="9" t="s">
        <v>868</v>
      </c>
      <c r="C902" s="10" t="s">
        <v>15</v>
      </c>
      <c r="D902" s="11">
        <v>42548</v>
      </c>
      <c r="E902" s="9" t="s">
        <v>457</v>
      </c>
      <c r="F902" s="9">
        <v>24102</v>
      </c>
      <c r="G902" s="9" t="s">
        <v>669</v>
      </c>
      <c r="H902" s="9" t="s">
        <v>661</v>
      </c>
      <c r="J902" s="9" t="s">
        <v>1730</v>
      </c>
      <c r="K902" s="9" t="s">
        <v>666</v>
      </c>
      <c r="N902" s="9" t="str">
        <f t="shared" si="14"/>
        <v>CRISOSTOMO CASTRO</v>
      </c>
    </row>
    <row r="903" spans="1:14" x14ac:dyDescent="0.3">
      <c r="A903" s="9">
        <v>705028</v>
      </c>
      <c r="B903" s="9" t="s">
        <v>869</v>
      </c>
      <c r="C903" s="10" t="s">
        <v>15</v>
      </c>
      <c r="D903" s="11">
        <v>45635</v>
      </c>
      <c r="E903" s="9" t="s">
        <v>31</v>
      </c>
      <c r="F903" s="9">
        <v>24102</v>
      </c>
      <c r="G903" s="9" t="s">
        <v>669</v>
      </c>
      <c r="H903" s="9" t="s">
        <v>661</v>
      </c>
      <c r="J903" s="9" t="s">
        <v>672</v>
      </c>
      <c r="K903" s="9" t="s">
        <v>666</v>
      </c>
      <c r="L903" s="9" t="s">
        <v>1388</v>
      </c>
      <c r="M903" s="9" t="s">
        <v>1637</v>
      </c>
      <c r="N903" s="9" t="str">
        <f t="shared" si="14"/>
        <v>JUNIO TEIXEIRA /EDIVILSON</v>
      </c>
    </row>
    <row r="904" spans="1:14" x14ac:dyDescent="0.3">
      <c r="A904" s="9">
        <v>700554</v>
      </c>
      <c r="B904" s="9" t="s">
        <v>870</v>
      </c>
      <c r="C904" s="10" t="s">
        <v>15</v>
      </c>
      <c r="D904" s="11">
        <v>43360</v>
      </c>
      <c r="E904" s="9" t="s">
        <v>141</v>
      </c>
      <c r="F904" s="9">
        <v>24102</v>
      </c>
      <c r="G904" s="9" t="s">
        <v>669</v>
      </c>
      <c r="H904" s="9" t="s">
        <v>661</v>
      </c>
      <c r="J904" s="9" t="s">
        <v>672</v>
      </c>
      <c r="K904" s="9" t="s">
        <v>666</v>
      </c>
      <c r="L904" s="9" t="s">
        <v>1388</v>
      </c>
      <c r="M904" s="9" t="s">
        <v>1637</v>
      </c>
      <c r="N904" s="9" t="str">
        <f t="shared" si="14"/>
        <v>JUNIO TEIXEIRA /EDIVILSON</v>
      </c>
    </row>
    <row r="905" spans="1:14" x14ac:dyDescent="0.3">
      <c r="A905" s="9">
        <v>705934</v>
      </c>
      <c r="B905" s="9" t="s">
        <v>1731</v>
      </c>
      <c r="C905" s="10" t="s">
        <v>15</v>
      </c>
      <c r="D905" s="11">
        <v>46119</v>
      </c>
      <c r="E905" s="9" t="s">
        <v>77</v>
      </c>
      <c r="F905" s="9">
        <v>38108</v>
      </c>
      <c r="G905" s="9" t="s">
        <v>1698</v>
      </c>
      <c r="H905" s="9" t="s">
        <v>661</v>
      </c>
      <c r="J905" s="9" t="s">
        <v>78</v>
      </c>
      <c r="K905" s="9" t="s">
        <v>1372</v>
      </c>
      <c r="N905" s="9" t="str">
        <f t="shared" si="14"/>
        <v xml:space="preserve">LEIDJANE MARTINS </v>
      </c>
    </row>
    <row r="906" spans="1:14" x14ac:dyDescent="0.3">
      <c r="A906" s="9">
        <v>705231</v>
      </c>
      <c r="B906" s="9" t="s">
        <v>1181</v>
      </c>
      <c r="C906" s="10" t="s">
        <v>15</v>
      </c>
      <c r="D906" s="11">
        <v>45762</v>
      </c>
      <c r="E906" s="9" t="s">
        <v>31</v>
      </c>
      <c r="F906" s="9">
        <v>24102</v>
      </c>
      <c r="G906" s="9" t="s">
        <v>669</v>
      </c>
      <c r="H906" s="9" t="s">
        <v>661</v>
      </c>
      <c r="J906" s="9" t="s">
        <v>85</v>
      </c>
      <c r="K906" s="9" t="s">
        <v>1371</v>
      </c>
      <c r="L906" s="9" t="s">
        <v>1380</v>
      </c>
      <c r="M906" s="9" t="s">
        <v>1380</v>
      </c>
      <c r="N906" s="9" t="str">
        <f t="shared" si="14"/>
        <v xml:space="preserve">LEONARDO SANTOS </v>
      </c>
    </row>
    <row r="907" spans="1:14" x14ac:dyDescent="0.3">
      <c r="A907" s="9">
        <v>705997</v>
      </c>
      <c r="B907" s="9" t="s">
        <v>1732</v>
      </c>
      <c r="C907" s="10" t="s">
        <v>15</v>
      </c>
      <c r="D907" s="11">
        <v>46119</v>
      </c>
      <c r="E907" s="9" t="s">
        <v>230</v>
      </c>
      <c r="F907" s="9">
        <v>38102</v>
      </c>
      <c r="G907" s="9" t="s">
        <v>725</v>
      </c>
      <c r="H907" s="9" t="s">
        <v>661</v>
      </c>
      <c r="J907" s="9" t="s">
        <v>726</v>
      </c>
      <c r="K907" s="9" t="s">
        <v>1372</v>
      </c>
      <c r="L907" s="9" t="s">
        <v>1373</v>
      </c>
      <c r="M907" s="9" t="s">
        <v>1373</v>
      </c>
      <c r="N907" s="9" t="str">
        <f t="shared" si="14"/>
        <v>DENIS ACASSIO</v>
      </c>
    </row>
    <row r="908" spans="1:14" x14ac:dyDescent="0.3">
      <c r="A908" s="9">
        <v>704420</v>
      </c>
      <c r="B908" s="9" t="s">
        <v>872</v>
      </c>
      <c r="C908" s="10" t="s">
        <v>15</v>
      </c>
      <c r="D908" s="11">
        <v>45391</v>
      </c>
      <c r="E908" s="9" t="s">
        <v>60</v>
      </c>
      <c r="F908" s="9">
        <v>39601</v>
      </c>
      <c r="G908" s="9" t="s">
        <v>660</v>
      </c>
      <c r="H908" s="9" t="s">
        <v>661</v>
      </c>
      <c r="J908" s="9" t="s">
        <v>684</v>
      </c>
      <c r="K908" s="9" t="s">
        <v>666</v>
      </c>
      <c r="L908" s="9" t="s">
        <v>258</v>
      </c>
      <c r="M908" s="9" t="s">
        <v>1392</v>
      </c>
      <c r="N908" s="9" t="str">
        <f t="shared" si="14"/>
        <v>ADALTON/JANILSON RORIZ/MARIVALDO</v>
      </c>
    </row>
    <row r="909" spans="1:14" x14ac:dyDescent="0.3">
      <c r="A909" s="9">
        <v>706027</v>
      </c>
      <c r="B909" s="9" t="s">
        <v>1733</v>
      </c>
      <c r="C909" s="10" t="s">
        <v>15</v>
      </c>
      <c r="D909" s="11">
        <v>46126</v>
      </c>
      <c r="E909" s="9" t="s">
        <v>31</v>
      </c>
      <c r="F909" s="9">
        <v>39601</v>
      </c>
      <c r="G909" s="9" t="s">
        <v>660</v>
      </c>
      <c r="H909" s="9" t="s">
        <v>661</v>
      </c>
      <c r="J909" s="9" t="s">
        <v>684</v>
      </c>
      <c r="K909" s="9" t="s">
        <v>666</v>
      </c>
      <c r="L909" s="9" t="s">
        <v>258</v>
      </c>
      <c r="M909" s="9" t="s">
        <v>1392</v>
      </c>
      <c r="N909" s="9" t="str">
        <f t="shared" si="14"/>
        <v>ADALTON/JANILSON RORIZ/MARIVALDO</v>
      </c>
    </row>
    <row r="910" spans="1:14" x14ac:dyDescent="0.3">
      <c r="A910" s="9">
        <v>705274</v>
      </c>
      <c r="B910" s="9" t="s">
        <v>1200</v>
      </c>
      <c r="C910" s="10" t="s">
        <v>15</v>
      </c>
      <c r="D910" s="11">
        <v>45762</v>
      </c>
      <c r="E910" s="9" t="s">
        <v>31</v>
      </c>
      <c r="F910" s="9">
        <v>24102</v>
      </c>
      <c r="G910" s="9" t="s">
        <v>669</v>
      </c>
      <c r="H910" s="9" t="s">
        <v>661</v>
      </c>
      <c r="J910" s="9" t="s">
        <v>680</v>
      </c>
      <c r="K910" s="9" t="s">
        <v>666</v>
      </c>
      <c r="L910" s="9" t="s">
        <v>1388</v>
      </c>
      <c r="M910" s="9" t="s">
        <v>1637</v>
      </c>
      <c r="N910" s="9" t="str">
        <f t="shared" si="14"/>
        <v>JUNIO TEIXEIRA /EDIVILSON</v>
      </c>
    </row>
    <row r="911" spans="1:14" x14ac:dyDescent="0.3">
      <c r="A911" s="9">
        <v>101078</v>
      </c>
      <c r="B911" s="9" t="s">
        <v>874</v>
      </c>
      <c r="C911" s="10" t="s">
        <v>15</v>
      </c>
      <c r="D911" s="11">
        <v>42667</v>
      </c>
      <c r="E911" s="9" t="s">
        <v>251</v>
      </c>
      <c r="F911" s="9">
        <v>39601</v>
      </c>
      <c r="G911" s="9" t="s">
        <v>660</v>
      </c>
      <c r="H911" s="9" t="s">
        <v>661</v>
      </c>
      <c r="J911" s="9" t="s">
        <v>1695</v>
      </c>
      <c r="K911" s="9" t="s">
        <v>666</v>
      </c>
      <c r="L911" s="9" t="s">
        <v>258</v>
      </c>
      <c r="N911" s="9" t="str">
        <f t="shared" si="14"/>
        <v>MATHEUS ALMEIDA</v>
      </c>
    </row>
    <row r="912" spans="1:14" x14ac:dyDescent="0.3">
      <c r="A912" s="9">
        <v>705854</v>
      </c>
      <c r="B912" s="9" t="s">
        <v>1582</v>
      </c>
      <c r="C912" s="10" t="s">
        <v>15</v>
      </c>
      <c r="D912" s="11">
        <v>46063</v>
      </c>
      <c r="E912" s="9" t="s">
        <v>31</v>
      </c>
      <c r="F912" s="9">
        <v>24102</v>
      </c>
      <c r="G912" s="9" t="s">
        <v>669</v>
      </c>
      <c r="H912" s="9" t="s">
        <v>661</v>
      </c>
      <c r="J912" s="9" t="s">
        <v>670</v>
      </c>
      <c r="K912" s="9" t="s">
        <v>666</v>
      </c>
      <c r="L912" s="9" t="s">
        <v>1388</v>
      </c>
      <c r="M912" s="9" t="s">
        <v>1637</v>
      </c>
      <c r="N912" s="9" t="str">
        <f t="shared" si="14"/>
        <v>JUNIO TEIXEIRA /EDIVILSON</v>
      </c>
    </row>
    <row r="913" spans="1:14" x14ac:dyDescent="0.3">
      <c r="A913" s="9">
        <v>704401</v>
      </c>
      <c r="B913" s="9" t="s">
        <v>875</v>
      </c>
      <c r="C913" s="10" t="s">
        <v>15</v>
      </c>
      <c r="D913" s="11">
        <v>45391</v>
      </c>
      <c r="E913" s="9" t="s">
        <v>418</v>
      </c>
      <c r="F913" s="9">
        <v>39601</v>
      </c>
      <c r="G913" s="9" t="s">
        <v>660</v>
      </c>
      <c r="H913" s="9" t="s">
        <v>661</v>
      </c>
      <c r="J913" s="9" t="s">
        <v>684</v>
      </c>
      <c r="K913" s="9" t="s">
        <v>666</v>
      </c>
      <c r="L913" s="9" t="s">
        <v>258</v>
      </c>
      <c r="M913" s="9" t="s">
        <v>1392</v>
      </c>
      <c r="N913" s="9" t="str">
        <f t="shared" si="14"/>
        <v>ADALTON/JANILSON RORIZ/MARIVALDO</v>
      </c>
    </row>
    <row r="914" spans="1:14" x14ac:dyDescent="0.3">
      <c r="A914" s="9">
        <v>705488</v>
      </c>
      <c r="B914" s="9" t="s">
        <v>1306</v>
      </c>
      <c r="C914" s="10" t="s">
        <v>15</v>
      </c>
      <c r="D914" s="11">
        <v>45839</v>
      </c>
      <c r="E914" s="9" t="s">
        <v>31</v>
      </c>
      <c r="F914" s="9">
        <v>39601</v>
      </c>
      <c r="G914" s="9" t="s">
        <v>660</v>
      </c>
      <c r="H914" s="9" t="s">
        <v>661</v>
      </c>
      <c r="J914" s="9" t="s">
        <v>662</v>
      </c>
      <c r="K914" s="9" t="s">
        <v>666</v>
      </c>
      <c r="L914" s="9" t="s">
        <v>258</v>
      </c>
      <c r="N914" s="9" t="str">
        <f t="shared" si="14"/>
        <v>MATHEUS ALMEIDA</v>
      </c>
    </row>
    <row r="915" spans="1:14" x14ac:dyDescent="0.3">
      <c r="A915" s="9">
        <v>704394</v>
      </c>
      <c r="B915" s="9" t="s">
        <v>876</v>
      </c>
      <c r="C915" s="10" t="s">
        <v>15</v>
      </c>
      <c r="D915" s="11">
        <v>45391</v>
      </c>
      <c r="E915" s="9" t="s">
        <v>418</v>
      </c>
      <c r="F915" s="9">
        <v>39601</v>
      </c>
      <c r="G915" s="9" t="s">
        <v>660</v>
      </c>
      <c r="H915" s="9" t="s">
        <v>661</v>
      </c>
      <c r="J915" s="9" t="s">
        <v>684</v>
      </c>
      <c r="K915" s="9" t="s">
        <v>666</v>
      </c>
      <c r="L915" s="9" t="s">
        <v>258</v>
      </c>
      <c r="M915" s="9" t="s">
        <v>1392</v>
      </c>
      <c r="N915" s="9" t="str">
        <f t="shared" si="14"/>
        <v>ADALTON/JANILSON RORIZ/MARIVALDO</v>
      </c>
    </row>
    <row r="916" spans="1:14" x14ac:dyDescent="0.3">
      <c r="A916" s="9">
        <v>704421</v>
      </c>
      <c r="B916" s="9" t="s">
        <v>877</v>
      </c>
      <c r="C916" s="10" t="s">
        <v>15</v>
      </c>
      <c r="D916" s="11">
        <v>45398</v>
      </c>
      <c r="E916" s="9" t="s">
        <v>381</v>
      </c>
      <c r="F916" s="9">
        <v>39602</v>
      </c>
      <c r="G916" s="9" t="s">
        <v>699</v>
      </c>
      <c r="H916" s="9" t="s">
        <v>661</v>
      </c>
      <c r="J916" s="9" t="s">
        <v>700</v>
      </c>
      <c r="K916" s="9" t="s">
        <v>666</v>
      </c>
      <c r="L916" s="9" t="s">
        <v>258</v>
      </c>
      <c r="M916" s="9" t="s">
        <v>701</v>
      </c>
      <c r="N916" s="9" t="str">
        <f t="shared" si="14"/>
        <v>IURY GUEDES</v>
      </c>
    </row>
    <row r="917" spans="1:14" x14ac:dyDescent="0.3">
      <c r="A917" s="9">
        <v>704984</v>
      </c>
      <c r="B917" s="9" t="s">
        <v>878</v>
      </c>
      <c r="C917" s="10" t="s">
        <v>15</v>
      </c>
      <c r="D917" s="11">
        <v>45629</v>
      </c>
      <c r="E917" s="9" t="s">
        <v>31</v>
      </c>
      <c r="F917" s="9">
        <v>39601</v>
      </c>
      <c r="G917" s="9" t="s">
        <v>660</v>
      </c>
      <c r="H917" s="9" t="s">
        <v>661</v>
      </c>
      <c r="J917" s="9" t="s">
        <v>684</v>
      </c>
      <c r="K917" s="9" t="s">
        <v>666</v>
      </c>
      <c r="L917" s="9" t="s">
        <v>258</v>
      </c>
      <c r="M917" s="9" t="s">
        <v>1392</v>
      </c>
      <c r="N917" s="9" t="str">
        <f t="shared" si="14"/>
        <v>ADALTON/JANILSON RORIZ/MARIVALDO</v>
      </c>
    </row>
    <row r="918" spans="1:14" x14ac:dyDescent="0.3">
      <c r="A918" s="9">
        <v>704164</v>
      </c>
      <c r="B918" s="9" t="s">
        <v>879</v>
      </c>
      <c r="C918" s="10" t="s">
        <v>15</v>
      </c>
      <c r="D918" s="11">
        <v>45264</v>
      </c>
      <c r="E918" s="9" t="s">
        <v>31</v>
      </c>
      <c r="F918" s="9">
        <v>24102</v>
      </c>
      <c r="G918" s="9" t="s">
        <v>669</v>
      </c>
      <c r="H918" s="9" t="s">
        <v>661</v>
      </c>
      <c r="J918" s="9" t="s">
        <v>672</v>
      </c>
      <c r="K918" s="9" t="s">
        <v>666</v>
      </c>
      <c r="L918" s="9" t="s">
        <v>1388</v>
      </c>
      <c r="M918" s="9" t="s">
        <v>1637</v>
      </c>
      <c r="N918" s="9" t="str">
        <f t="shared" si="14"/>
        <v>JUNIO TEIXEIRA /EDIVILSON</v>
      </c>
    </row>
    <row r="919" spans="1:14" x14ac:dyDescent="0.3">
      <c r="A919" s="9">
        <v>705459</v>
      </c>
      <c r="B919" s="9" t="s">
        <v>1283</v>
      </c>
      <c r="C919" s="10" t="s">
        <v>15</v>
      </c>
      <c r="D919" s="11">
        <v>45812</v>
      </c>
      <c r="E919" s="9" t="s">
        <v>31</v>
      </c>
      <c r="F919" s="9">
        <v>39601</v>
      </c>
      <c r="G919" s="9" t="s">
        <v>660</v>
      </c>
      <c r="H919" s="9" t="s">
        <v>661</v>
      </c>
      <c r="J919" s="9" t="s">
        <v>662</v>
      </c>
      <c r="K919" s="9" t="s">
        <v>666</v>
      </c>
      <c r="L919" s="9" t="s">
        <v>258</v>
      </c>
      <c r="N919" s="9" t="str">
        <f t="shared" si="14"/>
        <v>MATHEUS ALMEIDA</v>
      </c>
    </row>
    <row r="920" spans="1:14" x14ac:dyDescent="0.3">
      <c r="A920" s="9">
        <v>701699</v>
      </c>
      <c r="B920" s="9" t="s">
        <v>880</v>
      </c>
      <c r="C920" s="10" t="s">
        <v>15</v>
      </c>
      <c r="D920" s="11">
        <v>44025</v>
      </c>
      <c r="E920" s="9" t="s">
        <v>141</v>
      </c>
      <c r="F920" s="9">
        <v>24102</v>
      </c>
      <c r="G920" s="9" t="s">
        <v>669</v>
      </c>
      <c r="H920" s="9" t="s">
        <v>661</v>
      </c>
      <c r="J920" s="9" t="s">
        <v>697</v>
      </c>
      <c r="K920" s="9" t="s">
        <v>666</v>
      </c>
      <c r="L920" s="9" t="s">
        <v>1390</v>
      </c>
      <c r="M920" s="9" t="s">
        <v>1391</v>
      </c>
      <c r="N920" s="9" t="str">
        <f t="shared" si="14"/>
        <v>ALCENO JUNIOR/JOÃO MARCOS</v>
      </c>
    </row>
    <row r="921" spans="1:14" x14ac:dyDescent="0.3">
      <c r="A921" s="9">
        <v>700084</v>
      </c>
      <c r="B921" s="9" t="s">
        <v>881</v>
      </c>
      <c r="C921" s="10" t="s">
        <v>15</v>
      </c>
      <c r="D921" s="11">
        <v>43150</v>
      </c>
      <c r="E921" s="9" t="s">
        <v>31</v>
      </c>
      <c r="F921" s="9">
        <v>24102</v>
      </c>
      <c r="G921" s="9" t="s">
        <v>669</v>
      </c>
      <c r="H921" s="9" t="s">
        <v>661</v>
      </c>
      <c r="J921" s="9" t="s">
        <v>672</v>
      </c>
      <c r="K921" s="9" t="s">
        <v>666</v>
      </c>
      <c r="L921" s="9" t="s">
        <v>1388</v>
      </c>
      <c r="M921" s="9" t="s">
        <v>1637</v>
      </c>
      <c r="N921" s="9" t="str">
        <f t="shared" si="14"/>
        <v>JUNIO TEIXEIRA /EDIVILSON</v>
      </c>
    </row>
    <row r="922" spans="1:14" x14ac:dyDescent="0.3">
      <c r="A922" s="9">
        <v>703699</v>
      </c>
      <c r="B922" s="9" t="s">
        <v>882</v>
      </c>
      <c r="C922" s="10" t="s">
        <v>15</v>
      </c>
      <c r="D922" s="11">
        <v>45019</v>
      </c>
      <c r="E922" s="9" t="s">
        <v>1086</v>
      </c>
      <c r="F922" s="9">
        <v>31103</v>
      </c>
      <c r="G922" s="9" t="s">
        <v>718</v>
      </c>
      <c r="H922" s="9" t="s">
        <v>661</v>
      </c>
      <c r="J922" s="9" t="s">
        <v>719</v>
      </c>
      <c r="K922" s="9" t="s">
        <v>1381</v>
      </c>
      <c r="N922" s="9" t="str">
        <f t="shared" si="14"/>
        <v>MARCOS OLIVEIRA</v>
      </c>
    </row>
    <row r="923" spans="1:14" x14ac:dyDescent="0.3">
      <c r="A923" s="9">
        <v>705200</v>
      </c>
      <c r="B923" s="9" t="s">
        <v>1173</v>
      </c>
      <c r="C923" s="10" t="s">
        <v>15</v>
      </c>
      <c r="D923" s="11">
        <v>45726</v>
      </c>
      <c r="E923" s="9" t="s">
        <v>31</v>
      </c>
      <c r="F923" s="9">
        <v>24102</v>
      </c>
      <c r="G923" s="9" t="s">
        <v>669</v>
      </c>
      <c r="H923" s="9" t="s">
        <v>661</v>
      </c>
      <c r="J923" s="9" t="s">
        <v>672</v>
      </c>
      <c r="K923" s="9" t="s">
        <v>666</v>
      </c>
      <c r="L923" s="9" t="s">
        <v>1388</v>
      </c>
      <c r="M923" s="9" t="s">
        <v>1637</v>
      </c>
      <c r="N923" s="9" t="str">
        <f t="shared" si="14"/>
        <v>JUNIO TEIXEIRA /EDIVILSON</v>
      </c>
    </row>
    <row r="924" spans="1:14" x14ac:dyDescent="0.3">
      <c r="A924" s="9">
        <v>705084</v>
      </c>
      <c r="B924" s="9" t="s">
        <v>884</v>
      </c>
      <c r="C924" s="10" t="s">
        <v>15</v>
      </c>
      <c r="D924" s="11">
        <v>45670</v>
      </c>
      <c r="E924" s="9" t="s">
        <v>31</v>
      </c>
      <c r="F924" s="9">
        <v>24102</v>
      </c>
      <c r="G924" s="9" t="s">
        <v>669</v>
      </c>
      <c r="H924" s="9" t="s">
        <v>661</v>
      </c>
      <c r="J924" s="9" t="s">
        <v>672</v>
      </c>
      <c r="K924" s="9" t="s">
        <v>666</v>
      </c>
      <c r="L924" s="9" t="s">
        <v>1388</v>
      </c>
      <c r="M924" s="9" t="s">
        <v>1637</v>
      </c>
      <c r="N924" s="9" t="str">
        <f t="shared" si="14"/>
        <v>JUNIO TEIXEIRA /EDIVILSON</v>
      </c>
    </row>
    <row r="925" spans="1:14" x14ac:dyDescent="0.3">
      <c r="A925" s="9">
        <v>703453</v>
      </c>
      <c r="B925" s="9" t="s">
        <v>885</v>
      </c>
      <c r="C925" s="10" t="s">
        <v>15</v>
      </c>
      <c r="D925" s="11">
        <v>44881</v>
      </c>
      <c r="E925" s="9" t="s">
        <v>31</v>
      </c>
      <c r="F925" s="9">
        <v>24201</v>
      </c>
      <c r="G925" s="9" t="s">
        <v>664</v>
      </c>
      <c r="H925" s="9" t="s">
        <v>661</v>
      </c>
      <c r="J925" s="9" t="s">
        <v>665</v>
      </c>
      <c r="K925" s="9" t="s">
        <v>666</v>
      </c>
      <c r="L925" s="9" t="s">
        <v>258</v>
      </c>
      <c r="M925" s="9" t="s">
        <v>667</v>
      </c>
      <c r="N925" s="9" t="str">
        <f t="shared" si="14"/>
        <v>JOSIEL NEVES</v>
      </c>
    </row>
    <row r="926" spans="1:14" x14ac:dyDescent="0.3">
      <c r="A926" s="9">
        <v>705992</v>
      </c>
      <c r="B926" s="9" t="s">
        <v>1734</v>
      </c>
      <c r="C926" s="10" t="s">
        <v>15</v>
      </c>
      <c r="D926" s="11">
        <v>46119</v>
      </c>
      <c r="E926" s="9" t="s">
        <v>31</v>
      </c>
      <c r="F926" s="9">
        <v>24102</v>
      </c>
      <c r="G926" s="9" t="s">
        <v>669</v>
      </c>
      <c r="H926" s="9" t="s">
        <v>661</v>
      </c>
      <c r="J926" s="9" t="s">
        <v>670</v>
      </c>
      <c r="K926" s="9" t="s">
        <v>666</v>
      </c>
      <c r="L926" s="9" t="s">
        <v>1388</v>
      </c>
      <c r="M926" s="9" t="s">
        <v>1637</v>
      </c>
      <c r="N926" s="9" t="str">
        <f t="shared" si="14"/>
        <v>JUNIO TEIXEIRA /EDIVILSON</v>
      </c>
    </row>
    <row r="927" spans="1:14" x14ac:dyDescent="0.3">
      <c r="A927" s="9">
        <v>703273</v>
      </c>
      <c r="B927" s="9" t="s">
        <v>886</v>
      </c>
      <c r="C927" s="10" t="s">
        <v>15</v>
      </c>
      <c r="D927" s="11">
        <v>44781</v>
      </c>
      <c r="E927" s="9" t="s">
        <v>97</v>
      </c>
      <c r="F927" s="9">
        <v>32102</v>
      </c>
      <c r="G927" s="9" t="s">
        <v>674</v>
      </c>
      <c r="H927" s="9" t="s">
        <v>661</v>
      </c>
      <c r="J927" s="9" t="s">
        <v>675</v>
      </c>
      <c r="K927" s="9" t="s">
        <v>25</v>
      </c>
      <c r="L927" s="9" t="s">
        <v>1369</v>
      </c>
      <c r="M927" s="9" t="s">
        <v>1638</v>
      </c>
      <c r="N927" s="9" t="str">
        <f t="shared" si="14"/>
        <v>EDIVILSON MENEZES</v>
      </c>
    </row>
    <row r="928" spans="1:14" x14ac:dyDescent="0.3">
      <c r="A928" s="9">
        <v>704536</v>
      </c>
      <c r="B928" s="9" t="s">
        <v>887</v>
      </c>
      <c r="C928" s="10" t="s">
        <v>15</v>
      </c>
      <c r="D928" s="11">
        <v>45426</v>
      </c>
      <c r="E928" s="9" t="s">
        <v>31</v>
      </c>
      <c r="F928" s="9">
        <v>39601</v>
      </c>
      <c r="G928" s="9" t="s">
        <v>660</v>
      </c>
      <c r="H928" s="9" t="s">
        <v>661</v>
      </c>
      <c r="J928" s="9" t="s">
        <v>662</v>
      </c>
      <c r="K928" s="9" t="s">
        <v>666</v>
      </c>
      <c r="L928" s="9" t="s">
        <v>258</v>
      </c>
      <c r="N928" s="9" t="str">
        <f t="shared" si="14"/>
        <v>MATHEUS ALMEIDA</v>
      </c>
    </row>
    <row r="929" spans="1:14" x14ac:dyDescent="0.3">
      <c r="A929" s="9">
        <v>704921</v>
      </c>
      <c r="B929" s="9" t="s">
        <v>888</v>
      </c>
      <c r="C929" s="10" t="s">
        <v>15</v>
      </c>
      <c r="D929" s="11">
        <v>45601</v>
      </c>
      <c r="E929" s="9" t="s">
        <v>31</v>
      </c>
      <c r="F929" s="9">
        <v>39601</v>
      </c>
      <c r="G929" s="9" t="s">
        <v>660</v>
      </c>
      <c r="H929" s="9" t="s">
        <v>661</v>
      </c>
      <c r="J929" s="9" t="s">
        <v>662</v>
      </c>
      <c r="K929" s="9" t="s">
        <v>666</v>
      </c>
      <c r="L929" s="9" t="s">
        <v>258</v>
      </c>
      <c r="N929" s="9" t="str">
        <f t="shared" si="14"/>
        <v>MATHEUS ALMEIDA</v>
      </c>
    </row>
    <row r="930" spans="1:14" x14ac:dyDescent="0.3">
      <c r="A930" s="9">
        <v>101626</v>
      </c>
      <c r="B930" s="9" t="s">
        <v>890</v>
      </c>
      <c r="C930" s="10" t="s">
        <v>15</v>
      </c>
      <c r="D930" s="11">
        <v>43010</v>
      </c>
      <c r="E930" s="9" t="s">
        <v>111</v>
      </c>
      <c r="F930" s="9">
        <v>24102</v>
      </c>
      <c r="G930" s="9" t="s">
        <v>669</v>
      </c>
      <c r="H930" s="9" t="s">
        <v>661</v>
      </c>
      <c r="J930" s="9" t="s">
        <v>1730</v>
      </c>
      <c r="K930" s="9" t="s">
        <v>666</v>
      </c>
      <c r="N930" s="9" t="str">
        <f t="shared" si="14"/>
        <v>CRISOSTOMO CASTRO</v>
      </c>
    </row>
    <row r="931" spans="1:14" x14ac:dyDescent="0.3">
      <c r="A931" s="9">
        <v>702066</v>
      </c>
      <c r="B931" s="9" t="s">
        <v>892</v>
      </c>
      <c r="C931" s="10" t="s">
        <v>15</v>
      </c>
      <c r="D931" s="11">
        <v>44264</v>
      </c>
      <c r="E931" s="9" t="s">
        <v>199</v>
      </c>
      <c r="F931" s="9">
        <v>24102</v>
      </c>
      <c r="G931" s="9" t="s">
        <v>669</v>
      </c>
      <c r="H931" s="9" t="s">
        <v>661</v>
      </c>
      <c r="J931" s="9" t="s">
        <v>1701</v>
      </c>
      <c r="K931" s="9" t="s">
        <v>666</v>
      </c>
      <c r="L931" s="9" t="s">
        <v>1390</v>
      </c>
      <c r="N931" s="9" t="str">
        <f t="shared" si="14"/>
        <v>JOÃO FILHO</v>
      </c>
    </row>
    <row r="932" spans="1:14" x14ac:dyDescent="0.3">
      <c r="A932" s="9">
        <v>705551</v>
      </c>
      <c r="B932" s="9" t="s">
        <v>1338</v>
      </c>
      <c r="C932" s="10" t="s">
        <v>15</v>
      </c>
      <c r="D932" s="11">
        <v>45874</v>
      </c>
      <c r="E932" s="9" t="s">
        <v>31</v>
      </c>
      <c r="F932" s="9">
        <v>39601</v>
      </c>
      <c r="G932" s="9" t="s">
        <v>660</v>
      </c>
      <c r="H932" s="9" t="s">
        <v>661</v>
      </c>
      <c r="J932" s="9" t="s">
        <v>684</v>
      </c>
      <c r="K932" s="9" t="s">
        <v>666</v>
      </c>
      <c r="L932" s="9" t="s">
        <v>258</v>
      </c>
      <c r="M932" s="9" t="s">
        <v>1392</v>
      </c>
      <c r="N932" s="9" t="str">
        <f t="shared" si="14"/>
        <v>ADALTON/JANILSON RORIZ/MARIVALDO</v>
      </c>
    </row>
    <row r="933" spans="1:14" x14ac:dyDescent="0.3">
      <c r="A933" s="9">
        <v>704006</v>
      </c>
      <c r="B933" s="9" t="s">
        <v>893</v>
      </c>
      <c r="C933" s="10" t="s">
        <v>15</v>
      </c>
      <c r="D933" s="11">
        <v>45118</v>
      </c>
      <c r="E933" s="9" t="s">
        <v>162</v>
      </c>
      <c r="F933" s="9">
        <v>32102</v>
      </c>
      <c r="G933" s="9" t="s">
        <v>674</v>
      </c>
      <c r="H933" s="9" t="s">
        <v>661</v>
      </c>
      <c r="J933" s="9" t="s">
        <v>675</v>
      </c>
      <c r="K933" s="9" t="s">
        <v>25</v>
      </c>
      <c r="L933" s="9" t="s">
        <v>1369</v>
      </c>
      <c r="M933" s="9" t="s">
        <v>1638</v>
      </c>
      <c r="N933" s="9" t="str">
        <f t="shared" si="14"/>
        <v>EDIVILSON MENEZES</v>
      </c>
    </row>
    <row r="934" spans="1:14" x14ac:dyDescent="0.3">
      <c r="A934" s="9">
        <v>700136</v>
      </c>
      <c r="B934" s="9" t="s">
        <v>895</v>
      </c>
      <c r="C934" s="10" t="s">
        <v>15</v>
      </c>
      <c r="D934" s="11">
        <v>43222</v>
      </c>
      <c r="E934" s="9" t="s">
        <v>336</v>
      </c>
      <c r="F934" s="9">
        <v>24102</v>
      </c>
      <c r="G934" s="9" t="s">
        <v>669</v>
      </c>
      <c r="H934" s="9" t="s">
        <v>661</v>
      </c>
      <c r="J934" s="9" t="s">
        <v>804</v>
      </c>
      <c r="K934" s="9" t="s">
        <v>666</v>
      </c>
      <c r="M934" s="9" t="s">
        <v>805</v>
      </c>
      <c r="N934" s="9" t="str">
        <f t="shared" si="14"/>
        <v>JAILSON RORIZ</v>
      </c>
    </row>
    <row r="935" spans="1:14" x14ac:dyDescent="0.3">
      <c r="A935" s="9">
        <v>702805</v>
      </c>
      <c r="B935" s="9" t="s">
        <v>896</v>
      </c>
      <c r="C935" s="10" t="s">
        <v>15</v>
      </c>
      <c r="D935" s="11">
        <v>44607</v>
      </c>
      <c r="E935" s="9" t="s">
        <v>31</v>
      </c>
      <c r="F935" s="9">
        <v>24102</v>
      </c>
      <c r="G935" s="9" t="s">
        <v>669</v>
      </c>
      <c r="H935" s="9" t="s">
        <v>661</v>
      </c>
      <c r="J935" s="9" t="s">
        <v>680</v>
      </c>
      <c r="K935" s="9" t="s">
        <v>666</v>
      </c>
      <c r="L935" s="9" t="s">
        <v>1388</v>
      </c>
      <c r="M935" s="9" t="s">
        <v>1637</v>
      </c>
      <c r="N935" s="9" t="str">
        <f t="shared" si="14"/>
        <v>JUNIO TEIXEIRA /EDIVILSON</v>
      </c>
    </row>
    <row r="936" spans="1:14" x14ac:dyDescent="0.3">
      <c r="A936" s="9">
        <v>705988</v>
      </c>
      <c r="B936" s="9" t="s">
        <v>1735</v>
      </c>
      <c r="C936" s="10" t="s">
        <v>15</v>
      </c>
      <c r="D936" s="11">
        <v>46119</v>
      </c>
      <c r="E936" s="9" t="s">
        <v>31</v>
      </c>
      <c r="F936" s="9">
        <v>24102</v>
      </c>
      <c r="G936" s="9" t="s">
        <v>669</v>
      </c>
      <c r="H936" s="9" t="s">
        <v>661</v>
      </c>
      <c r="J936" s="9" t="s">
        <v>670</v>
      </c>
      <c r="K936" s="9" t="s">
        <v>666</v>
      </c>
      <c r="L936" s="9" t="s">
        <v>1388</v>
      </c>
      <c r="M936" s="9" t="s">
        <v>1637</v>
      </c>
      <c r="N936" s="9" t="str">
        <f t="shared" si="14"/>
        <v>JUNIO TEIXEIRA /EDIVILSON</v>
      </c>
    </row>
    <row r="937" spans="1:14" x14ac:dyDescent="0.3">
      <c r="A937" s="9">
        <v>706008</v>
      </c>
      <c r="B937" s="9" t="s">
        <v>1736</v>
      </c>
      <c r="C937" s="10" t="s">
        <v>15</v>
      </c>
      <c r="D937" s="11">
        <v>46126</v>
      </c>
      <c r="E937" s="9" t="s">
        <v>31</v>
      </c>
      <c r="F937" s="9">
        <v>39601</v>
      </c>
      <c r="G937" s="9" t="s">
        <v>660</v>
      </c>
      <c r="H937" s="9" t="s">
        <v>661</v>
      </c>
      <c r="J937" s="9" t="s">
        <v>662</v>
      </c>
      <c r="K937" s="9" t="s">
        <v>666</v>
      </c>
      <c r="L937" s="9" t="s">
        <v>258</v>
      </c>
      <c r="N937" s="9" t="str">
        <f t="shared" si="14"/>
        <v>MATHEUS ALMEIDA</v>
      </c>
    </row>
    <row r="938" spans="1:14" x14ac:dyDescent="0.3">
      <c r="A938" s="9">
        <v>702799</v>
      </c>
      <c r="B938" s="9" t="s">
        <v>898</v>
      </c>
      <c r="C938" s="10" t="s">
        <v>15</v>
      </c>
      <c r="D938" s="11">
        <v>44607</v>
      </c>
      <c r="E938" s="9" t="s">
        <v>138</v>
      </c>
      <c r="F938" s="9">
        <v>24102</v>
      </c>
      <c r="G938" s="9" t="s">
        <v>669</v>
      </c>
      <c r="H938" s="9" t="s">
        <v>661</v>
      </c>
      <c r="J938" s="9" t="s">
        <v>672</v>
      </c>
      <c r="K938" s="9" t="s">
        <v>666</v>
      </c>
      <c r="L938" s="9" t="s">
        <v>1388</v>
      </c>
      <c r="M938" s="9" t="s">
        <v>1637</v>
      </c>
      <c r="N938" s="9" t="str">
        <f t="shared" si="14"/>
        <v>JUNIO TEIXEIRA /EDIVILSON</v>
      </c>
    </row>
    <row r="939" spans="1:14" x14ac:dyDescent="0.3">
      <c r="A939" s="9">
        <v>700178</v>
      </c>
      <c r="B939" s="9" t="s">
        <v>899</v>
      </c>
      <c r="C939" s="10" t="s">
        <v>15</v>
      </c>
      <c r="D939" s="11">
        <v>43234</v>
      </c>
      <c r="E939" s="9" t="s">
        <v>507</v>
      </c>
      <c r="F939" s="9">
        <v>24201</v>
      </c>
      <c r="G939" s="9" t="s">
        <v>664</v>
      </c>
      <c r="H939" s="9" t="s">
        <v>661</v>
      </c>
      <c r="J939" s="9" t="s">
        <v>665</v>
      </c>
      <c r="K939" s="9" t="s">
        <v>666</v>
      </c>
      <c r="L939" s="9" t="s">
        <v>258</v>
      </c>
      <c r="M939" s="9" t="s">
        <v>667</v>
      </c>
      <c r="N939" s="9" t="str">
        <f t="shared" si="14"/>
        <v>JOSIEL NEVES</v>
      </c>
    </row>
    <row r="940" spans="1:14" x14ac:dyDescent="0.3">
      <c r="A940" s="9">
        <v>701367</v>
      </c>
      <c r="B940" s="9" t="s">
        <v>900</v>
      </c>
      <c r="C940" s="10" t="s">
        <v>15</v>
      </c>
      <c r="D940" s="11">
        <v>43759</v>
      </c>
      <c r="E940" s="9" t="s">
        <v>31</v>
      </c>
      <c r="F940" s="9">
        <v>24102</v>
      </c>
      <c r="G940" s="9" t="s">
        <v>669</v>
      </c>
      <c r="H940" s="9" t="s">
        <v>661</v>
      </c>
      <c r="J940" s="9" t="s">
        <v>672</v>
      </c>
      <c r="K940" s="9" t="s">
        <v>666</v>
      </c>
      <c r="L940" s="9" t="s">
        <v>1388</v>
      </c>
      <c r="M940" s="9" t="s">
        <v>1637</v>
      </c>
      <c r="N940" s="9" t="str">
        <f t="shared" si="14"/>
        <v>JUNIO TEIXEIRA /EDIVILSON</v>
      </c>
    </row>
    <row r="941" spans="1:14" x14ac:dyDescent="0.3">
      <c r="A941" s="9">
        <v>704555</v>
      </c>
      <c r="B941" s="9" t="s">
        <v>901</v>
      </c>
      <c r="C941" s="10" t="s">
        <v>233</v>
      </c>
      <c r="D941" s="11">
        <v>45426</v>
      </c>
      <c r="E941" s="9" t="s">
        <v>27</v>
      </c>
      <c r="F941" s="9">
        <v>39601</v>
      </c>
      <c r="G941" s="9" t="s">
        <v>660</v>
      </c>
      <c r="H941" s="9" t="s">
        <v>661</v>
      </c>
      <c r="J941" s="9" t="s">
        <v>684</v>
      </c>
      <c r="K941" s="9" t="s">
        <v>666</v>
      </c>
      <c r="L941" s="9" t="s">
        <v>258</v>
      </c>
      <c r="M941" s="9" t="s">
        <v>1392</v>
      </c>
      <c r="N941" s="9" t="str">
        <f t="shared" si="14"/>
        <v>ADALTON/JANILSON RORIZ/MARIVALDO</v>
      </c>
    </row>
    <row r="942" spans="1:14" x14ac:dyDescent="0.3">
      <c r="A942" s="9">
        <v>704516</v>
      </c>
      <c r="B942" s="9" t="s">
        <v>902</v>
      </c>
      <c r="C942" s="10" t="s">
        <v>15</v>
      </c>
      <c r="D942" s="11">
        <v>45420</v>
      </c>
      <c r="E942" s="9" t="s">
        <v>31</v>
      </c>
      <c r="F942" s="9">
        <v>39601</v>
      </c>
      <c r="G942" s="9" t="s">
        <v>660</v>
      </c>
      <c r="H942" s="9" t="s">
        <v>661</v>
      </c>
      <c r="J942" s="9" t="s">
        <v>684</v>
      </c>
      <c r="K942" s="9" t="s">
        <v>666</v>
      </c>
      <c r="L942" s="9" t="s">
        <v>258</v>
      </c>
      <c r="M942" s="9" t="s">
        <v>1392</v>
      </c>
      <c r="N942" s="9" t="str">
        <f t="shared" si="14"/>
        <v>ADALTON/JANILSON RORIZ/MARIVALDO</v>
      </c>
    </row>
    <row r="943" spans="1:14" x14ac:dyDescent="0.3">
      <c r="A943" s="9">
        <v>705665</v>
      </c>
      <c r="B943" s="9" t="s">
        <v>1431</v>
      </c>
      <c r="C943" s="10" t="s">
        <v>15</v>
      </c>
      <c r="D943" s="11">
        <v>45944</v>
      </c>
      <c r="E943" s="9" t="s">
        <v>31</v>
      </c>
      <c r="F943" s="9">
        <v>24102</v>
      </c>
      <c r="G943" s="9" t="s">
        <v>669</v>
      </c>
      <c r="H943" s="9" t="s">
        <v>661</v>
      </c>
      <c r="J943" s="9" t="s">
        <v>682</v>
      </c>
      <c r="K943" s="9" t="s">
        <v>666</v>
      </c>
      <c r="L943" s="9" t="s">
        <v>1390</v>
      </c>
      <c r="M943" s="9" t="s">
        <v>1391</v>
      </c>
      <c r="N943" s="9" t="str">
        <f t="shared" si="14"/>
        <v>ALCENO JUNIOR/JOÃO MARCOS</v>
      </c>
    </row>
    <row r="944" spans="1:14" x14ac:dyDescent="0.3">
      <c r="A944" s="9">
        <v>705077</v>
      </c>
      <c r="B944" s="9" t="s">
        <v>903</v>
      </c>
      <c r="C944" s="10" t="s">
        <v>15</v>
      </c>
      <c r="D944" s="11">
        <v>45671</v>
      </c>
      <c r="E944" s="9" t="s">
        <v>31</v>
      </c>
      <c r="F944" s="9">
        <v>24102</v>
      </c>
      <c r="G944" s="9" t="s">
        <v>669</v>
      </c>
      <c r="H944" s="9" t="s">
        <v>661</v>
      </c>
      <c r="J944" s="9" t="s">
        <v>672</v>
      </c>
      <c r="K944" s="9" t="s">
        <v>666</v>
      </c>
      <c r="L944" s="9" t="s">
        <v>1388</v>
      </c>
      <c r="M944" s="9" t="s">
        <v>1637</v>
      </c>
      <c r="N944" s="9" t="str">
        <f t="shared" si="14"/>
        <v>JUNIO TEIXEIRA /EDIVILSON</v>
      </c>
    </row>
    <row r="945" spans="1:14" x14ac:dyDescent="0.3">
      <c r="A945" s="9">
        <v>702906</v>
      </c>
      <c r="B945" s="9" t="s">
        <v>906</v>
      </c>
      <c r="C945" s="10" t="s">
        <v>15</v>
      </c>
      <c r="D945" s="11">
        <v>44656</v>
      </c>
      <c r="E945" s="9" t="s">
        <v>31</v>
      </c>
      <c r="F945" s="9">
        <v>24102</v>
      </c>
      <c r="G945" s="9" t="s">
        <v>669</v>
      </c>
      <c r="H945" s="9" t="s">
        <v>661</v>
      </c>
      <c r="J945" s="9" t="s">
        <v>697</v>
      </c>
      <c r="K945" s="9" t="s">
        <v>666</v>
      </c>
      <c r="L945" s="9" t="s">
        <v>1390</v>
      </c>
      <c r="M945" s="9" t="s">
        <v>1391</v>
      </c>
      <c r="N945" s="9" t="str">
        <f t="shared" si="14"/>
        <v>ALCENO JUNIOR/JOÃO MARCOS</v>
      </c>
    </row>
    <row r="946" spans="1:14" x14ac:dyDescent="0.3">
      <c r="A946" s="9">
        <v>704621</v>
      </c>
      <c r="B946" s="9" t="s">
        <v>907</v>
      </c>
      <c r="C946" s="10" t="s">
        <v>233</v>
      </c>
      <c r="D946" s="11">
        <v>45476</v>
      </c>
      <c r="E946" s="9" t="s">
        <v>418</v>
      </c>
      <c r="F946" s="9">
        <v>39601</v>
      </c>
      <c r="G946" s="9" t="s">
        <v>660</v>
      </c>
      <c r="H946" s="9" t="s">
        <v>661</v>
      </c>
      <c r="J946" s="9" t="s">
        <v>684</v>
      </c>
      <c r="K946" s="9" t="s">
        <v>666</v>
      </c>
      <c r="L946" s="9" t="s">
        <v>258</v>
      </c>
      <c r="M946" s="9" t="s">
        <v>1392</v>
      </c>
      <c r="N946" s="9" t="str">
        <f t="shared" si="14"/>
        <v>ADALTON/JANILSON RORIZ/MARIVALDO</v>
      </c>
    </row>
    <row r="947" spans="1:14" x14ac:dyDescent="0.3">
      <c r="A947" s="9">
        <v>701641</v>
      </c>
      <c r="B947" s="9" t="s">
        <v>908</v>
      </c>
      <c r="C947" s="10" t="s">
        <v>15</v>
      </c>
      <c r="D947" s="11">
        <v>44018</v>
      </c>
      <c r="E947" s="9" t="s">
        <v>22</v>
      </c>
      <c r="F947" s="9">
        <v>39601</v>
      </c>
      <c r="G947" s="9" t="s">
        <v>660</v>
      </c>
      <c r="H947" s="9" t="s">
        <v>661</v>
      </c>
      <c r="J947" s="9" t="s">
        <v>662</v>
      </c>
      <c r="K947" s="9" t="s">
        <v>666</v>
      </c>
      <c r="L947" s="9" t="s">
        <v>258</v>
      </c>
      <c r="N947" s="9" t="str">
        <f t="shared" si="14"/>
        <v>MATHEUS ALMEIDA</v>
      </c>
    </row>
    <row r="948" spans="1:14" x14ac:dyDescent="0.3">
      <c r="A948" s="9">
        <v>704071</v>
      </c>
      <c r="B948" s="9" t="s">
        <v>909</v>
      </c>
      <c r="C948" s="10" t="s">
        <v>15</v>
      </c>
      <c r="D948" s="11">
        <v>45175</v>
      </c>
      <c r="E948" s="9" t="s">
        <v>507</v>
      </c>
      <c r="F948" s="9">
        <v>24201</v>
      </c>
      <c r="G948" s="9" t="s">
        <v>664</v>
      </c>
      <c r="H948" s="9" t="s">
        <v>661</v>
      </c>
      <c r="J948" s="9" t="s">
        <v>665</v>
      </c>
      <c r="K948" s="9" t="s">
        <v>666</v>
      </c>
      <c r="L948" s="9" t="s">
        <v>258</v>
      </c>
      <c r="M948" s="9" t="s">
        <v>667</v>
      </c>
      <c r="N948" s="9" t="str">
        <f t="shared" si="14"/>
        <v>JOSIEL NEVES</v>
      </c>
    </row>
    <row r="949" spans="1:14" x14ac:dyDescent="0.3">
      <c r="A949" s="9">
        <v>706025</v>
      </c>
      <c r="B949" s="9" t="s">
        <v>1737</v>
      </c>
      <c r="C949" s="10" t="s">
        <v>15</v>
      </c>
      <c r="D949" s="11">
        <v>46126</v>
      </c>
      <c r="E949" s="9" t="s">
        <v>31</v>
      </c>
      <c r="F949" s="9">
        <v>39601</v>
      </c>
      <c r="G949" s="9" t="s">
        <v>660</v>
      </c>
      <c r="H949" s="9" t="s">
        <v>661</v>
      </c>
      <c r="J949" s="9" t="s">
        <v>662</v>
      </c>
      <c r="K949" s="9" t="s">
        <v>666</v>
      </c>
      <c r="L949" s="9" t="s">
        <v>258</v>
      </c>
      <c r="N949" s="9" t="str">
        <f t="shared" si="14"/>
        <v>MATHEUS ALMEIDA</v>
      </c>
    </row>
    <row r="950" spans="1:14" x14ac:dyDescent="0.3">
      <c r="A950" s="9">
        <v>703401</v>
      </c>
      <c r="B950" s="9" t="s">
        <v>910</v>
      </c>
      <c r="C950" s="10" t="s">
        <v>15</v>
      </c>
      <c r="D950" s="11">
        <v>44852</v>
      </c>
      <c r="E950" s="9" t="s">
        <v>686</v>
      </c>
      <c r="F950" s="9">
        <v>39601</v>
      </c>
      <c r="G950" s="9" t="s">
        <v>660</v>
      </c>
      <c r="H950" s="9" t="s">
        <v>661</v>
      </c>
      <c r="J950" s="9" t="s">
        <v>684</v>
      </c>
      <c r="K950" s="9" t="s">
        <v>666</v>
      </c>
      <c r="L950" s="9" t="s">
        <v>258</v>
      </c>
      <c r="M950" s="9" t="s">
        <v>1392</v>
      </c>
      <c r="N950" s="9" t="str">
        <f t="shared" si="14"/>
        <v>ADALTON/JANILSON RORIZ/MARIVALDO</v>
      </c>
    </row>
    <row r="951" spans="1:14" x14ac:dyDescent="0.3">
      <c r="A951" s="9">
        <v>705461</v>
      </c>
      <c r="B951" s="9" t="s">
        <v>1284</v>
      </c>
      <c r="C951" s="10" t="s">
        <v>15</v>
      </c>
      <c r="D951" s="11">
        <v>45812</v>
      </c>
      <c r="E951" s="9" t="s">
        <v>31</v>
      </c>
      <c r="F951" s="9">
        <v>24102</v>
      </c>
      <c r="G951" s="9" t="s">
        <v>669</v>
      </c>
      <c r="H951" s="9" t="s">
        <v>661</v>
      </c>
      <c r="J951" s="9" t="s">
        <v>680</v>
      </c>
      <c r="K951" s="9" t="s">
        <v>666</v>
      </c>
      <c r="L951" s="9" t="s">
        <v>1388</v>
      </c>
      <c r="M951" s="9" t="s">
        <v>1637</v>
      </c>
      <c r="N951" s="9" t="str">
        <f t="shared" si="14"/>
        <v>JUNIO TEIXEIRA /EDIVILSON</v>
      </c>
    </row>
    <row r="952" spans="1:14" x14ac:dyDescent="0.3">
      <c r="A952" s="9">
        <v>701338</v>
      </c>
      <c r="B952" s="9" t="s">
        <v>912</v>
      </c>
      <c r="C952" s="10" t="s">
        <v>15</v>
      </c>
      <c r="D952" s="11">
        <v>43759</v>
      </c>
      <c r="E952" s="9" t="s">
        <v>138</v>
      </c>
      <c r="F952" s="9">
        <v>24102</v>
      </c>
      <c r="G952" s="9" t="s">
        <v>669</v>
      </c>
      <c r="H952" s="9" t="s">
        <v>661</v>
      </c>
      <c r="J952" s="9" t="s">
        <v>682</v>
      </c>
      <c r="K952" s="9" t="s">
        <v>666</v>
      </c>
      <c r="L952" s="9" t="s">
        <v>1390</v>
      </c>
      <c r="M952" s="9" t="s">
        <v>1391</v>
      </c>
      <c r="N952" s="9" t="str">
        <f t="shared" si="14"/>
        <v>ALCENO JUNIOR/JOÃO MARCOS</v>
      </c>
    </row>
    <row r="953" spans="1:14" x14ac:dyDescent="0.3">
      <c r="A953" s="9">
        <v>701942</v>
      </c>
      <c r="B953" s="9" t="s">
        <v>913</v>
      </c>
      <c r="C953" s="10" t="s">
        <v>15</v>
      </c>
      <c r="D953" s="11">
        <v>44153</v>
      </c>
      <c r="E953" s="9" t="s">
        <v>794</v>
      </c>
      <c r="F953" s="9">
        <v>39602</v>
      </c>
      <c r="G953" s="9" t="s">
        <v>699</v>
      </c>
      <c r="H953" s="9" t="s">
        <v>661</v>
      </c>
      <c r="J953" s="9" t="s">
        <v>700</v>
      </c>
      <c r="K953" s="9" t="s">
        <v>666</v>
      </c>
      <c r="L953" s="9" t="s">
        <v>258</v>
      </c>
      <c r="M953" s="9" t="s">
        <v>701</v>
      </c>
      <c r="N953" s="9" t="str">
        <f t="shared" si="14"/>
        <v>IURY GUEDES</v>
      </c>
    </row>
    <row r="954" spans="1:14" x14ac:dyDescent="0.3">
      <c r="A954" s="9">
        <v>701307</v>
      </c>
      <c r="B954" s="9" t="s">
        <v>914</v>
      </c>
      <c r="C954" s="10" t="s">
        <v>15</v>
      </c>
      <c r="D954" s="11">
        <v>39510</v>
      </c>
      <c r="E954" s="9" t="s">
        <v>255</v>
      </c>
      <c r="F954" s="9">
        <v>24102</v>
      </c>
      <c r="G954" s="9" t="s">
        <v>669</v>
      </c>
      <c r="H954" s="9" t="s">
        <v>661</v>
      </c>
      <c r="J954" s="9" t="s">
        <v>670</v>
      </c>
      <c r="K954" s="9" t="s">
        <v>666</v>
      </c>
      <c r="L954" s="9" t="s">
        <v>1388</v>
      </c>
      <c r="M954" s="9" t="s">
        <v>1637</v>
      </c>
      <c r="N954" s="9" t="str">
        <f t="shared" si="14"/>
        <v>JUNIO TEIXEIRA /EDIVILSON</v>
      </c>
    </row>
    <row r="955" spans="1:14" x14ac:dyDescent="0.3">
      <c r="A955" s="9">
        <v>101765</v>
      </c>
      <c r="B955" s="9" t="s">
        <v>915</v>
      </c>
      <c r="C955" s="10" t="s">
        <v>15</v>
      </c>
      <c r="D955" s="11">
        <v>43073</v>
      </c>
      <c r="E955" s="9" t="s">
        <v>507</v>
      </c>
      <c r="F955" s="9">
        <v>24102</v>
      </c>
      <c r="G955" s="9" t="s">
        <v>669</v>
      </c>
      <c r="H955" s="9" t="s">
        <v>661</v>
      </c>
      <c r="J955" s="9" t="s">
        <v>682</v>
      </c>
      <c r="K955" s="9" t="s">
        <v>666</v>
      </c>
      <c r="L955" s="9" t="s">
        <v>1390</v>
      </c>
      <c r="M955" s="9" t="s">
        <v>1391</v>
      </c>
      <c r="N955" s="9" t="str">
        <f t="shared" si="14"/>
        <v>ALCENO JUNIOR/JOÃO MARCOS</v>
      </c>
    </row>
    <row r="956" spans="1:14" x14ac:dyDescent="0.3">
      <c r="A956" s="9">
        <v>703724</v>
      </c>
      <c r="B956" s="9" t="s">
        <v>916</v>
      </c>
      <c r="C956" s="10" t="s">
        <v>15</v>
      </c>
      <c r="D956" s="11">
        <v>45026</v>
      </c>
      <c r="E956" s="9" t="s">
        <v>16</v>
      </c>
      <c r="F956" s="9">
        <v>24102</v>
      </c>
      <c r="G956" s="9" t="s">
        <v>669</v>
      </c>
      <c r="H956" s="9" t="s">
        <v>661</v>
      </c>
      <c r="J956" s="9" t="s">
        <v>682</v>
      </c>
      <c r="K956" s="9" t="s">
        <v>666</v>
      </c>
      <c r="L956" s="9" t="s">
        <v>1390</v>
      </c>
      <c r="M956" s="9" t="s">
        <v>1391</v>
      </c>
      <c r="N956" s="9" t="str">
        <f t="shared" si="14"/>
        <v>ALCENO JUNIOR/JOÃO MARCOS</v>
      </c>
    </row>
    <row r="957" spans="1:14" x14ac:dyDescent="0.3">
      <c r="A957" s="9">
        <v>704785</v>
      </c>
      <c r="B957" s="9" t="s">
        <v>917</v>
      </c>
      <c r="C957" s="10" t="s">
        <v>15</v>
      </c>
      <c r="D957" s="11">
        <v>45551</v>
      </c>
      <c r="E957" s="9" t="s">
        <v>418</v>
      </c>
      <c r="F957" s="9">
        <v>39601</v>
      </c>
      <c r="G957" s="9" t="s">
        <v>660</v>
      </c>
      <c r="H957" s="9" t="s">
        <v>661</v>
      </c>
      <c r="J957" s="9" t="s">
        <v>684</v>
      </c>
      <c r="K957" s="9" t="s">
        <v>666</v>
      </c>
      <c r="L957" s="9" t="s">
        <v>258</v>
      </c>
      <c r="M957" s="9" t="s">
        <v>1392</v>
      </c>
      <c r="N957" s="9" t="str">
        <f t="shared" si="14"/>
        <v>ADALTON/JANILSON RORIZ/MARIVALDO</v>
      </c>
    </row>
    <row r="958" spans="1:14" x14ac:dyDescent="0.3">
      <c r="A958" s="9">
        <v>704253</v>
      </c>
      <c r="B958" s="9" t="s">
        <v>918</v>
      </c>
      <c r="C958" s="10" t="s">
        <v>15</v>
      </c>
      <c r="D958" s="11">
        <v>45342</v>
      </c>
      <c r="E958" s="9" t="s">
        <v>31</v>
      </c>
      <c r="F958" s="9">
        <v>24102</v>
      </c>
      <c r="G958" s="9" t="s">
        <v>669</v>
      </c>
      <c r="H958" s="9" t="s">
        <v>661</v>
      </c>
      <c r="J958" s="9" t="s">
        <v>680</v>
      </c>
      <c r="K958" s="9" t="s">
        <v>666</v>
      </c>
      <c r="L958" s="9" t="s">
        <v>1388</v>
      </c>
      <c r="M958" s="9" t="s">
        <v>1637</v>
      </c>
      <c r="N958" s="9" t="str">
        <f t="shared" si="14"/>
        <v>JUNIO TEIXEIRA /EDIVILSON</v>
      </c>
    </row>
    <row r="959" spans="1:14" x14ac:dyDescent="0.3">
      <c r="A959" s="9">
        <v>705727</v>
      </c>
      <c r="B959" s="9" t="s">
        <v>1466</v>
      </c>
      <c r="C959" s="10" t="s">
        <v>15</v>
      </c>
      <c r="D959" s="11">
        <v>45972</v>
      </c>
      <c r="E959" s="9" t="s">
        <v>31</v>
      </c>
      <c r="F959" s="9">
        <v>24201</v>
      </c>
      <c r="G959" s="9" t="s">
        <v>664</v>
      </c>
      <c r="H959" s="9" t="s">
        <v>661</v>
      </c>
      <c r="J959" s="9" t="s">
        <v>665</v>
      </c>
      <c r="K959" s="9" t="s">
        <v>666</v>
      </c>
      <c r="L959" s="9" t="s">
        <v>258</v>
      </c>
      <c r="M959" s="9" t="s">
        <v>667</v>
      </c>
      <c r="N959" s="9" t="str">
        <f t="shared" si="14"/>
        <v>JOSIEL NEVES</v>
      </c>
    </row>
    <row r="960" spans="1:14" x14ac:dyDescent="0.3">
      <c r="A960" s="9">
        <v>706011</v>
      </c>
      <c r="B960" s="9" t="s">
        <v>1738</v>
      </c>
      <c r="C960" s="10" t="s">
        <v>15</v>
      </c>
      <c r="D960" s="11">
        <v>46126</v>
      </c>
      <c r="E960" s="9" t="s">
        <v>31</v>
      </c>
      <c r="F960" s="9">
        <v>39601</v>
      </c>
      <c r="G960" s="9" t="s">
        <v>660</v>
      </c>
      <c r="H960" s="9" t="s">
        <v>661</v>
      </c>
      <c r="J960" s="9" t="s">
        <v>662</v>
      </c>
      <c r="K960" s="9" t="s">
        <v>666</v>
      </c>
      <c r="L960" s="9" t="s">
        <v>258</v>
      </c>
      <c r="N960" s="9" t="str">
        <f t="shared" si="14"/>
        <v>MATHEUS ALMEIDA</v>
      </c>
    </row>
    <row r="961" spans="1:14" x14ac:dyDescent="0.3">
      <c r="A961" s="9">
        <v>706016</v>
      </c>
      <c r="B961" s="9" t="s">
        <v>1739</v>
      </c>
      <c r="C961" s="10" t="s">
        <v>15</v>
      </c>
      <c r="D961" s="11">
        <v>46126</v>
      </c>
      <c r="E961" s="9" t="s">
        <v>31</v>
      </c>
      <c r="F961" s="9">
        <v>39601</v>
      </c>
      <c r="G961" s="9" t="s">
        <v>660</v>
      </c>
      <c r="H961" s="9" t="s">
        <v>661</v>
      </c>
      <c r="J961" s="9" t="s">
        <v>662</v>
      </c>
      <c r="K961" s="9" t="s">
        <v>666</v>
      </c>
      <c r="L961" s="9" t="s">
        <v>258</v>
      </c>
      <c r="N961" s="9" t="str">
        <f t="shared" si="14"/>
        <v>MATHEUS ALMEIDA</v>
      </c>
    </row>
    <row r="962" spans="1:14" x14ac:dyDescent="0.3">
      <c r="A962" s="9">
        <v>702531</v>
      </c>
      <c r="B962" s="9" t="s">
        <v>919</v>
      </c>
      <c r="C962" s="10" t="s">
        <v>15</v>
      </c>
      <c r="D962" s="11">
        <v>44418</v>
      </c>
      <c r="E962" s="9" t="s">
        <v>109</v>
      </c>
      <c r="F962" s="9">
        <v>32102</v>
      </c>
      <c r="G962" s="9" t="s">
        <v>674</v>
      </c>
      <c r="H962" s="9" t="s">
        <v>661</v>
      </c>
      <c r="J962" s="9" t="s">
        <v>675</v>
      </c>
      <c r="K962" s="9" t="s">
        <v>25</v>
      </c>
      <c r="L962" s="9" t="s">
        <v>1369</v>
      </c>
      <c r="M962" s="9" t="s">
        <v>1638</v>
      </c>
      <c r="N962" s="9" t="str">
        <f t="shared" si="14"/>
        <v>EDIVILSON MENEZES</v>
      </c>
    </row>
    <row r="963" spans="1:14" x14ac:dyDescent="0.3">
      <c r="A963" s="9">
        <v>702935</v>
      </c>
      <c r="B963" s="9" t="s">
        <v>920</v>
      </c>
      <c r="C963" s="10" t="s">
        <v>15</v>
      </c>
      <c r="D963" s="11">
        <v>44663</v>
      </c>
      <c r="E963" s="9" t="s">
        <v>31</v>
      </c>
      <c r="F963" s="9">
        <v>24102</v>
      </c>
      <c r="G963" s="9" t="s">
        <v>669</v>
      </c>
      <c r="H963" s="9" t="s">
        <v>661</v>
      </c>
      <c r="J963" s="9" t="s">
        <v>680</v>
      </c>
      <c r="K963" s="9" t="s">
        <v>666</v>
      </c>
      <c r="L963" s="9" t="s">
        <v>1388</v>
      </c>
      <c r="M963" s="9" t="s">
        <v>1637</v>
      </c>
      <c r="N963" s="9" t="str">
        <f t="shared" ref="N963:N1026" si="15">IF(M963&lt;&gt;"", M963, IF(L963&lt;&gt;"", L963, K963))</f>
        <v>JUNIO TEIXEIRA /EDIVILSON</v>
      </c>
    </row>
    <row r="964" spans="1:14" x14ac:dyDescent="0.3">
      <c r="A964" s="9">
        <v>100789</v>
      </c>
      <c r="B964" s="9" t="s">
        <v>921</v>
      </c>
      <c r="C964" s="10" t="s">
        <v>15</v>
      </c>
      <c r="D964" s="11">
        <v>42240</v>
      </c>
      <c r="E964" s="9" t="s">
        <v>199</v>
      </c>
      <c r="F964" s="9">
        <v>24201</v>
      </c>
      <c r="G964" s="9" t="s">
        <v>664</v>
      </c>
      <c r="H964" s="9" t="s">
        <v>661</v>
      </c>
      <c r="J964" s="9" t="s">
        <v>1695</v>
      </c>
      <c r="K964" s="9" t="s">
        <v>666</v>
      </c>
      <c r="L964" s="9" t="s">
        <v>258</v>
      </c>
      <c r="N964" s="9" t="str">
        <f t="shared" si="15"/>
        <v>MATHEUS ALMEIDA</v>
      </c>
    </row>
    <row r="965" spans="1:14" x14ac:dyDescent="0.3">
      <c r="A965" s="9">
        <v>700444</v>
      </c>
      <c r="B965" s="9" t="s">
        <v>922</v>
      </c>
      <c r="C965" s="10" t="s">
        <v>15</v>
      </c>
      <c r="D965" s="11">
        <v>43326</v>
      </c>
      <c r="E965" s="9" t="s">
        <v>31</v>
      </c>
      <c r="F965" s="9">
        <v>24102</v>
      </c>
      <c r="G965" s="9" t="s">
        <v>669</v>
      </c>
      <c r="H965" s="9" t="s">
        <v>661</v>
      </c>
      <c r="J965" s="9" t="s">
        <v>680</v>
      </c>
      <c r="K965" s="9" t="s">
        <v>666</v>
      </c>
      <c r="L965" s="9" t="s">
        <v>1388</v>
      </c>
      <c r="M965" s="9" t="s">
        <v>1637</v>
      </c>
      <c r="N965" s="9" t="str">
        <f t="shared" si="15"/>
        <v>JUNIO TEIXEIRA /EDIVILSON</v>
      </c>
    </row>
    <row r="966" spans="1:14" x14ac:dyDescent="0.3">
      <c r="A966" s="9">
        <v>704938</v>
      </c>
      <c r="B966" s="9" t="s">
        <v>923</v>
      </c>
      <c r="C966" s="10" t="s">
        <v>15</v>
      </c>
      <c r="D966" s="11">
        <v>45607</v>
      </c>
      <c r="E966" s="9" t="s">
        <v>31</v>
      </c>
      <c r="F966" s="9">
        <v>39601</v>
      </c>
      <c r="G966" s="9" t="s">
        <v>660</v>
      </c>
      <c r="H966" s="9" t="s">
        <v>661</v>
      </c>
      <c r="J966" s="9" t="s">
        <v>662</v>
      </c>
      <c r="K966" s="9" t="s">
        <v>666</v>
      </c>
      <c r="L966" s="9" t="s">
        <v>258</v>
      </c>
      <c r="N966" s="9" t="str">
        <f t="shared" si="15"/>
        <v>MATHEUS ALMEIDA</v>
      </c>
    </row>
    <row r="967" spans="1:14" x14ac:dyDescent="0.3">
      <c r="A967" s="9">
        <v>704333</v>
      </c>
      <c r="B967" s="9" t="s">
        <v>925</v>
      </c>
      <c r="C967" s="10" t="s">
        <v>233</v>
      </c>
      <c r="D967" s="11">
        <v>45363</v>
      </c>
      <c r="E967" s="9" t="s">
        <v>507</v>
      </c>
      <c r="F967" s="9">
        <v>24102</v>
      </c>
      <c r="G967" s="9" t="s">
        <v>669</v>
      </c>
      <c r="H967" s="9" t="s">
        <v>661</v>
      </c>
      <c r="J967" s="9" t="s">
        <v>672</v>
      </c>
      <c r="K967" s="9" t="s">
        <v>666</v>
      </c>
      <c r="L967" s="9" t="s">
        <v>1388</v>
      </c>
      <c r="M967" s="9" t="s">
        <v>1637</v>
      </c>
      <c r="N967" s="9" t="str">
        <f t="shared" si="15"/>
        <v>JUNIO TEIXEIRA /EDIVILSON</v>
      </c>
    </row>
    <row r="968" spans="1:14" x14ac:dyDescent="0.3">
      <c r="A968" s="9">
        <v>700355</v>
      </c>
      <c r="B968" s="9" t="s">
        <v>926</v>
      </c>
      <c r="C968" s="10" t="s">
        <v>15</v>
      </c>
      <c r="D968" s="11">
        <v>43297</v>
      </c>
      <c r="E968" s="9" t="s">
        <v>16</v>
      </c>
      <c r="F968" s="9">
        <v>24102</v>
      </c>
      <c r="G968" s="9" t="s">
        <v>669</v>
      </c>
      <c r="H968" s="9" t="s">
        <v>661</v>
      </c>
      <c r="J968" s="9" t="s">
        <v>682</v>
      </c>
      <c r="K968" s="9" t="s">
        <v>666</v>
      </c>
      <c r="L968" s="9" t="s">
        <v>1390</v>
      </c>
      <c r="M968" s="9" t="s">
        <v>1391</v>
      </c>
      <c r="N968" s="9" t="str">
        <f t="shared" si="15"/>
        <v>ALCENO JUNIOR/JOÃO MARCOS</v>
      </c>
    </row>
    <row r="969" spans="1:14" x14ac:dyDescent="0.3">
      <c r="A969" s="9">
        <v>705981</v>
      </c>
      <c r="B969" s="9" t="s">
        <v>1740</v>
      </c>
      <c r="C969" s="10" t="s">
        <v>15</v>
      </c>
      <c r="D969" s="11">
        <v>46119</v>
      </c>
      <c r="E969" s="9" t="s">
        <v>77</v>
      </c>
      <c r="F969" s="9">
        <v>38108</v>
      </c>
      <c r="G969" s="9" t="s">
        <v>1698</v>
      </c>
      <c r="H969" s="9" t="s">
        <v>661</v>
      </c>
      <c r="J969" s="9" t="s">
        <v>78</v>
      </c>
      <c r="K969" s="9" t="s">
        <v>1372</v>
      </c>
      <c r="N969" s="9" t="str">
        <f t="shared" si="15"/>
        <v xml:space="preserve">LEIDJANE MARTINS </v>
      </c>
    </row>
    <row r="970" spans="1:14" x14ac:dyDescent="0.3">
      <c r="A970" s="9">
        <v>701406</v>
      </c>
      <c r="B970" s="9" t="s">
        <v>927</v>
      </c>
      <c r="C970" s="10" t="s">
        <v>15</v>
      </c>
      <c r="D970" s="11">
        <v>43773</v>
      </c>
      <c r="E970" s="9" t="s">
        <v>260</v>
      </c>
      <c r="F970" s="9">
        <v>24102</v>
      </c>
      <c r="G970" s="9" t="s">
        <v>669</v>
      </c>
      <c r="H970" s="9" t="s">
        <v>661</v>
      </c>
      <c r="J970" s="9" t="s">
        <v>1714</v>
      </c>
      <c r="K970" s="9" t="s">
        <v>666</v>
      </c>
      <c r="L970" s="9" t="s">
        <v>1388</v>
      </c>
      <c r="N970" s="9" t="str">
        <f t="shared" si="15"/>
        <v>YAN SILVA</v>
      </c>
    </row>
    <row r="971" spans="1:14" x14ac:dyDescent="0.3">
      <c r="A971" s="9">
        <v>705872</v>
      </c>
      <c r="B971" s="9" t="s">
        <v>1583</v>
      </c>
      <c r="C971" s="10" t="s">
        <v>15</v>
      </c>
      <c r="D971" s="11">
        <v>46063</v>
      </c>
      <c r="E971" s="9" t="s">
        <v>31</v>
      </c>
      <c r="F971" s="9">
        <v>24102</v>
      </c>
      <c r="G971" s="9" t="s">
        <v>669</v>
      </c>
      <c r="H971" s="9" t="s">
        <v>661</v>
      </c>
      <c r="J971" s="9" t="s">
        <v>672</v>
      </c>
      <c r="K971" s="9" t="s">
        <v>666</v>
      </c>
      <c r="L971" s="9" t="s">
        <v>1388</v>
      </c>
      <c r="M971" s="9" t="s">
        <v>1637</v>
      </c>
      <c r="N971" s="9" t="str">
        <f t="shared" si="15"/>
        <v>JUNIO TEIXEIRA /EDIVILSON</v>
      </c>
    </row>
    <row r="972" spans="1:14" x14ac:dyDescent="0.3">
      <c r="A972" s="9">
        <v>703721</v>
      </c>
      <c r="B972" s="9" t="s">
        <v>928</v>
      </c>
      <c r="C972" s="10" t="s">
        <v>15</v>
      </c>
      <c r="D972" s="11">
        <v>45026</v>
      </c>
      <c r="E972" s="9" t="s">
        <v>146</v>
      </c>
      <c r="F972" s="9">
        <v>39601</v>
      </c>
      <c r="G972" s="9" t="s">
        <v>660</v>
      </c>
      <c r="H972" s="9" t="s">
        <v>661</v>
      </c>
      <c r="J972" s="9" t="s">
        <v>684</v>
      </c>
      <c r="K972" s="9" t="s">
        <v>666</v>
      </c>
      <c r="L972" s="9" t="s">
        <v>258</v>
      </c>
      <c r="M972" s="9" t="s">
        <v>1392</v>
      </c>
      <c r="N972" s="9" t="str">
        <f t="shared" si="15"/>
        <v>ADALTON/JANILSON RORIZ/MARIVALDO</v>
      </c>
    </row>
    <row r="973" spans="1:14" x14ac:dyDescent="0.3">
      <c r="A973" s="9">
        <v>705962</v>
      </c>
      <c r="B973" s="9" t="s">
        <v>1741</v>
      </c>
      <c r="C973" s="10" t="s">
        <v>15</v>
      </c>
      <c r="D973" s="11">
        <v>46119</v>
      </c>
      <c r="E973" s="9" t="s">
        <v>77</v>
      </c>
      <c r="F973" s="9">
        <v>38108</v>
      </c>
      <c r="G973" s="9" t="s">
        <v>1698</v>
      </c>
      <c r="H973" s="9" t="s">
        <v>661</v>
      </c>
      <c r="J973" s="9" t="s">
        <v>78</v>
      </c>
      <c r="K973" s="9" t="s">
        <v>1372</v>
      </c>
      <c r="N973" s="9" t="str">
        <f t="shared" si="15"/>
        <v xml:space="preserve">LEIDJANE MARTINS </v>
      </c>
    </row>
    <row r="974" spans="1:14" x14ac:dyDescent="0.3">
      <c r="A974" s="9">
        <v>703940</v>
      </c>
      <c r="B974" s="9" t="s">
        <v>929</v>
      </c>
      <c r="C974" s="10" t="s">
        <v>15</v>
      </c>
      <c r="D974" s="11">
        <v>45089</v>
      </c>
      <c r="E974" s="9" t="s">
        <v>27</v>
      </c>
      <c r="F974" s="9">
        <v>39601</v>
      </c>
      <c r="G974" s="9" t="s">
        <v>660</v>
      </c>
      <c r="H974" s="9" t="s">
        <v>661</v>
      </c>
      <c r="J974" s="9" t="s">
        <v>684</v>
      </c>
      <c r="K974" s="9" t="s">
        <v>666</v>
      </c>
      <c r="L974" s="9" t="s">
        <v>258</v>
      </c>
      <c r="M974" s="9" t="s">
        <v>1392</v>
      </c>
      <c r="N974" s="9" t="str">
        <f t="shared" si="15"/>
        <v>ADALTON/JANILSON RORIZ/MARIVALDO</v>
      </c>
    </row>
    <row r="975" spans="1:14" x14ac:dyDescent="0.3">
      <c r="A975" s="9">
        <v>705932</v>
      </c>
      <c r="B975" s="9" t="s">
        <v>1742</v>
      </c>
      <c r="C975" s="10" t="s">
        <v>15</v>
      </c>
      <c r="D975" s="11">
        <v>46119</v>
      </c>
      <c r="E975" s="9" t="s">
        <v>77</v>
      </c>
      <c r="F975" s="9">
        <v>38108</v>
      </c>
      <c r="G975" s="9" t="s">
        <v>1698</v>
      </c>
      <c r="H975" s="9" t="s">
        <v>661</v>
      </c>
      <c r="J975" s="9" t="s">
        <v>78</v>
      </c>
      <c r="K975" s="9" t="s">
        <v>1372</v>
      </c>
      <c r="N975" s="9" t="str">
        <f t="shared" si="15"/>
        <v xml:space="preserve">LEIDJANE MARTINS </v>
      </c>
    </row>
    <row r="976" spans="1:14" x14ac:dyDescent="0.3">
      <c r="A976" s="9">
        <v>705847</v>
      </c>
      <c r="B976" s="9" t="s">
        <v>1584</v>
      </c>
      <c r="C976" s="10" t="s">
        <v>15</v>
      </c>
      <c r="D976" s="11">
        <v>46063</v>
      </c>
      <c r="E976" s="9" t="s">
        <v>31</v>
      </c>
      <c r="F976" s="9">
        <v>24102</v>
      </c>
      <c r="G976" s="9" t="s">
        <v>669</v>
      </c>
      <c r="H976" s="9" t="s">
        <v>661</v>
      </c>
      <c r="J976" s="9" t="s">
        <v>672</v>
      </c>
      <c r="K976" s="9" t="s">
        <v>666</v>
      </c>
      <c r="L976" s="9" t="s">
        <v>1388</v>
      </c>
      <c r="M976" s="9" t="s">
        <v>1637</v>
      </c>
      <c r="N976" s="9" t="str">
        <f t="shared" si="15"/>
        <v>JUNIO TEIXEIRA /EDIVILSON</v>
      </c>
    </row>
    <row r="977" spans="1:14" x14ac:dyDescent="0.3">
      <c r="A977" s="9">
        <v>704722</v>
      </c>
      <c r="B977" s="9" t="s">
        <v>930</v>
      </c>
      <c r="C977" s="10" t="s">
        <v>15</v>
      </c>
      <c r="D977" s="11">
        <v>45518</v>
      </c>
      <c r="E977" s="9" t="s">
        <v>27</v>
      </c>
      <c r="F977" s="9">
        <v>39601</v>
      </c>
      <c r="G977" s="9" t="s">
        <v>660</v>
      </c>
      <c r="H977" s="9" t="s">
        <v>661</v>
      </c>
      <c r="J977" s="9" t="s">
        <v>684</v>
      </c>
      <c r="K977" s="9" t="s">
        <v>666</v>
      </c>
      <c r="L977" s="9" t="s">
        <v>258</v>
      </c>
      <c r="M977" s="9" t="s">
        <v>1392</v>
      </c>
      <c r="N977" s="9" t="str">
        <f t="shared" si="15"/>
        <v>ADALTON/JANILSON RORIZ/MARIVALDO</v>
      </c>
    </row>
    <row r="978" spans="1:14" x14ac:dyDescent="0.3">
      <c r="A978" s="9">
        <v>705931</v>
      </c>
      <c r="B978" s="9" t="s">
        <v>1743</v>
      </c>
      <c r="C978" s="10" t="s">
        <v>15</v>
      </c>
      <c r="D978" s="11">
        <v>46119</v>
      </c>
      <c r="E978" s="9" t="s">
        <v>77</v>
      </c>
      <c r="F978" s="9">
        <v>38108</v>
      </c>
      <c r="G978" s="9" t="s">
        <v>1698</v>
      </c>
      <c r="H978" s="9" t="s">
        <v>661</v>
      </c>
      <c r="J978" s="9" t="s">
        <v>78</v>
      </c>
      <c r="K978" s="9" t="s">
        <v>1372</v>
      </c>
      <c r="N978" s="9" t="str">
        <f t="shared" si="15"/>
        <v xml:space="preserve">LEIDJANE MARTINS </v>
      </c>
    </row>
    <row r="979" spans="1:14" x14ac:dyDescent="0.3">
      <c r="A979" s="9">
        <v>705996</v>
      </c>
      <c r="B979" s="9" t="s">
        <v>1744</v>
      </c>
      <c r="C979" s="10" t="s">
        <v>15</v>
      </c>
      <c r="D979" s="11">
        <v>46119</v>
      </c>
      <c r="E979" s="9" t="s">
        <v>230</v>
      </c>
      <c r="F979" s="9">
        <v>38102</v>
      </c>
      <c r="G979" s="9" t="s">
        <v>725</v>
      </c>
      <c r="H979" s="9" t="s">
        <v>661</v>
      </c>
      <c r="J979" s="9" t="s">
        <v>726</v>
      </c>
      <c r="K979" s="9" t="s">
        <v>1372</v>
      </c>
      <c r="L979" s="9" t="s">
        <v>1373</v>
      </c>
      <c r="M979" s="9" t="s">
        <v>1373</v>
      </c>
      <c r="N979" s="9" t="str">
        <f t="shared" si="15"/>
        <v>DENIS ACASSIO</v>
      </c>
    </row>
    <row r="980" spans="1:14" x14ac:dyDescent="0.3">
      <c r="A980" s="9">
        <v>704321</v>
      </c>
      <c r="B980" s="9" t="s">
        <v>931</v>
      </c>
      <c r="C980" s="10" t="s">
        <v>15</v>
      </c>
      <c r="D980" s="11">
        <v>45356</v>
      </c>
      <c r="E980" s="9" t="s">
        <v>31</v>
      </c>
      <c r="F980" s="9">
        <v>24102</v>
      </c>
      <c r="G980" s="9" t="s">
        <v>669</v>
      </c>
      <c r="H980" s="9" t="s">
        <v>661</v>
      </c>
      <c r="J980" s="9" t="s">
        <v>670</v>
      </c>
      <c r="K980" s="9" t="s">
        <v>666</v>
      </c>
      <c r="L980" s="9" t="s">
        <v>1388</v>
      </c>
      <c r="M980" s="9" t="s">
        <v>1637</v>
      </c>
      <c r="N980" s="9" t="str">
        <f t="shared" si="15"/>
        <v>JUNIO TEIXEIRA /EDIVILSON</v>
      </c>
    </row>
    <row r="981" spans="1:14" x14ac:dyDescent="0.3">
      <c r="A981" s="9">
        <v>705849</v>
      </c>
      <c r="B981" s="9" t="s">
        <v>1585</v>
      </c>
      <c r="C981" s="10" t="s">
        <v>15</v>
      </c>
      <c r="D981" s="11">
        <v>46063</v>
      </c>
      <c r="E981" s="9" t="s">
        <v>31</v>
      </c>
      <c r="F981" s="9">
        <v>24102</v>
      </c>
      <c r="G981" s="9" t="s">
        <v>669</v>
      </c>
      <c r="H981" s="9" t="s">
        <v>661</v>
      </c>
      <c r="J981" s="9" t="s">
        <v>672</v>
      </c>
      <c r="K981" s="9" t="s">
        <v>666</v>
      </c>
      <c r="L981" s="9" t="s">
        <v>1388</v>
      </c>
      <c r="M981" s="9" t="s">
        <v>1637</v>
      </c>
      <c r="N981" s="9" t="str">
        <f t="shared" si="15"/>
        <v>JUNIO TEIXEIRA /EDIVILSON</v>
      </c>
    </row>
    <row r="982" spans="1:14" x14ac:dyDescent="0.3">
      <c r="A982" s="9">
        <v>704417</v>
      </c>
      <c r="B982" s="9" t="s">
        <v>932</v>
      </c>
      <c r="C982" s="10" t="s">
        <v>15</v>
      </c>
      <c r="D982" s="11">
        <v>45391</v>
      </c>
      <c r="E982" s="9" t="s">
        <v>146</v>
      </c>
      <c r="F982" s="9">
        <v>39601</v>
      </c>
      <c r="G982" s="9" t="s">
        <v>660</v>
      </c>
      <c r="H982" s="9" t="s">
        <v>661</v>
      </c>
      <c r="J982" s="9" t="s">
        <v>684</v>
      </c>
      <c r="K982" s="9" t="s">
        <v>666</v>
      </c>
      <c r="L982" s="9" t="s">
        <v>258</v>
      </c>
      <c r="M982" s="9" t="s">
        <v>1392</v>
      </c>
      <c r="N982" s="9" t="str">
        <f t="shared" si="15"/>
        <v>ADALTON/JANILSON RORIZ/MARIVALDO</v>
      </c>
    </row>
    <row r="983" spans="1:14" x14ac:dyDescent="0.3">
      <c r="A983" s="9">
        <v>706015</v>
      </c>
      <c r="B983" s="9" t="s">
        <v>1745</v>
      </c>
      <c r="C983" s="10" t="s">
        <v>15</v>
      </c>
      <c r="D983" s="11">
        <v>46126</v>
      </c>
      <c r="E983" s="9" t="s">
        <v>31</v>
      </c>
      <c r="F983" s="9">
        <v>39601</v>
      </c>
      <c r="G983" s="9" t="s">
        <v>660</v>
      </c>
      <c r="H983" s="9" t="s">
        <v>661</v>
      </c>
      <c r="J983" s="9" t="s">
        <v>662</v>
      </c>
      <c r="K983" s="9" t="s">
        <v>666</v>
      </c>
      <c r="L983" s="9" t="s">
        <v>258</v>
      </c>
      <c r="N983" s="9" t="str">
        <f t="shared" si="15"/>
        <v>MATHEUS ALMEIDA</v>
      </c>
    </row>
    <row r="984" spans="1:14" x14ac:dyDescent="0.3">
      <c r="A984" s="9">
        <v>701554</v>
      </c>
      <c r="B984" s="9" t="s">
        <v>933</v>
      </c>
      <c r="C984" s="10" t="s">
        <v>15</v>
      </c>
      <c r="D984" s="11">
        <v>43959</v>
      </c>
      <c r="E984" s="9" t="s">
        <v>31</v>
      </c>
      <c r="F984" s="9">
        <v>24102</v>
      </c>
      <c r="G984" s="9" t="s">
        <v>669</v>
      </c>
      <c r="H984" s="9" t="s">
        <v>661</v>
      </c>
      <c r="J984" s="9" t="s">
        <v>680</v>
      </c>
      <c r="K984" s="9" t="s">
        <v>666</v>
      </c>
      <c r="L984" s="9" t="s">
        <v>1388</v>
      </c>
      <c r="M984" s="9" t="s">
        <v>1637</v>
      </c>
      <c r="N984" s="9" t="str">
        <f t="shared" si="15"/>
        <v>JUNIO TEIXEIRA /EDIVILSON</v>
      </c>
    </row>
    <row r="985" spans="1:14" x14ac:dyDescent="0.3">
      <c r="A985" s="9">
        <v>702673</v>
      </c>
      <c r="B985" s="9" t="s">
        <v>935</v>
      </c>
      <c r="C985" s="10" t="s">
        <v>15</v>
      </c>
      <c r="D985" s="11">
        <v>44517</v>
      </c>
      <c r="E985" s="9" t="s">
        <v>146</v>
      </c>
      <c r="F985" s="9">
        <v>39601</v>
      </c>
      <c r="G985" s="9" t="s">
        <v>660</v>
      </c>
      <c r="H985" s="9" t="s">
        <v>661</v>
      </c>
      <c r="J985" s="9" t="s">
        <v>684</v>
      </c>
      <c r="K985" s="9" t="s">
        <v>666</v>
      </c>
      <c r="L985" s="9" t="s">
        <v>258</v>
      </c>
      <c r="M985" s="9" t="s">
        <v>1392</v>
      </c>
      <c r="N985" s="9" t="str">
        <f t="shared" si="15"/>
        <v>ADALTON/JANILSON RORIZ/MARIVALDO</v>
      </c>
    </row>
    <row r="986" spans="1:14" x14ac:dyDescent="0.3">
      <c r="A986" s="9">
        <v>703717</v>
      </c>
      <c r="B986" s="9" t="s">
        <v>936</v>
      </c>
      <c r="C986" s="10" t="s">
        <v>15</v>
      </c>
      <c r="D986" s="11">
        <v>45019</v>
      </c>
      <c r="E986" s="9" t="s">
        <v>230</v>
      </c>
      <c r="F986" s="9">
        <v>38102</v>
      </c>
      <c r="G986" s="9" t="s">
        <v>725</v>
      </c>
      <c r="H986" s="9" t="s">
        <v>661</v>
      </c>
      <c r="J986" s="9" t="s">
        <v>726</v>
      </c>
      <c r="K986" s="9" t="s">
        <v>1372</v>
      </c>
      <c r="L986" s="9" t="s">
        <v>1373</v>
      </c>
      <c r="M986" s="9" t="s">
        <v>1373</v>
      </c>
      <c r="N986" s="9" t="str">
        <f t="shared" si="15"/>
        <v>DENIS ACASSIO</v>
      </c>
    </row>
    <row r="987" spans="1:14" x14ac:dyDescent="0.3">
      <c r="A987" s="9">
        <v>705123</v>
      </c>
      <c r="B987" s="9" t="s">
        <v>1149</v>
      </c>
      <c r="C987" s="10" t="s">
        <v>15</v>
      </c>
      <c r="D987" s="11">
        <v>45698</v>
      </c>
      <c r="E987" s="9" t="s">
        <v>336</v>
      </c>
      <c r="F987" s="9">
        <v>24102</v>
      </c>
      <c r="G987" s="9" t="s">
        <v>669</v>
      </c>
      <c r="H987" s="9" t="s">
        <v>661</v>
      </c>
      <c r="J987" s="9" t="s">
        <v>680</v>
      </c>
      <c r="K987" s="9" t="s">
        <v>666</v>
      </c>
      <c r="L987" s="9" t="s">
        <v>1388</v>
      </c>
      <c r="M987" s="9" t="s">
        <v>1637</v>
      </c>
      <c r="N987" s="9" t="str">
        <f t="shared" si="15"/>
        <v>JUNIO TEIXEIRA /EDIVILSON</v>
      </c>
    </row>
    <row r="988" spans="1:14" x14ac:dyDescent="0.3">
      <c r="A988" s="9">
        <v>705031</v>
      </c>
      <c r="B988" s="9" t="s">
        <v>937</v>
      </c>
      <c r="C988" s="10" t="s">
        <v>15</v>
      </c>
      <c r="D988" s="11">
        <v>45636</v>
      </c>
      <c r="E988" s="9" t="s">
        <v>31</v>
      </c>
      <c r="F988" s="9">
        <v>24201</v>
      </c>
      <c r="G988" s="9" t="s">
        <v>664</v>
      </c>
      <c r="H988" s="9" t="s">
        <v>661</v>
      </c>
      <c r="J988" s="9" t="s">
        <v>665</v>
      </c>
      <c r="K988" s="9" t="s">
        <v>666</v>
      </c>
      <c r="L988" s="9" t="s">
        <v>258</v>
      </c>
      <c r="M988" s="9" t="s">
        <v>667</v>
      </c>
      <c r="N988" s="9" t="str">
        <f t="shared" si="15"/>
        <v>JOSIEL NEVES</v>
      </c>
    </row>
    <row r="989" spans="1:14" x14ac:dyDescent="0.3">
      <c r="A989" s="9">
        <v>705388</v>
      </c>
      <c r="B989" s="9" t="s">
        <v>1261</v>
      </c>
      <c r="C989" s="10" t="s">
        <v>15</v>
      </c>
      <c r="D989" s="11">
        <v>45784</v>
      </c>
      <c r="E989" s="9" t="s">
        <v>31</v>
      </c>
      <c r="F989" s="9">
        <v>39601</v>
      </c>
      <c r="G989" s="9" t="s">
        <v>660</v>
      </c>
      <c r="H989" s="9" t="s">
        <v>661</v>
      </c>
      <c r="J989" s="9" t="s">
        <v>684</v>
      </c>
      <c r="K989" s="9" t="s">
        <v>666</v>
      </c>
      <c r="L989" s="9" t="s">
        <v>258</v>
      </c>
      <c r="M989" s="9" t="s">
        <v>1392</v>
      </c>
      <c r="N989" s="9" t="str">
        <f t="shared" si="15"/>
        <v>ADALTON/JANILSON RORIZ/MARIVALDO</v>
      </c>
    </row>
    <row r="990" spans="1:14" x14ac:dyDescent="0.3">
      <c r="A990" s="9">
        <v>705553</v>
      </c>
      <c r="B990" s="9" t="s">
        <v>1339</v>
      </c>
      <c r="C990" s="10" t="s">
        <v>15</v>
      </c>
      <c r="D990" s="11">
        <v>45874</v>
      </c>
      <c r="E990" s="9" t="s">
        <v>31</v>
      </c>
      <c r="F990" s="9">
        <v>39601</v>
      </c>
      <c r="G990" s="9" t="s">
        <v>660</v>
      </c>
      <c r="H990" s="9" t="s">
        <v>661</v>
      </c>
      <c r="J990" s="9" t="s">
        <v>684</v>
      </c>
      <c r="K990" s="9" t="s">
        <v>666</v>
      </c>
      <c r="L990" s="9" t="s">
        <v>258</v>
      </c>
      <c r="M990" s="9" t="s">
        <v>1392</v>
      </c>
      <c r="N990" s="9" t="str">
        <f t="shared" si="15"/>
        <v>ADALTON/JANILSON RORIZ/MARIVALDO</v>
      </c>
    </row>
    <row r="991" spans="1:14" x14ac:dyDescent="0.3">
      <c r="A991" s="9">
        <v>706010</v>
      </c>
      <c r="B991" s="9" t="s">
        <v>1746</v>
      </c>
      <c r="C991" s="10" t="s">
        <v>15</v>
      </c>
      <c r="D991" s="11">
        <v>46126</v>
      </c>
      <c r="E991" s="9" t="s">
        <v>31</v>
      </c>
      <c r="F991" s="9">
        <v>39601</v>
      </c>
      <c r="G991" s="9" t="s">
        <v>660</v>
      </c>
      <c r="H991" s="9" t="s">
        <v>661</v>
      </c>
      <c r="J991" s="9" t="s">
        <v>662</v>
      </c>
      <c r="K991" s="9" t="s">
        <v>666</v>
      </c>
      <c r="L991" s="9" t="s">
        <v>258</v>
      </c>
      <c r="N991" s="9" t="str">
        <f t="shared" si="15"/>
        <v>MATHEUS ALMEIDA</v>
      </c>
    </row>
    <row r="992" spans="1:14" x14ac:dyDescent="0.3">
      <c r="A992" s="9">
        <v>705869</v>
      </c>
      <c r="B992" s="9" t="s">
        <v>1586</v>
      </c>
      <c r="C992" s="10" t="s">
        <v>15</v>
      </c>
      <c r="D992" s="11">
        <v>46063</v>
      </c>
      <c r="E992" s="9" t="s">
        <v>31</v>
      </c>
      <c r="F992" s="9">
        <v>24102</v>
      </c>
      <c r="G992" s="9" t="s">
        <v>669</v>
      </c>
      <c r="H992" s="9" t="s">
        <v>661</v>
      </c>
      <c r="J992" s="9" t="s">
        <v>672</v>
      </c>
      <c r="K992" s="9" t="s">
        <v>666</v>
      </c>
      <c r="L992" s="9" t="s">
        <v>1388</v>
      </c>
      <c r="M992" s="9" t="s">
        <v>1637</v>
      </c>
      <c r="N992" s="9" t="str">
        <f t="shared" si="15"/>
        <v>JUNIO TEIXEIRA /EDIVILSON</v>
      </c>
    </row>
    <row r="993" spans="1:14" x14ac:dyDescent="0.3">
      <c r="A993" s="9">
        <v>704248</v>
      </c>
      <c r="B993" s="9" t="s">
        <v>938</v>
      </c>
      <c r="C993" s="10" t="s">
        <v>15</v>
      </c>
      <c r="D993" s="11">
        <v>45342</v>
      </c>
      <c r="E993" s="9" t="s">
        <v>31</v>
      </c>
      <c r="F993" s="9">
        <v>24102</v>
      </c>
      <c r="G993" s="9" t="s">
        <v>669</v>
      </c>
      <c r="H993" s="9" t="s">
        <v>661</v>
      </c>
      <c r="J993" s="9" t="s">
        <v>680</v>
      </c>
      <c r="K993" s="9" t="s">
        <v>666</v>
      </c>
      <c r="L993" s="9" t="s">
        <v>1388</v>
      </c>
      <c r="M993" s="9" t="s">
        <v>1637</v>
      </c>
      <c r="N993" s="9" t="str">
        <f t="shared" si="15"/>
        <v>JUNIO TEIXEIRA /EDIVILSON</v>
      </c>
    </row>
    <row r="994" spans="1:14" x14ac:dyDescent="0.3">
      <c r="A994" s="9">
        <v>701353</v>
      </c>
      <c r="B994" s="9" t="s">
        <v>413</v>
      </c>
      <c r="C994" s="10" t="s">
        <v>15</v>
      </c>
      <c r="D994" s="11">
        <v>43759</v>
      </c>
      <c r="E994" s="9" t="s">
        <v>166</v>
      </c>
      <c r="F994" s="9">
        <v>24102</v>
      </c>
      <c r="G994" s="9" t="s">
        <v>669</v>
      </c>
      <c r="H994" s="9" t="s">
        <v>661</v>
      </c>
      <c r="J994" s="9" t="s">
        <v>697</v>
      </c>
      <c r="K994" s="9" t="s">
        <v>666</v>
      </c>
      <c r="L994" s="9" t="s">
        <v>1390</v>
      </c>
      <c r="M994" s="9" t="s">
        <v>1391</v>
      </c>
      <c r="N994" s="9" t="str">
        <f t="shared" si="15"/>
        <v>ALCENO JUNIOR/JOÃO MARCOS</v>
      </c>
    </row>
    <row r="995" spans="1:14" x14ac:dyDescent="0.3">
      <c r="A995" s="9">
        <v>703934</v>
      </c>
      <c r="B995" s="9" t="s">
        <v>939</v>
      </c>
      <c r="C995" s="10" t="s">
        <v>15</v>
      </c>
      <c r="D995" s="11">
        <v>45089</v>
      </c>
      <c r="E995" s="9" t="s">
        <v>60</v>
      </c>
      <c r="F995" s="9">
        <v>39601</v>
      </c>
      <c r="G995" s="9" t="s">
        <v>660</v>
      </c>
      <c r="H995" s="9" t="s">
        <v>661</v>
      </c>
      <c r="J995" s="9" t="s">
        <v>684</v>
      </c>
      <c r="K995" s="9" t="s">
        <v>666</v>
      </c>
      <c r="L995" s="9" t="s">
        <v>258</v>
      </c>
      <c r="M995" s="9" t="s">
        <v>1392</v>
      </c>
      <c r="N995" s="9" t="str">
        <f t="shared" si="15"/>
        <v>ADALTON/JANILSON RORIZ/MARIVALDO</v>
      </c>
    </row>
    <row r="996" spans="1:14" x14ac:dyDescent="0.3">
      <c r="A996" s="9">
        <v>701381</v>
      </c>
      <c r="B996" s="9" t="s">
        <v>940</v>
      </c>
      <c r="C996" s="10" t="s">
        <v>15</v>
      </c>
      <c r="D996" s="11">
        <v>43759</v>
      </c>
      <c r="E996" s="9" t="s">
        <v>160</v>
      </c>
      <c r="F996" s="9">
        <v>32102</v>
      </c>
      <c r="G996" s="9" t="s">
        <v>674</v>
      </c>
      <c r="H996" s="9" t="s">
        <v>661</v>
      </c>
      <c r="J996" s="9" t="s">
        <v>675</v>
      </c>
      <c r="K996" s="9" t="s">
        <v>25</v>
      </c>
      <c r="L996" s="9" t="s">
        <v>1369</v>
      </c>
      <c r="M996" s="9" t="s">
        <v>1638</v>
      </c>
      <c r="N996" s="9" t="str">
        <f t="shared" si="15"/>
        <v>EDIVILSON MENEZES</v>
      </c>
    </row>
    <row r="997" spans="1:14" x14ac:dyDescent="0.3">
      <c r="A997" s="9">
        <v>101931</v>
      </c>
      <c r="B997" s="9" t="s">
        <v>416</v>
      </c>
      <c r="C997" s="10" t="s">
        <v>15</v>
      </c>
      <c r="D997" s="11">
        <v>41143</v>
      </c>
      <c r="E997" s="9" t="s">
        <v>794</v>
      </c>
      <c r="F997" s="9">
        <v>39602</v>
      </c>
      <c r="G997" s="9" t="s">
        <v>699</v>
      </c>
      <c r="H997" s="9" t="s">
        <v>661</v>
      </c>
      <c r="J997" s="9" t="s">
        <v>700</v>
      </c>
      <c r="K997" s="9" t="s">
        <v>666</v>
      </c>
      <c r="L997" s="9" t="s">
        <v>258</v>
      </c>
      <c r="M997" s="9" t="s">
        <v>701</v>
      </c>
      <c r="N997" s="9" t="str">
        <f t="shared" si="15"/>
        <v>IURY GUEDES</v>
      </c>
    </row>
    <row r="998" spans="1:14" x14ac:dyDescent="0.3">
      <c r="A998" s="9">
        <v>704437</v>
      </c>
      <c r="B998" s="9" t="s">
        <v>941</v>
      </c>
      <c r="C998" s="10" t="s">
        <v>15</v>
      </c>
      <c r="D998" s="11">
        <v>45419</v>
      </c>
      <c r="E998" s="9" t="s">
        <v>31</v>
      </c>
      <c r="F998" s="9">
        <v>38102</v>
      </c>
      <c r="G998" s="9" t="s">
        <v>725</v>
      </c>
      <c r="H998" s="9" t="s">
        <v>661</v>
      </c>
      <c r="J998" s="9" t="s">
        <v>726</v>
      </c>
      <c r="K998" s="9" t="s">
        <v>1372</v>
      </c>
      <c r="L998" s="9" t="s">
        <v>1373</v>
      </c>
      <c r="M998" s="9" t="s">
        <v>1373</v>
      </c>
      <c r="N998" s="9" t="str">
        <f t="shared" si="15"/>
        <v>DENIS ACASSIO</v>
      </c>
    </row>
    <row r="999" spans="1:14" x14ac:dyDescent="0.3">
      <c r="A999" s="9">
        <v>701567</v>
      </c>
      <c r="B999" s="9" t="s">
        <v>942</v>
      </c>
      <c r="C999" s="10" t="s">
        <v>15</v>
      </c>
      <c r="D999" s="11">
        <v>43969</v>
      </c>
      <c r="E999" s="9" t="s">
        <v>146</v>
      </c>
      <c r="F999" s="9">
        <v>39601</v>
      </c>
      <c r="G999" s="9" t="s">
        <v>660</v>
      </c>
      <c r="H999" s="9" t="s">
        <v>661</v>
      </c>
      <c r="J999" s="9" t="s">
        <v>684</v>
      </c>
      <c r="K999" s="9" t="s">
        <v>666</v>
      </c>
      <c r="L999" s="9" t="s">
        <v>258</v>
      </c>
      <c r="M999" s="9" t="s">
        <v>1392</v>
      </c>
      <c r="N999" s="9" t="str">
        <f t="shared" si="15"/>
        <v>ADALTON/JANILSON RORIZ/MARIVALDO</v>
      </c>
    </row>
    <row r="1000" spans="1:14" x14ac:dyDescent="0.3">
      <c r="A1000" s="9">
        <v>100808</v>
      </c>
      <c r="B1000" s="9" t="s">
        <v>944</v>
      </c>
      <c r="C1000" s="10" t="s">
        <v>15</v>
      </c>
      <c r="D1000" s="11">
        <v>42303</v>
      </c>
      <c r="E1000" s="9" t="s">
        <v>734</v>
      </c>
      <c r="F1000" s="9">
        <v>24201</v>
      </c>
      <c r="G1000" s="9" t="s">
        <v>664</v>
      </c>
      <c r="H1000" s="9" t="s">
        <v>661</v>
      </c>
      <c r="J1000" s="9" t="s">
        <v>665</v>
      </c>
      <c r="K1000" s="9" t="s">
        <v>666</v>
      </c>
      <c r="L1000" s="9" t="s">
        <v>258</v>
      </c>
      <c r="M1000" s="9" t="s">
        <v>667</v>
      </c>
      <c r="N1000" s="9" t="str">
        <f t="shared" si="15"/>
        <v>JOSIEL NEVES</v>
      </c>
    </row>
    <row r="1001" spans="1:14" x14ac:dyDescent="0.3">
      <c r="A1001" s="9">
        <v>706047</v>
      </c>
      <c r="B1001" s="9" t="s">
        <v>1747</v>
      </c>
      <c r="C1001" s="10" t="s">
        <v>15</v>
      </c>
      <c r="D1001" s="11">
        <v>46126</v>
      </c>
      <c r="E1001" s="9" t="s">
        <v>31</v>
      </c>
      <c r="F1001" s="9">
        <v>39601</v>
      </c>
      <c r="G1001" s="9" t="s">
        <v>660</v>
      </c>
      <c r="H1001" s="9" t="s">
        <v>661</v>
      </c>
      <c r="J1001" s="9" t="s">
        <v>662</v>
      </c>
      <c r="K1001" s="9" t="s">
        <v>666</v>
      </c>
      <c r="L1001" s="9" t="s">
        <v>258</v>
      </c>
      <c r="N1001" s="9" t="str">
        <f t="shared" si="15"/>
        <v>MATHEUS ALMEIDA</v>
      </c>
    </row>
    <row r="1002" spans="1:14" x14ac:dyDescent="0.3">
      <c r="A1002" s="9">
        <v>703530</v>
      </c>
      <c r="B1002" s="9" t="s">
        <v>945</v>
      </c>
      <c r="C1002" s="10" t="s">
        <v>15</v>
      </c>
      <c r="D1002" s="11">
        <v>44907</v>
      </c>
      <c r="E1002" s="9" t="s">
        <v>146</v>
      </c>
      <c r="F1002" s="9">
        <v>24102</v>
      </c>
      <c r="G1002" s="9" t="s">
        <v>669</v>
      </c>
      <c r="H1002" s="9" t="s">
        <v>661</v>
      </c>
      <c r="J1002" s="9" t="s">
        <v>804</v>
      </c>
      <c r="K1002" s="9" t="s">
        <v>666</v>
      </c>
      <c r="M1002" s="9" t="s">
        <v>805</v>
      </c>
      <c r="N1002" s="9" t="str">
        <f t="shared" si="15"/>
        <v>JAILSON RORIZ</v>
      </c>
    </row>
    <row r="1003" spans="1:14" x14ac:dyDescent="0.3">
      <c r="A1003" s="9">
        <v>703552</v>
      </c>
      <c r="B1003" s="9" t="s">
        <v>946</v>
      </c>
      <c r="C1003" s="10" t="s">
        <v>15</v>
      </c>
      <c r="D1003" s="11">
        <v>44935</v>
      </c>
      <c r="E1003" s="9" t="s">
        <v>255</v>
      </c>
      <c r="F1003" s="9">
        <v>24102</v>
      </c>
      <c r="G1003" s="9" t="s">
        <v>669</v>
      </c>
      <c r="H1003" s="9" t="s">
        <v>661</v>
      </c>
      <c r="J1003" s="9" t="s">
        <v>680</v>
      </c>
      <c r="K1003" s="9" t="s">
        <v>666</v>
      </c>
      <c r="L1003" s="9" t="s">
        <v>1388</v>
      </c>
      <c r="M1003" s="9" t="s">
        <v>1637</v>
      </c>
      <c r="N1003" s="9" t="str">
        <f t="shared" si="15"/>
        <v>JUNIO TEIXEIRA /EDIVILSON</v>
      </c>
    </row>
    <row r="1004" spans="1:14" x14ac:dyDescent="0.3">
      <c r="A1004" s="9">
        <v>705867</v>
      </c>
      <c r="B1004" s="9" t="s">
        <v>1587</v>
      </c>
      <c r="C1004" s="10" t="s">
        <v>15</v>
      </c>
      <c r="D1004" s="11">
        <v>46063</v>
      </c>
      <c r="E1004" s="9" t="s">
        <v>31</v>
      </c>
      <c r="F1004" s="9">
        <v>24102</v>
      </c>
      <c r="G1004" s="9" t="s">
        <v>669</v>
      </c>
      <c r="H1004" s="9" t="s">
        <v>661</v>
      </c>
      <c r="J1004" s="9" t="s">
        <v>672</v>
      </c>
      <c r="K1004" s="9" t="s">
        <v>666</v>
      </c>
      <c r="L1004" s="9" t="s">
        <v>1388</v>
      </c>
      <c r="M1004" s="9" t="s">
        <v>1637</v>
      </c>
      <c r="N1004" s="9" t="str">
        <f t="shared" si="15"/>
        <v>JUNIO TEIXEIRA /EDIVILSON</v>
      </c>
    </row>
    <row r="1005" spans="1:14" x14ac:dyDescent="0.3">
      <c r="A1005" s="9">
        <v>705994</v>
      </c>
      <c r="B1005" s="9" t="s">
        <v>1748</v>
      </c>
      <c r="C1005" s="10" t="s">
        <v>15</v>
      </c>
      <c r="D1005" s="11">
        <v>46119</v>
      </c>
      <c r="E1005" s="9" t="s">
        <v>31</v>
      </c>
      <c r="F1005" s="9">
        <v>24102</v>
      </c>
      <c r="G1005" s="9" t="s">
        <v>669</v>
      </c>
      <c r="H1005" s="9" t="s">
        <v>661</v>
      </c>
      <c r="J1005" s="9" t="s">
        <v>670</v>
      </c>
      <c r="K1005" s="9" t="s">
        <v>666</v>
      </c>
      <c r="L1005" s="9" t="s">
        <v>1388</v>
      </c>
      <c r="M1005" s="9" t="s">
        <v>1637</v>
      </c>
      <c r="N1005" s="9" t="str">
        <f t="shared" si="15"/>
        <v>JUNIO TEIXEIRA /EDIVILSON</v>
      </c>
    </row>
    <row r="1006" spans="1:14" x14ac:dyDescent="0.3">
      <c r="A1006" s="9">
        <v>703553</v>
      </c>
      <c r="B1006" s="9" t="s">
        <v>948</v>
      </c>
      <c r="C1006" s="10" t="s">
        <v>15</v>
      </c>
      <c r="D1006" s="11">
        <v>44935</v>
      </c>
      <c r="E1006" s="9" t="s">
        <v>138</v>
      </c>
      <c r="F1006" s="9">
        <v>24102</v>
      </c>
      <c r="G1006" s="9" t="s">
        <v>669</v>
      </c>
      <c r="H1006" s="9" t="s">
        <v>661</v>
      </c>
      <c r="J1006" s="9" t="s">
        <v>682</v>
      </c>
      <c r="K1006" s="9" t="s">
        <v>666</v>
      </c>
      <c r="L1006" s="9" t="s">
        <v>1390</v>
      </c>
      <c r="M1006" s="9" t="s">
        <v>1391</v>
      </c>
      <c r="N1006" s="9" t="str">
        <f t="shared" si="15"/>
        <v>ALCENO JUNIOR/JOÃO MARCOS</v>
      </c>
    </row>
    <row r="1007" spans="1:14" x14ac:dyDescent="0.3">
      <c r="A1007" s="9">
        <v>705174</v>
      </c>
      <c r="B1007" s="9" t="s">
        <v>1174</v>
      </c>
      <c r="C1007" s="10" t="s">
        <v>15</v>
      </c>
      <c r="D1007" s="11">
        <v>45726</v>
      </c>
      <c r="E1007" s="9" t="s">
        <v>138</v>
      </c>
      <c r="F1007" s="9">
        <v>24102</v>
      </c>
      <c r="G1007" s="9" t="s">
        <v>669</v>
      </c>
      <c r="H1007" s="9" t="s">
        <v>661</v>
      </c>
      <c r="J1007" s="9" t="s">
        <v>697</v>
      </c>
      <c r="K1007" s="9" t="s">
        <v>666</v>
      </c>
      <c r="L1007" s="9" t="s">
        <v>1390</v>
      </c>
      <c r="M1007" s="9" t="s">
        <v>1391</v>
      </c>
      <c r="N1007" s="9" t="str">
        <f t="shared" si="15"/>
        <v>ALCENO JUNIOR/JOÃO MARCOS</v>
      </c>
    </row>
    <row r="1008" spans="1:14" x14ac:dyDescent="0.3">
      <c r="A1008" s="9">
        <v>703422</v>
      </c>
      <c r="B1008" s="9" t="s">
        <v>949</v>
      </c>
      <c r="C1008" s="10" t="s">
        <v>15</v>
      </c>
      <c r="D1008" s="11">
        <v>44873</v>
      </c>
      <c r="E1008" s="9" t="s">
        <v>16</v>
      </c>
      <c r="F1008" s="9">
        <v>24102</v>
      </c>
      <c r="G1008" s="9" t="s">
        <v>669</v>
      </c>
      <c r="H1008" s="9" t="s">
        <v>661</v>
      </c>
      <c r="J1008" s="9" t="s">
        <v>682</v>
      </c>
      <c r="K1008" s="9" t="s">
        <v>666</v>
      </c>
      <c r="L1008" s="9" t="s">
        <v>1390</v>
      </c>
      <c r="M1008" s="9" t="s">
        <v>1391</v>
      </c>
      <c r="N1008" s="9" t="str">
        <f t="shared" si="15"/>
        <v>ALCENO JUNIOR/JOÃO MARCOS</v>
      </c>
    </row>
    <row r="1009" spans="1:14" x14ac:dyDescent="0.3">
      <c r="A1009" s="9">
        <v>704315</v>
      </c>
      <c r="B1009" s="9" t="s">
        <v>951</v>
      </c>
      <c r="C1009" s="10" t="s">
        <v>15</v>
      </c>
      <c r="D1009" s="11">
        <v>45356</v>
      </c>
      <c r="E1009" s="9" t="s">
        <v>31</v>
      </c>
      <c r="F1009" s="9">
        <v>24102</v>
      </c>
      <c r="G1009" s="9" t="s">
        <v>669</v>
      </c>
      <c r="H1009" s="9" t="s">
        <v>661</v>
      </c>
      <c r="J1009" s="9" t="s">
        <v>682</v>
      </c>
      <c r="K1009" s="9" t="s">
        <v>666</v>
      </c>
      <c r="L1009" s="9" t="s">
        <v>1390</v>
      </c>
      <c r="M1009" s="9" t="s">
        <v>1391</v>
      </c>
      <c r="N1009" s="9" t="str">
        <f t="shared" si="15"/>
        <v>ALCENO JUNIOR/JOÃO MARCOS</v>
      </c>
    </row>
    <row r="1010" spans="1:14" x14ac:dyDescent="0.3">
      <c r="A1010" s="9">
        <v>702385</v>
      </c>
      <c r="B1010" s="9" t="s">
        <v>952</v>
      </c>
      <c r="C1010" s="10" t="s">
        <v>15</v>
      </c>
      <c r="D1010" s="11">
        <v>44369</v>
      </c>
      <c r="E1010" s="9" t="s">
        <v>109</v>
      </c>
      <c r="F1010" s="9">
        <v>32102</v>
      </c>
      <c r="G1010" s="9" t="s">
        <v>674</v>
      </c>
      <c r="H1010" s="9" t="s">
        <v>661</v>
      </c>
      <c r="J1010" s="9" t="s">
        <v>675</v>
      </c>
      <c r="K1010" s="9" t="s">
        <v>25</v>
      </c>
      <c r="L1010" s="9" t="s">
        <v>1369</v>
      </c>
      <c r="M1010" s="9" t="s">
        <v>1638</v>
      </c>
      <c r="N1010" s="9" t="str">
        <f t="shared" si="15"/>
        <v>EDIVILSON MENEZES</v>
      </c>
    </row>
    <row r="1011" spans="1:14" x14ac:dyDescent="0.3">
      <c r="A1011" s="9">
        <v>704398</v>
      </c>
      <c r="B1011" s="9" t="s">
        <v>953</v>
      </c>
      <c r="C1011" s="10" t="s">
        <v>15</v>
      </c>
      <c r="D1011" s="11">
        <v>45391</v>
      </c>
      <c r="E1011" s="9" t="s">
        <v>371</v>
      </c>
      <c r="F1011" s="9">
        <v>39601</v>
      </c>
      <c r="G1011" s="9" t="s">
        <v>660</v>
      </c>
      <c r="H1011" s="9" t="s">
        <v>661</v>
      </c>
      <c r="J1011" s="9" t="s">
        <v>662</v>
      </c>
      <c r="K1011" s="9" t="s">
        <v>666</v>
      </c>
      <c r="L1011" s="9" t="s">
        <v>258</v>
      </c>
      <c r="N1011" s="9" t="str">
        <f t="shared" si="15"/>
        <v>MATHEUS ALMEIDA</v>
      </c>
    </row>
    <row r="1012" spans="1:14" x14ac:dyDescent="0.3">
      <c r="A1012" s="9">
        <v>704014</v>
      </c>
      <c r="B1012" s="9" t="s">
        <v>954</v>
      </c>
      <c r="C1012" s="10" t="s">
        <v>15</v>
      </c>
      <c r="D1012" s="11">
        <v>45146</v>
      </c>
      <c r="E1012" s="9" t="s">
        <v>60</v>
      </c>
      <c r="F1012" s="9">
        <v>39601</v>
      </c>
      <c r="G1012" s="9" t="s">
        <v>660</v>
      </c>
      <c r="H1012" s="9" t="s">
        <v>661</v>
      </c>
      <c r="J1012" s="9" t="s">
        <v>684</v>
      </c>
      <c r="K1012" s="9" t="s">
        <v>666</v>
      </c>
      <c r="L1012" s="9" t="s">
        <v>258</v>
      </c>
      <c r="M1012" s="9" t="s">
        <v>1392</v>
      </c>
      <c r="N1012" s="9" t="str">
        <f t="shared" si="15"/>
        <v>ADALTON/JANILSON RORIZ/MARIVALDO</v>
      </c>
    </row>
    <row r="1013" spans="1:14" x14ac:dyDescent="0.3">
      <c r="A1013" s="9">
        <v>702992</v>
      </c>
      <c r="B1013" s="9" t="s">
        <v>955</v>
      </c>
      <c r="C1013" s="10" t="s">
        <v>15</v>
      </c>
      <c r="D1013" s="11">
        <v>44691</v>
      </c>
      <c r="E1013" s="9" t="s">
        <v>507</v>
      </c>
      <c r="F1013" s="9">
        <v>24201</v>
      </c>
      <c r="G1013" s="9" t="s">
        <v>664</v>
      </c>
      <c r="H1013" s="9" t="s">
        <v>661</v>
      </c>
      <c r="J1013" s="9" t="s">
        <v>665</v>
      </c>
      <c r="K1013" s="9" t="s">
        <v>666</v>
      </c>
      <c r="L1013" s="9" t="s">
        <v>258</v>
      </c>
      <c r="M1013" s="9" t="s">
        <v>667</v>
      </c>
      <c r="N1013" s="9" t="str">
        <f t="shared" si="15"/>
        <v>JOSIEL NEVES</v>
      </c>
    </row>
    <row r="1014" spans="1:14" x14ac:dyDescent="0.3">
      <c r="A1014" s="9">
        <v>704575</v>
      </c>
      <c r="B1014" s="9" t="s">
        <v>956</v>
      </c>
      <c r="C1014" s="10" t="s">
        <v>15</v>
      </c>
      <c r="D1014" s="11">
        <v>45448</v>
      </c>
      <c r="E1014" s="9" t="s">
        <v>427</v>
      </c>
      <c r="F1014" s="9">
        <v>39602</v>
      </c>
      <c r="G1014" s="9" t="s">
        <v>699</v>
      </c>
      <c r="H1014" s="9" t="s">
        <v>661</v>
      </c>
      <c r="J1014" s="9" t="s">
        <v>700</v>
      </c>
      <c r="K1014" s="9" t="s">
        <v>666</v>
      </c>
      <c r="L1014" s="9" t="s">
        <v>258</v>
      </c>
      <c r="M1014" s="9" t="s">
        <v>701</v>
      </c>
      <c r="N1014" s="9" t="str">
        <f t="shared" si="15"/>
        <v>IURY GUEDES</v>
      </c>
    </row>
    <row r="1015" spans="1:14" x14ac:dyDescent="0.3">
      <c r="A1015" s="9">
        <v>702818</v>
      </c>
      <c r="B1015" s="9" t="s">
        <v>957</v>
      </c>
      <c r="C1015" s="10" t="s">
        <v>15</v>
      </c>
      <c r="D1015" s="11">
        <v>44614</v>
      </c>
      <c r="E1015" s="9" t="s">
        <v>31</v>
      </c>
      <c r="F1015" s="9">
        <v>24102</v>
      </c>
      <c r="G1015" s="9" t="s">
        <v>669</v>
      </c>
      <c r="H1015" s="9" t="s">
        <v>661</v>
      </c>
      <c r="J1015" s="9" t="s">
        <v>672</v>
      </c>
      <c r="K1015" s="9" t="s">
        <v>666</v>
      </c>
      <c r="L1015" s="9" t="s">
        <v>1388</v>
      </c>
      <c r="M1015" s="9" t="s">
        <v>1637</v>
      </c>
      <c r="N1015" s="9" t="str">
        <f t="shared" si="15"/>
        <v>JUNIO TEIXEIRA /EDIVILSON</v>
      </c>
    </row>
    <row r="1016" spans="1:14" x14ac:dyDescent="0.3">
      <c r="A1016" s="9">
        <v>101714</v>
      </c>
      <c r="B1016" s="9" t="s">
        <v>958</v>
      </c>
      <c r="C1016" s="10" t="s">
        <v>15</v>
      </c>
      <c r="D1016" s="11">
        <v>43060</v>
      </c>
      <c r="E1016" s="9" t="s">
        <v>219</v>
      </c>
      <c r="F1016" s="9">
        <v>32102</v>
      </c>
      <c r="G1016" s="9" t="s">
        <v>674</v>
      </c>
      <c r="H1016" s="9" t="s">
        <v>661</v>
      </c>
      <c r="J1016" s="9" t="s">
        <v>675</v>
      </c>
      <c r="K1016" s="9" t="s">
        <v>25</v>
      </c>
      <c r="L1016" s="9" t="s">
        <v>1369</v>
      </c>
      <c r="M1016" s="9" t="s">
        <v>1638</v>
      </c>
      <c r="N1016" s="9" t="str">
        <f t="shared" si="15"/>
        <v>EDIVILSON MENEZES</v>
      </c>
    </row>
    <row r="1017" spans="1:14" x14ac:dyDescent="0.3">
      <c r="A1017" s="9">
        <v>703631</v>
      </c>
      <c r="B1017" s="9" t="s">
        <v>960</v>
      </c>
      <c r="C1017" s="10" t="s">
        <v>15</v>
      </c>
      <c r="D1017" s="11">
        <v>44991</v>
      </c>
      <c r="E1017" s="9" t="s">
        <v>60</v>
      </c>
      <c r="F1017" s="9">
        <v>24102</v>
      </c>
      <c r="G1017" s="9" t="s">
        <v>669</v>
      </c>
      <c r="H1017" s="9" t="s">
        <v>661</v>
      </c>
      <c r="J1017" s="9" t="s">
        <v>697</v>
      </c>
      <c r="K1017" s="9" t="s">
        <v>666</v>
      </c>
      <c r="L1017" s="9" t="s">
        <v>1390</v>
      </c>
      <c r="M1017" s="9" t="s">
        <v>1391</v>
      </c>
      <c r="N1017" s="9" t="str">
        <f t="shared" si="15"/>
        <v>ALCENO JUNIOR/JOÃO MARCOS</v>
      </c>
    </row>
    <row r="1018" spans="1:14" x14ac:dyDescent="0.3">
      <c r="A1018" s="9">
        <v>705267</v>
      </c>
      <c r="B1018" s="9" t="s">
        <v>1201</v>
      </c>
      <c r="C1018" s="10" t="s">
        <v>15</v>
      </c>
      <c r="D1018" s="11">
        <v>45762</v>
      </c>
      <c r="E1018" s="9" t="s">
        <v>31</v>
      </c>
      <c r="F1018" s="9">
        <v>24102</v>
      </c>
      <c r="G1018" s="9" t="s">
        <v>669</v>
      </c>
      <c r="H1018" s="9" t="s">
        <v>661</v>
      </c>
      <c r="J1018" s="9" t="s">
        <v>670</v>
      </c>
      <c r="K1018" s="9" t="s">
        <v>666</v>
      </c>
      <c r="L1018" s="9" t="s">
        <v>1388</v>
      </c>
      <c r="M1018" s="9" t="s">
        <v>1637</v>
      </c>
      <c r="N1018" s="9" t="str">
        <f t="shared" si="15"/>
        <v>JUNIO TEIXEIRA /EDIVILSON</v>
      </c>
    </row>
    <row r="1019" spans="1:14" x14ac:dyDescent="0.3">
      <c r="A1019" s="9">
        <v>704508</v>
      </c>
      <c r="B1019" s="9" t="s">
        <v>961</v>
      </c>
      <c r="C1019" s="10" t="s">
        <v>15</v>
      </c>
      <c r="D1019" s="11">
        <v>45419</v>
      </c>
      <c r="E1019" s="9" t="s">
        <v>129</v>
      </c>
      <c r="F1019" s="9">
        <v>31103</v>
      </c>
      <c r="G1019" s="9" t="s">
        <v>718</v>
      </c>
      <c r="H1019" s="9" t="s">
        <v>661</v>
      </c>
      <c r="J1019" s="9" t="s">
        <v>719</v>
      </c>
      <c r="K1019" s="9" t="s">
        <v>1381</v>
      </c>
      <c r="N1019" s="9" t="str">
        <f t="shared" si="15"/>
        <v>MARCOS OLIVEIRA</v>
      </c>
    </row>
    <row r="1020" spans="1:14" x14ac:dyDescent="0.3">
      <c r="A1020" s="9">
        <v>703790</v>
      </c>
      <c r="B1020" s="9" t="s">
        <v>962</v>
      </c>
      <c r="C1020" s="10" t="s">
        <v>15</v>
      </c>
      <c r="D1020" s="11">
        <v>45019</v>
      </c>
      <c r="E1020" s="9" t="s">
        <v>371</v>
      </c>
      <c r="F1020" s="9">
        <v>39601</v>
      </c>
      <c r="G1020" s="9" t="s">
        <v>660</v>
      </c>
      <c r="H1020" s="9" t="s">
        <v>661</v>
      </c>
      <c r="J1020" s="9" t="s">
        <v>662</v>
      </c>
      <c r="K1020" s="9" t="s">
        <v>666</v>
      </c>
      <c r="L1020" s="9" t="s">
        <v>258</v>
      </c>
      <c r="N1020" s="9" t="str">
        <f t="shared" si="15"/>
        <v>MATHEUS ALMEIDA</v>
      </c>
    </row>
    <row r="1021" spans="1:14" x14ac:dyDescent="0.3">
      <c r="A1021" s="9">
        <v>703554</v>
      </c>
      <c r="B1021" s="9" t="s">
        <v>963</v>
      </c>
      <c r="C1021" s="10" t="s">
        <v>15</v>
      </c>
      <c r="D1021" s="11">
        <v>44935</v>
      </c>
      <c r="E1021" s="9" t="s">
        <v>146</v>
      </c>
      <c r="F1021" s="9">
        <v>24201</v>
      </c>
      <c r="G1021" s="9" t="s">
        <v>664</v>
      </c>
      <c r="H1021" s="9" t="s">
        <v>661</v>
      </c>
      <c r="J1021" s="9" t="s">
        <v>665</v>
      </c>
      <c r="K1021" s="9" t="s">
        <v>666</v>
      </c>
      <c r="L1021" s="9" t="s">
        <v>258</v>
      </c>
      <c r="M1021" s="9" t="s">
        <v>667</v>
      </c>
      <c r="N1021" s="9" t="str">
        <f t="shared" si="15"/>
        <v>JOSIEL NEVES</v>
      </c>
    </row>
    <row r="1022" spans="1:14" x14ac:dyDescent="0.3">
      <c r="A1022" s="9">
        <v>705297</v>
      </c>
      <c r="B1022" s="9" t="s">
        <v>1202</v>
      </c>
      <c r="C1022" s="10" t="s">
        <v>15</v>
      </c>
      <c r="D1022" s="11">
        <v>45762</v>
      </c>
      <c r="E1022" s="9" t="s">
        <v>31</v>
      </c>
      <c r="F1022" s="9">
        <v>39601</v>
      </c>
      <c r="G1022" s="9" t="s">
        <v>660</v>
      </c>
      <c r="H1022" s="9" t="s">
        <v>661</v>
      </c>
      <c r="J1022" s="9" t="s">
        <v>684</v>
      </c>
      <c r="K1022" s="9" t="s">
        <v>666</v>
      </c>
      <c r="L1022" s="9" t="s">
        <v>258</v>
      </c>
      <c r="M1022" s="9" t="s">
        <v>1392</v>
      </c>
      <c r="N1022" s="9" t="str">
        <f t="shared" si="15"/>
        <v>ADALTON/JANILSON RORIZ/MARIVALDO</v>
      </c>
    </row>
    <row r="1023" spans="1:14" x14ac:dyDescent="0.3">
      <c r="A1023" s="9">
        <v>705295</v>
      </c>
      <c r="B1023" s="9" t="s">
        <v>1203</v>
      </c>
      <c r="C1023" s="10" t="s">
        <v>15</v>
      </c>
      <c r="D1023" s="11">
        <v>45762</v>
      </c>
      <c r="E1023" s="9" t="s">
        <v>31</v>
      </c>
      <c r="F1023" s="9">
        <v>39601</v>
      </c>
      <c r="G1023" s="9" t="s">
        <v>660</v>
      </c>
      <c r="H1023" s="9" t="s">
        <v>661</v>
      </c>
      <c r="J1023" s="9" t="s">
        <v>684</v>
      </c>
      <c r="K1023" s="9" t="s">
        <v>666</v>
      </c>
      <c r="L1023" s="9" t="s">
        <v>258</v>
      </c>
      <c r="M1023" s="9" t="s">
        <v>1392</v>
      </c>
      <c r="N1023" s="9" t="str">
        <f t="shared" si="15"/>
        <v>ADALTON/JANILSON RORIZ/MARIVALDO</v>
      </c>
    </row>
    <row r="1024" spans="1:14" x14ac:dyDescent="0.3">
      <c r="A1024" s="9">
        <v>705936</v>
      </c>
      <c r="B1024" s="9" t="s">
        <v>1749</v>
      </c>
      <c r="C1024" s="10" t="s">
        <v>15</v>
      </c>
      <c r="D1024" s="11">
        <v>46119</v>
      </c>
      <c r="E1024" s="9" t="s">
        <v>77</v>
      </c>
      <c r="F1024" s="9">
        <v>38108</v>
      </c>
      <c r="G1024" s="9" t="s">
        <v>1698</v>
      </c>
      <c r="H1024" s="9" t="s">
        <v>661</v>
      </c>
      <c r="J1024" s="9" t="s">
        <v>78</v>
      </c>
      <c r="K1024" s="9" t="s">
        <v>1372</v>
      </c>
      <c r="N1024" s="9" t="str">
        <f t="shared" si="15"/>
        <v xml:space="preserve">LEIDJANE MARTINS </v>
      </c>
    </row>
    <row r="1025" spans="1:14" x14ac:dyDescent="0.3">
      <c r="A1025" s="9">
        <v>706030</v>
      </c>
      <c r="B1025" s="9" t="s">
        <v>1750</v>
      </c>
      <c r="C1025" s="10" t="s">
        <v>15</v>
      </c>
      <c r="D1025" s="11">
        <v>46126</v>
      </c>
      <c r="E1025" s="9" t="s">
        <v>31</v>
      </c>
      <c r="F1025" s="9">
        <v>39601</v>
      </c>
      <c r="G1025" s="9" t="s">
        <v>660</v>
      </c>
      <c r="H1025" s="9" t="s">
        <v>661</v>
      </c>
      <c r="J1025" s="9" t="s">
        <v>662</v>
      </c>
      <c r="K1025" s="9" t="s">
        <v>666</v>
      </c>
      <c r="L1025" s="9" t="s">
        <v>258</v>
      </c>
      <c r="N1025" s="9" t="str">
        <f t="shared" si="15"/>
        <v>MATHEUS ALMEIDA</v>
      </c>
    </row>
    <row r="1026" spans="1:14" x14ac:dyDescent="0.3">
      <c r="A1026" s="9">
        <v>703655</v>
      </c>
      <c r="B1026" s="9" t="s">
        <v>964</v>
      </c>
      <c r="C1026" s="10" t="s">
        <v>15</v>
      </c>
      <c r="D1026" s="11">
        <v>44998</v>
      </c>
      <c r="E1026" s="9" t="s">
        <v>31</v>
      </c>
      <c r="F1026" s="9">
        <v>24102</v>
      </c>
      <c r="G1026" s="9" t="s">
        <v>669</v>
      </c>
      <c r="H1026" s="9" t="s">
        <v>661</v>
      </c>
      <c r="J1026" s="9" t="s">
        <v>680</v>
      </c>
      <c r="K1026" s="9" t="s">
        <v>666</v>
      </c>
      <c r="L1026" s="9" t="s">
        <v>1388</v>
      </c>
      <c r="M1026" s="9" t="s">
        <v>1637</v>
      </c>
      <c r="N1026" s="9" t="str">
        <f t="shared" si="15"/>
        <v>JUNIO TEIXEIRA /EDIVILSON</v>
      </c>
    </row>
    <row r="1027" spans="1:14" x14ac:dyDescent="0.3">
      <c r="A1027" s="9">
        <v>701675</v>
      </c>
      <c r="B1027" s="9" t="s">
        <v>965</v>
      </c>
      <c r="C1027" s="10" t="s">
        <v>233</v>
      </c>
      <c r="D1027" s="11">
        <v>44019</v>
      </c>
      <c r="E1027" s="9" t="s">
        <v>260</v>
      </c>
      <c r="F1027" s="9">
        <v>24102</v>
      </c>
      <c r="G1027" s="9" t="s">
        <v>669</v>
      </c>
      <c r="H1027" s="9" t="s">
        <v>661</v>
      </c>
      <c r="J1027" s="9" t="s">
        <v>1701</v>
      </c>
      <c r="K1027" s="9" t="s">
        <v>666</v>
      </c>
      <c r="L1027" s="9" t="s">
        <v>1390</v>
      </c>
      <c r="N1027" s="9" t="str">
        <f t="shared" ref="N1027:N1090" si="16">IF(M1027&lt;&gt;"", M1027, IF(L1027&lt;&gt;"", L1027, K1027))</f>
        <v>JOÃO FILHO</v>
      </c>
    </row>
    <row r="1028" spans="1:14" x14ac:dyDescent="0.3">
      <c r="A1028" s="9">
        <v>705886</v>
      </c>
      <c r="B1028" s="9" t="s">
        <v>1588</v>
      </c>
      <c r="C1028" s="10" t="s">
        <v>15</v>
      </c>
      <c r="D1028" s="11">
        <v>46063</v>
      </c>
      <c r="E1028" s="9" t="s">
        <v>1589</v>
      </c>
      <c r="F1028" s="9">
        <v>31103</v>
      </c>
      <c r="G1028" s="9" t="s">
        <v>718</v>
      </c>
      <c r="H1028" s="9" t="s">
        <v>661</v>
      </c>
      <c r="J1028" s="9" t="s">
        <v>719</v>
      </c>
      <c r="K1028" s="9" t="s">
        <v>1381</v>
      </c>
      <c r="N1028" s="9" t="str">
        <f t="shared" si="16"/>
        <v>MARCOS OLIVEIRA</v>
      </c>
    </row>
    <row r="1029" spans="1:14" x14ac:dyDescent="0.3">
      <c r="A1029" s="9">
        <v>704241</v>
      </c>
      <c r="B1029" s="9" t="s">
        <v>966</v>
      </c>
      <c r="C1029" s="10" t="s">
        <v>15</v>
      </c>
      <c r="D1029" s="11">
        <v>45335</v>
      </c>
      <c r="E1029" s="9" t="s">
        <v>141</v>
      </c>
      <c r="F1029" s="9">
        <v>24102</v>
      </c>
      <c r="G1029" s="9" t="s">
        <v>669</v>
      </c>
      <c r="H1029" s="9" t="s">
        <v>661</v>
      </c>
      <c r="J1029" s="9" t="s">
        <v>672</v>
      </c>
      <c r="K1029" s="9" t="s">
        <v>666</v>
      </c>
      <c r="L1029" s="9" t="s">
        <v>1388</v>
      </c>
      <c r="M1029" s="9" t="s">
        <v>1637</v>
      </c>
      <c r="N1029" s="9" t="str">
        <f t="shared" si="16"/>
        <v>JUNIO TEIXEIRA /EDIVILSON</v>
      </c>
    </row>
    <row r="1030" spans="1:14" x14ac:dyDescent="0.3">
      <c r="A1030" s="9">
        <v>705924</v>
      </c>
      <c r="B1030" s="9" t="s">
        <v>1630</v>
      </c>
      <c r="C1030" s="10" t="s">
        <v>15</v>
      </c>
      <c r="D1030" s="11">
        <v>46091</v>
      </c>
      <c r="E1030" s="9" t="s">
        <v>31</v>
      </c>
      <c r="F1030" s="9">
        <v>24102</v>
      </c>
      <c r="G1030" s="9" t="s">
        <v>669</v>
      </c>
      <c r="H1030" s="9" t="s">
        <v>661</v>
      </c>
      <c r="J1030" s="9" t="s">
        <v>670</v>
      </c>
      <c r="K1030" s="9" t="s">
        <v>666</v>
      </c>
      <c r="L1030" s="9" t="s">
        <v>1388</v>
      </c>
      <c r="M1030" s="9" t="s">
        <v>1637</v>
      </c>
      <c r="N1030" s="9" t="str">
        <f t="shared" si="16"/>
        <v>JUNIO TEIXEIRA /EDIVILSON</v>
      </c>
    </row>
    <row r="1031" spans="1:14" x14ac:dyDescent="0.3">
      <c r="A1031" s="9">
        <v>101441</v>
      </c>
      <c r="B1031" s="9" t="s">
        <v>967</v>
      </c>
      <c r="C1031" s="10" t="s">
        <v>15</v>
      </c>
      <c r="D1031" s="11">
        <v>42954</v>
      </c>
      <c r="E1031" s="9" t="s">
        <v>328</v>
      </c>
      <c r="F1031" s="9">
        <v>24101</v>
      </c>
      <c r="G1031" s="9" t="s">
        <v>968</v>
      </c>
      <c r="H1031" s="9" t="s">
        <v>661</v>
      </c>
      <c r="J1031" s="9" t="s">
        <v>969</v>
      </c>
      <c r="K1031" s="9" t="s">
        <v>124</v>
      </c>
      <c r="N1031" s="9" t="str">
        <f t="shared" si="16"/>
        <v>MATHEUS FERNANDES</v>
      </c>
    </row>
    <row r="1032" spans="1:14" x14ac:dyDescent="0.3">
      <c r="A1032" s="9">
        <v>704975</v>
      </c>
      <c r="B1032" s="9" t="s">
        <v>970</v>
      </c>
      <c r="C1032" s="10" t="s">
        <v>15</v>
      </c>
      <c r="D1032" s="11">
        <v>45629</v>
      </c>
      <c r="E1032" s="9" t="s">
        <v>16</v>
      </c>
      <c r="F1032" s="9">
        <v>24102</v>
      </c>
      <c r="G1032" s="9" t="s">
        <v>669</v>
      </c>
      <c r="H1032" s="9" t="s">
        <v>661</v>
      </c>
      <c r="J1032" s="9" t="s">
        <v>682</v>
      </c>
      <c r="K1032" s="9" t="s">
        <v>666</v>
      </c>
      <c r="L1032" s="9" t="s">
        <v>1390</v>
      </c>
      <c r="M1032" s="9" t="s">
        <v>1391</v>
      </c>
      <c r="N1032" s="9" t="str">
        <f t="shared" si="16"/>
        <v>ALCENO JUNIOR/JOÃO MARCOS</v>
      </c>
    </row>
    <row r="1033" spans="1:14" x14ac:dyDescent="0.3">
      <c r="A1033" s="9">
        <v>705265</v>
      </c>
      <c r="B1033" s="9" t="s">
        <v>1204</v>
      </c>
      <c r="C1033" s="10" t="s">
        <v>15</v>
      </c>
      <c r="D1033" s="11">
        <v>45762</v>
      </c>
      <c r="E1033" s="9" t="s">
        <v>31</v>
      </c>
      <c r="F1033" s="9">
        <v>24102</v>
      </c>
      <c r="G1033" s="9" t="s">
        <v>669</v>
      </c>
      <c r="H1033" s="9" t="s">
        <v>661</v>
      </c>
      <c r="J1033" s="9" t="s">
        <v>680</v>
      </c>
      <c r="K1033" s="9" t="s">
        <v>666</v>
      </c>
      <c r="L1033" s="9" t="s">
        <v>1388</v>
      </c>
      <c r="M1033" s="9" t="s">
        <v>1637</v>
      </c>
      <c r="N1033" s="9" t="str">
        <f t="shared" si="16"/>
        <v>JUNIO TEIXEIRA /EDIVILSON</v>
      </c>
    </row>
    <row r="1034" spans="1:14" x14ac:dyDescent="0.3">
      <c r="A1034" s="9">
        <v>703925</v>
      </c>
      <c r="B1034" s="9" t="s">
        <v>971</v>
      </c>
      <c r="C1034" s="10" t="s">
        <v>15</v>
      </c>
      <c r="D1034" s="11">
        <v>45083</v>
      </c>
      <c r="E1034" s="9" t="s">
        <v>67</v>
      </c>
      <c r="F1034" s="9">
        <v>24102</v>
      </c>
      <c r="G1034" s="9" t="s">
        <v>669</v>
      </c>
      <c r="H1034" s="9" t="s">
        <v>661</v>
      </c>
      <c r="J1034" s="9" t="s">
        <v>804</v>
      </c>
      <c r="K1034" s="9" t="s">
        <v>666</v>
      </c>
      <c r="M1034" s="9" t="s">
        <v>805</v>
      </c>
      <c r="N1034" s="9" t="str">
        <f t="shared" si="16"/>
        <v>JAILSON RORIZ</v>
      </c>
    </row>
    <row r="1035" spans="1:14" x14ac:dyDescent="0.3">
      <c r="A1035" s="9">
        <v>705587</v>
      </c>
      <c r="B1035" s="9" t="s">
        <v>972</v>
      </c>
      <c r="C1035" s="10" t="s">
        <v>15</v>
      </c>
      <c r="D1035" s="11">
        <v>45881</v>
      </c>
      <c r="E1035" s="9" t="s">
        <v>31</v>
      </c>
      <c r="F1035" s="9">
        <v>39601</v>
      </c>
      <c r="G1035" s="9" t="s">
        <v>660</v>
      </c>
      <c r="H1035" s="9" t="s">
        <v>661</v>
      </c>
      <c r="J1035" s="9" t="s">
        <v>684</v>
      </c>
      <c r="K1035" s="9" t="s">
        <v>666</v>
      </c>
      <c r="L1035" s="9" t="s">
        <v>258</v>
      </c>
      <c r="M1035" s="9" t="s">
        <v>1392</v>
      </c>
      <c r="N1035" s="9" t="str">
        <f t="shared" si="16"/>
        <v>ADALTON/JANILSON RORIZ/MARIVALDO</v>
      </c>
    </row>
    <row r="1036" spans="1:14" x14ac:dyDescent="0.3">
      <c r="A1036" s="9">
        <v>703659</v>
      </c>
      <c r="B1036" s="9" t="s">
        <v>973</v>
      </c>
      <c r="C1036" s="10" t="s">
        <v>15</v>
      </c>
      <c r="D1036" s="11">
        <v>44998</v>
      </c>
      <c r="E1036" s="9" t="s">
        <v>138</v>
      </c>
      <c r="F1036" s="9">
        <v>24102</v>
      </c>
      <c r="G1036" s="9" t="s">
        <v>669</v>
      </c>
      <c r="H1036" s="9" t="s">
        <v>661</v>
      </c>
      <c r="J1036" s="9" t="s">
        <v>682</v>
      </c>
      <c r="K1036" s="9" t="s">
        <v>666</v>
      </c>
      <c r="L1036" s="9" t="s">
        <v>1390</v>
      </c>
      <c r="M1036" s="9" t="s">
        <v>1391</v>
      </c>
      <c r="N1036" s="9" t="str">
        <f t="shared" si="16"/>
        <v>ALCENO JUNIOR/JOÃO MARCOS</v>
      </c>
    </row>
    <row r="1037" spans="1:14" x14ac:dyDescent="0.3">
      <c r="A1037" s="9">
        <v>705344</v>
      </c>
      <c r="B1037" s="9" t="s">
        <v>1263</v>
      </c>
      <c r="C1037" s="10" t="s">
        <v>15</v>
      </c>
      <c r="D1037" s="11">
        <v>45784</v>
      </c>
      <c r="E1037" s="9" t="s">
        <v>336</v>
      </c>
      <c r="F1037" s="9">
        <v>24102</v>
      </c>
      <c r="G1037" s="9" t="s">
        <v>669</v>
      </c>
      <c r="H1037" s="9" t="s">
        <v>661</v>
      </c>
      <c r="J1037" s="9" t="s">
        <v>680</v>
      </c>
      <c r="K1037" s="9" t="s">
        <v>666</v>
      </c>
      <c r="L1037" s="9" t="s">
        <v>1388</v>
      </c>
      <c r="M1037" s="9" t="s">
        <v>1637</v>
      </c>
      <c r="N1037" s="9" t="str">
        <f t="shared" si="16"/>
        <v>JUNIO TEIXEIRA /EDIVILSON</v>
      </c>
    </row>
    <row r="1038" spans="1:14" x14ac:dyDescent="0.3">
      <c r="A1038" s="9">
        <v>704783</v>
      </c>
      <c r="B1038" s="9" t="s">
        <v>974</v>
      </c>
      <c r="C1038" s="10" t="s">
        <v>15</v>
      </c>
      <c r="D1038" s="11">
        <v>45551</v>
      </c>
      <c r="E1038" s="9" t="s">
        <v>31</v>
      </c>
      <c r="F1038" s="9">
        <v>39601</v>
      </c>
      <c r="G1038" s="9" t="s">
        <v>660</v>
      </c>
      <c r="H1038" s="9" t="s">
        <v>661</v>
      </c>
      <c r="J1038" s="9" t="s">
        <v>684</v>
      </c>
      <c r="K1038" s="9" t="s">
        <v>666</v>
      </c>
      <c r="L1038" s="9" t="s">
        <v>258</v>
      </c>
      <c r="M1038" s="9" t="s">
        <v>1392</v>
      </c>
      <c r="N1038" s="9" t="str">
        <f t="shared" si="16"/>
        <v>ADALTON/JANILSON RORIZ/MARIVALDO</v>
      </c>
    </row>
    <row r="1039" spans="1:14" x14ac:dyDescent="0.3">
      <c r="A1039" s="9">
        <v>705864</v>
      </c>
      <c r="B1039" s="9" t="s">
        <v>1590</v>
      </c>
      <c r="C1039" s="10" t="s">
        <v>15</v>
      </c>
      <c r="D1039" s="11">
        <v>46063</v>
      </c>
      <c r="E1039" s="9" t="s">
        <v>31</v>
      </c>
      <c r="F1039" s="9">
        <v>24102</v>
      </c>
      <c r="G1039" s="9" t="s">
        <v>669</v>
      </c>
      <c r="H1039" s="9" t="s">
        <v>661</v>
      </c>
      <c r="J1039" s="9" t="s">
        <v>670</v>
      </c>
      <c r="K1039" s="9" t="s">
        <v>666</v>
      </c>
      <c r="L1039" s="9" t="s">
        <v>1388</v>
      </c>
      <c r="M1039" s="9" t="s">
        <v>1637</v>
      </c>
      <c r="N1039" s="9" t="str">
        <f t="shared" si="16"/>
        <v>JUNIO TEIXEIRA /EDIVILSON</v>
      </c>
    </row>
    <row r="1040" spans="1:14" x14ac:dyDescent="0.3">
      <c r="A1040" s="9">
        <v>703011</v>
      </c>
      <c r="B1040" s="9" t="s">
        <v>976</v>
      </c>
      <c r="C1040" s="10" t="s">
        <v>15</v>
      </c>
      <c r="D1040" s="11">
        <v>44691</v>
      </c>
      <c r="E1040" s="9" t="s">
        <v>31</v>
      </c>
      <c r="F1040" s="9">
        <v>38102</v>
      </c>
      <c r="G1040" s="9" t="s">
        <v>725</v>
      </c>
      <c r="H1040" s="9" t="s">
        <v>661</v>
      </c>
      <c r="J1040" s="9" t="s">
        <v>726</v>
      </c>
      <c r="K1040" s="9" t="s">
        <v>1372</v>
      </c>
      <c r="L1040" s="9" t="s">
        <v>1373</v>
      </c>
      <c r="M1040" s="9" t="s">
        <v>1373</v>
      </c>
      <c r="N1040" s="9" t="str">
        <f t="shared" si="16"/>
        <v>DENIS ACASSIO</v>
      </c>
    </row>
    <row r="1041" spans="1:14" x14ac:dyDescent="0.3">
      <c r="A1041" s="9">
        <v>704511</v>
      </c>
      <c r="B1041" s="9" t="s">
        <v>978</v>
      </c>
      <c r="C1041" s="10" t="s">
        <v>15</v>
      </c>
      <c r="D1041" s="11">
        <v>45420</v>
      </c>
      <c r="E1041" s="9" t="s">
        <v>138</v>
      </c>
      <c r="F1041" s="9">
        <v>24102</v>
      </c>
      <c r="G1041" s="9" t="s">
        <v>669</v>
      </c>
      <c r="H1041" s="9" t="s">
        <v>661</v>
      </c>
      <c r="J1041" s="9" t="s">
        <v>682</v>
      </c>
      <c r="K1041" s="9" t="s">
        <v>666</v>
      </c>
      <c r="L1041" s="9" t="s">
        <v>1390</v>
      </c>
      <c r="M1041" s="9" t="s">
        <v>1391</v>
      </c>
      <c r="N1041" s="9" t="str">
        <f t="shared" si="16"/>
        <v>ALCENO JUNIOR/JOÃO MARCOS</v>
      </c>
    </row>
    <row r="1042" spans="1:14" x14ac:dyDescent="0.3">
      <c r="A1042" s="9">
        <v>705531</v>
      </c>
      <c r="B1042" s="9" t="s">
        <v>1308</v>
      </c>
      <c r="C1042" s="10" t="s">
        <v>15</v>
      </c>
      <c r="D1042" s="11">
        <v>45847</v>
      </c>
      <c r="E1042" s="9" t="s">
        <v>60</v>
      </c>
      <c r="F1042" s="9">
        <v>24102</v>
      </c>
      <c r="G1042" s="9" t="s">
        <v>669</v>
      </c>
      <c r="H1042" s="9" t="s">
        <v>661</v>
      </c>
      <c r="J1042" s="9" t="s">
        <v>804</v>
      </c>
      <c r="K1042" s="9" t="s">
        <v>666</v>
      </c>
      <c r="M1042" s="9" t="s">
        <v>805</v>
      </c>
      <c r="N1042" s="9" t="str">
        <f t="shared" si="16"/>
        <v>JAILSON RORIZ</v>
      </c>
    </row>
    <row r="1043" spans="1:14" x14ac:dyDescent="0.3">
      <c r="A1043" s="9">
        <v>700481</v>
      </c>
      <c r="B1043" s="9" t="s">
        <v>979</v>
      </c>
      <c r="C1043" s="10" t="s">
        <v>15</v>
      </c>
      <c r="D1043" s="11">
        <v>43346</v>
      </c>
      <c r="E1043" s="9" t="s">
        <v>138</v>
      </c>
      <c r="F1043" s="9">
        <v>24102</v>
      </c>
      <c r="G1043" s="9" t="s">
        <v>669</v>
      </c>
      <c r="H1043" s="9" t="s">
        <v>661</v>
      </c>
      <c r="J1043" s="9" t="s">
        <v>672</v>
      </c>
      <c r="K1043" s="9" t="s">
        <v>666</v>
      </c>
      <c r="L1043" s="9" t="s">
        <v>1388</v>
      </c>
      <c r="M1043" s="9" t="s">
        <v>1637</v>
      </c>
      <c r="N1043" s="9" t="str">
        <f t="shared" si="16"/>
        <v>JUNIO TEIXEIRA /EDIVILSON</v>
      </c>
    </row>
    <row r="1044" spans="1:14" x14ac:dyDescent="0.3">
      <c r="A1044" s="9">
        <v>704960</v>
      </c>
      <c r="B1044" s="9" t="s">
        <v>980</v>
      </c>
      <c r="C1044" s="10" t="s">
        <v>15</v>
      </c>
      <c r="D1044" s="11">
        <v>45607</v>
      </c>
      <c r="E1044" s="9" t="s">
        <v>22</v>
      </c>
      <c r="F1044" s="9">
        <v>39602</v>
      </c>
      <c r="G1044" s="9" t="s">
        <v>699</v>
      </c>
      <c r="H1044" s="9" t="s">
        <v>661</v>
      </c>
      <c r="J1044" s="9" t="s">
        <v>700</v>
      </c>
      <c r="K1044" s="9" t="s">
        <v>666</v>
      </c>
      <c r="L1044" s="9" t="s">
        <v>258</v>
      </c>
      <c r="M1044" s="9" t="s">
        <v>701</v>
      </c>
      <c r="N1044" s="9" t="str">
        <f t="shared" si="16"/>
        <v>IURY GUEDES</v>
      </c>
    </row>
    <row r="1045" spans="1:14" x14ac:dyDescent="0.3">
      <c r="A1045" s="9">
        <v>704063</v>
      </c>
      <c r="B1045" s="9" t="s">
        <v>981</v>
      </c>
      <c r="C1045" s="10" t="s">
        <v>15</v>
      </c>
      <c r="D1045" s="11">
        <v>45154</v>
      </c>
      <c r="E1045" s="9" t="s">
        <v>31</v>
      </c>
      <c r="F1045" s="9">
        <v>24102</v>
      </c>
      <c r="G1045" s="9" t="s">
        <v>669</v>
      </c>
      <c r="H1045" s="9" t="s">
        <v>661</v>
      </c>
      <c r="J1045" s="9" t="s">
        <v>680</v>
      </c>
      <c r="K1045" s="9" t="s">
        <v>666</v>
      </c>
      <c r="L1045" s="9" t="s">
        <v>1388</v>
      </c>
      <c r="M1045" s="9" t="s">
        <v>1637</v>
      </c>
      <c r="N1045" s="9" t="str">
        <f t="shared" si="16"/>
        <v>JUNIO TEIXEIRA /EDIVILSON</v>
      </c>
    </row>
    <row r="1046" spans="1:14" x14ac:dyDescent="0.3">
      <c r="A1046" s="9">
        <v>702546</v>
      </c>
      <c r="B1046" s="9" t="s">
        <v>454</v>
      </c>
      <c r="C1046" s="10" t="s">
        <v>15</v>
      </c>
      <c r="D1046" s="11">
        <v>44452</v>
      </c>
      <c r="E1046" s="9" t="s">
        <v>1205</v>
      </c>
      <c r="F1046" s="9">
        <v>31103</v>
      </c>
      <c r="G1046" s="9" t="s">
        <v>718</v>
      </c>
      <c r="H1046" s="9" t="s">
        <v>661</v>
      </c>
      <c r="J1046" s="9" t="s">
        <v>1672</v>
      </c>
      <c r="K1046" s="9" t="s">
        <v>132</v>
      </c>
      <c r="N1046" s="9" t="str">
        <f t="shared" si="16"/>
        <v xml:space="preserve">GISELE NASCENTE </v>
      </c>
    </row>
    <row r="1047" spans="1:14" x14ac:dyDescent="0.3">
      <c r="A1047" s="9">
        <v>706022</v>
      </c>
      <c r="B1047" s="9" t="s">
        <v>1751</v>
      </c>
      <c r="C1047" s="10" t="s">
        <v>15</v>
      </c>
      <c r="D1047" s="11">
        <v>46126</v>
      </c>
      <c r="E1047" s="9" t="s">
        <v>31</v>
      </c>
      <c r="F1047" s="9">
        <v>39601</v>
      </c>
      <c r="G1047" s="9" t="s">
        <v>660</v>
      </c>
      <c r="H1047" s="9" t="s">
        <v>661</v>
      </c>
      <c r="J1047" s="9" t="s">
        <v>662</v>
      </c>
      <c r="K1047" s="9" t="s">
        <v>666</v>
      </c>
      <c r="L1047" s="9" t="s">
        <v>258</v>
      </c>
      <c r="N1047" s="9" t="str">
        <f t="shared" si="16"/>
        <v>MATHEUS ALMEIDA</v>
      </c>
    </row>
    <row r="1048" spans="1:14" x14ac:dyDescent="0.3">
      <c r="A1048" s="9">
        <v>705466</v>
      </c>
      <c r="B1048" s="9" t="s">
        <v>1285</v>
      </c>
      <c r="C1048" s="10" t="s">
        <v>15</v>
      </c>
      <c r="D1048" s="11">
        <v>45812</v>
      </c>
      <c r="E1048" s="9" t="s">
        <v>22</v>
      </c>
      <c r="F1048" s="9">
        <v>39602</v>
      </c>
      <c r="G1048" s="9" t="s">
        <v>699</v>
      </c>
      <c r="H1048" s="9" t="s">
        <v>661</v>
      </c>
      <c r="J1048" s="9" t="s">
        <v>700</v>
      </c>
      <c r="K1048" s="9" t="s">
        <v>666</v>
      </c>
      <c r="L1048" s="9" t="s">
        <v>258</v>
      </c>
      <c r="M1048" s="9" t="s">
        <v>701</v>
      </c>
      <c r="N1048" s="9" t="str">
        <f t="shared" si="16"/>
        <v>IURY GUEDES</v>
      </c>
    </row>
    <row r="1049" spans="1:14" x14ac:dyDescent="0.3">
      <c r="A1049" s="9">
        <v>704465</v>
      </c>
      <c r="B1049" s="9" t="s">
        <v>983</v>
      </c>
      <c r="C1049" s="10" t="s">
        <v>15</v>
      </c>
      <c r="D1049" s="11">
        <v>45426</v>
      </c>
      <c r="E1049" s="9" t="s">
        <v>31</v>
      </c>
      <c r="F1049" s="9">
        <v>24201</v>
      </c>
      <c r="G1049" s="9" t="s">
        <v>664</v>
      </c>
      <c r="H1049" s="9" t="s">
        <v>661</v>
      </c>
      <c r="J1049" s="9" t="s">
        <v>665</v>
      </c>
      <c r="K1049" s="9" t="s">
        <v>666</v>
      </c>
      <c r="L1049" s="9" t="s">
        <v>258</v>
      </c>
      <c r="M1049" s="9" t="s">
        <v>667</v>
      </c>
      <c r="N1049" s="9" t="str">
        <f t="shared" si="16"/>
        <v>JOSIEL NEVES</v>
      </c>
    </row>
    <row r="1050" spans="1:14" x14ac:dyDescent="0.3">
      <c r="A1050" s="9">
        <v>704422</v>
      </c>
      <c r="B1050" s="9" t="s">
        <v>984</v>
      </c>
      <c r="C1050" s="10" t="s">
        <v>15</v>
      </c>
      <c r="D1050" s="11">
        <v>45391</v>
      </c>
      <c r="E1050" s="9" t="s">
        <v>418</v>
      </c>
      <c r="F1050" s="9">
        <v>39601</v>
      </c>
      <c r="G1050" s="9" t="s">
        <v>660</v>
      </c>
      <c r="H1050" s="9" t="s">
        <v>661</v>
      </c>
      <c r="J1050" s="9" t="s">
        <v>662</v>
      </c>
      <c r="K1050" s="9" t="s">
        <v>666</v>
      </c>
      <c r="L1050" s="9" t="s">
        <v>258</v>
      </c>
      <c r="N1050" s="9" t="str">
        <f t="shared" si="16"/>
        <v>MATHEUS ALMEIDA</v>
      </c>
    </row>
    <row r="1051" spans="1:14" x14ac:dyDescent="0.3">
      <c r="A1051" s="9">
        <v>101339</v>
      </c>
      <c r="B1051" s="9" t="s">
        <v>985</v>
      </c>
      <c r="C1051" s="10" t="s">
        <v>15</v>
      </c>
      <c r="D1051" s="11">
        <v>42891</v>
      </c>
      <c r="E1051" s="9" t="s">
        <v>166</v>
      </c>
      <c r="F1051" s="9">
        <v>24102</v>
      </c>
      <c r="G1051" s="9" t="s">
        <v>669</v>
      </c>
      <c r="H1051" s="9" t="s">
        <v>661</v>
      </c>
      <c r="J1051" s="9" t="s">
        <v>697</v>
      </c>
      <c r="K1051" s="9" t="s">
        <v>666</v>
      </c>
      <c r="L1051" s="9" t="s">
        <v>1390</v>
      </c>
      <c r="M1051" s="9" t="s">
        <v>1391</v>
      </c>
      <c r="N1051" s="9" t="str">
        <f t="shared" si="16"/>
        <v>ALCENO JUNIOR/JOÃO MARCOS</v>
      </c>
    </row>
    <row r="1052" spans="1:14" x14ac:dyDescent="0.3">
      <c r="A1052" s="9">
        <v>704869</v>
      </c>
      <c r="B1052" s="9" t="s">
        <v>986</v>
      </c>
      <c r="C1052" s="10" t="s">
        <v>15</v>
      </c>
      <c r="D1052" s="11">
        <v>45580</v>
      </c>
      <c r="E1052" s="9" t="s">
        <v>31</v>
      </c>
      <c r="F1052" s="9">
        <v>24201</v>
      </c>
      <c r="G1052" s="9" t="s">
        <v>664</v>
      </c>
      <c r="H1052" s="9" t="s">
        <v>661</v>
      </c>
      <c r="J1052" s="9" t="s">
        <v>665</v>
      </c>
      <c r="K1052" s="9" t="s">
        <v>666</v>
      </c>
      <c r="L1052" s="9" t="s">
        <v>258</v>
      </c>
      <c r="M1052" s="9" t="s">
        <v>667</v>
      </c>
      <c r="N1052" s="9" t="str">
        <f t="shared" si="16"/>
        <v>JOSIEL NEVES</v>
      </c>
    </row>
    <row r="1053" spans="1:14" x14ac:dyDescent="0.3">
      <c r="A1053" s="9">
        <v>704493</v>
      </c>
      <c r="B1053" s="9" t="s">
        <v>987</v>
      </c>
      <c r="C1053" s="10" t="s">
        <v>15</v>
      </c>
      <c r="D1053" s="11">
        <v>45419</v>
      </c>
      <c r="E1053" s="9" t="s">
        <v>427</v>
      </c>
      <c r="F1053" s="9">
        <v>39602</v>
      </c>
      <c r="G1053" s="9" t="s">
        <v>699</v>
      </c>
      <c r="H1053" s="9" t="s">
        <v>661</v>
      </c>
      <c r="J1053" s="9" t="s">
        <v>700</v>
      </c>
      <c r="K1053" s="9" t="s">
        <v>666</v>
      </c>
      <c r="L1053" s="9" t="s">
        <v>258</v>
      </c>
      <c r="M1053" s="9" t="s">
        <v>701</v>
      </c>
      <c r="N1053" s="9" t="str">
        <f t="shared" si="16"/>
        <v>IURY GUEDES</v>
      </c>
    </row>
    <row r="1054" spans="1:14" x14ac:dyDescent="0.3">
      <c r="A1054" s="9">
        <v>705340</v>
      </c>
      <c r="B1054" s="9" t="s">
        <v>1264</v>
      </c>
      <c r="C1054" s="10" t="s">
        <v>15</v>
      </c>
      <c r="D1054" s="11">
        <v>45784</v>
      </c>
      <c r="E1054" s="9" t="s">
        <v>31</v>
      </c>
      <c r="F1054" s="9">
        <v>24102</v>
      </c>
      <c r="G1054" s="9" t="s">
        <v>669</v>
      </c>
      <c r="H1054" s="9" t="s">
        <v>661</v>
      </c>
      <c r="J1054" s="9" t="s">
        <v>672</v>
      </c>
      <c r="K1054" s="9" t="s">
        <v>666</v>
      </c>
      <c r="L1054" s="9" t="s">
        <v>1388</v>
      </c>
      <c r="M1054" s="9" t="s">
        <v>1637</v>
      </c>
      <c r="N1054" s="9" t="str">
        <f t="shared" si="16"/>
        <v>JUNIO TEIXEIRA /EDIVILSON</v>
      </c>
    </row>
    <row r="1055" spans="1:14" x14ac:dyDescent="0.3">
      <c r="A1055" s="9">
        <v>704494</v>
      </c>
      <c r="B1055" s="9" t="s">
        <v>988</v>
      </c>
      <c r="C1055" s="10" t="s">
        <v>15</v>
      </c>
      <c r="D1055" s="11">
        <v>45419</v>
      </c>
      <c r="E1055" s="9" t="s">
        <v>336</v>
      </c>
      <c r="F1055" s="9">
        <v>24102</v>
      </c>
      <c r="G1055" s="9" t="s">
        <v>669</v>
      </c>
      <c r="H1055" s="9" t="s">
        <v>661</v>
      </c>
      <c r="J1055" s="9" t="s">
        <v>680</v>
      </c>
      <c r="K1055" s="9" t="s">
        <v>666</v>
      </c>
      <c r="L1055" s="9" t="s">
        <v>1388</v>
      </c>
      <c r="M1055" s="9" t="s">
        <v>1637</v>
      </c>
      <c r="N1055" s="9" t="str">
        <f t="shared" si="16"/>
        <v>JUNIO TEIXEIRA /EDIVILSON</v>
      </c>
    </row>
    <row r="1056" spans="1:14" x14ac:dyDescent="0.3">
      <c r="A1056" s="9">
        <v>795291</v>
      </c>
      <c r="B1056" s="9" t="s">
        <v>1206</v>
      </c>
      <c r="C1056" s="10" t="s">
        <v>15</v>
      </c>
      <c r="D1056" s="11">
        <v>45762</v>
      </c>
      <c r="E1056" s="9" t="s">
        <v>31</v>
      </c>
      <c r="F1056" s="9">
        <v>39601</v>
      </c>
      <c r="G1056" s="9" t="s">
        <v>660</v>
      </c>
      <c r="H1056" s="9" t="s">
        <v>661</v>
      </c>
      <c r="J1056" s="9" t="s">
        <v>684</v>
      </c>
      <c r="K1056" s="9" t="s">
        <v>666</v>
      </c>
      <c r="L1056" s="9" t="s">
        <v>258</v>
      </c>
      <c r="M1056" s="9" t="s">
        <v>1392</v>
      </c>
      <c r="N1056" s="9" t="str">
        <f t="shared" si="16"/>
        <v>ADALTON/JANILSON RORIZ/MARIVALDO</v>
      </c>
    </row>
    <row r="1057" spans="1:14" x14ac:dyDescent="0.3">
      <c r="A1057" s="9">
        <v>703710</v>
      </c>
      <c r="B1057" s="9" t="s">
        <v>989</v>
      </c>
      <c r="C1057" s="10" t="s">
        <v>15</v>
      </c>
      <c r="D1057" s="11">
        <v>45019</v>
      </c>
      <c r="E1057" s="9" t="s">
        <v>990</v>
      </c>
      <c r="F1057" s="9">
        <v>24201</v>
      </c>
      <c r="G1057" s="9" t="s">
        <v>664</v>
      </c>
      <c r="H1057" s="9" t="s">
        <v>661</v>
      </c>
      <c r="J1057" s="9" t="s">
        <v>665</v>
      </c>
      <c r="K1057" s="9" t="s">
        <v>666</v>
      </c>
      <c r="L1057" s="9" t="s">
        <v>258</v>
      </c>
      <c r="M1057" s="9" t="s">
        <v>667</v>
      </c>
      <c r="N1057" s="9" t="str">
        <f t="shared" si="16"/>
        <v>JOSIEL NEVES</v>
      </c>
    </row>
    <row r="1058" spans="1:14" x14ac:dyDescent="0.3">
      <c r="A1058" s="9">
        <v>703304</v>
      </c>
      <c r="B1058" s="9" t="s">
        <v>992</v>
      </c>
      <c r="C1058" s="10" t="s">
        <v>15</v>
      </c>
      <c r="D1058" s="11">
        <v>44816</v>
      </c>
      <c r="E1058" s="9" t="s">
        <v>31</v>
      </c>
      <c r="F1058" s="9">
        <v>38102</v>
      </c>
      <c r="G1058" s="9" t="s">
        <v>725</v>
      </c>
      <c r="H1058" s="9" t="s">
        <v>661</v>
      </c>
      <c r="J1058" s="9" t="s">
        <v>726</v>
      </c>
      <c r="K1058" s="9" t="s">
        <v>1372</v>
      </c>
      <c r="L1058" s="9" t="s">
        <v>1373</v>
      </c>
      <c r="M1058" s="9" t="s">
        <v>1373</v>
      </c>
      <c r="N1058" s="9" t="str">
        <f t="shared" si="16"/>
        <v>DENIS ACASSIO</v>
      </c>
    </row>
    <row r="1059" spans="1:14" x14ac:dyDescent="0.3">
      <c r="A1059" s="9">
        <v>705930</v>
      </c>
      <c r="B1059" s="9" t="s">
        <v>1752</v>
      </c>
      <c r="C1059" s="10" t="s">
        <v>15</v>
      </c>
      <c r="D1059" s="11">
        <v>46119</v>
      </c>
      <c r="E1059" s="9" t="s">
        <v>77</v>
      </c>
      <c r="F1059" s="9">
        <v>38108</v>
      </c>
      <c r="G1059" s="9" t="s">
        <v>1698</v>
      </c>
      <c r="H1059" s="9" t="s">
        <v>661</v>
      </c>
      <c r="J1059" s="9" t="s">
        <v>78</v>
      </c>
      <c r="K1059" s="9" t="s">
        <v>1372</v>
      </c>
      <c r="N1059" s="9" t="str">
        <f t="shared" si="16"/>
        <v xml:space="preserve">LEIDJANE MARTINS </v>
      </c>
    </row>
    <row r="1060" spans="1:14" x14ac:dyDescent="0.3">
      <c r="A1060" s="9">
        <v>705976</v>
      </c>
      <c r="B1060" s="9" t="s">
        <v>1753</v>
      </c>
      <c r="C1060" s="10" t="s">
        <v>15</v>
      </c>
      <c r="D1060" s="11">
        <v>46119</v>
      </c>
      <c r="E1060" s="9" t="s">
        <v>77</v>
      </c>
      <c r="F1060" s="9">
        <v>38108</v>
      </c>
      <c r="G1060" s="9" t="s">
        <v>1698</v>
      </c>
      <c r="H1060" s="9" t="s">
        <v>661</v>
      </c>
      <c r="J1060" s="9" t="s">
        <v>78</v>
      </c>
      <c r="K1060" s="9" t="s">
        <v>1372</v>
      </c>
      <c r="N1060" s="9" t="str">
        <f t="shared" si="16"/>
        <v xml:space="preserve">LEIDJANE MARTINS </v>
      </c>
    </row>
    <row r="1061" spans="1:14" x14ac:dyDescent="0.3">
      <c r="A1061" s="9">
        <v>100835</v>
      </c>
      <c r="B1061" s="9" t="s">
        <v>993</v>
      </c>
      <c r="C1061" s="10" t="s">
        <v>15</v>
      </c>
      <c r="D1061" s="11">
        <v>41617</v>
      </c>
      <c r="E1061" s="9" t="s">
        <v>156</v>
      </c>
      <c r="F1061" s="9">
        <v>38102</v>
      </c>
      <c r="G1061" s="9" t="s">
        <v>725</v>
      </c>
      <c r="H1061" s="9" t="s">
        <v>661</v>
      </c>
      <c r="J1061" s="9" t="s">
        <v>726</v>
      </c>
      <c r="K1061" s="9" t="s">
        <v>1372</v>
      </c>
      <c r="L1061" s="9" t="s">
        <v>1373</v>
      </c>
      <c r="M1061" s="9" t="s">
        <v>1373</v>
      </c>
      <c r="N1061" s="9" t="str">
        <f t="shared" si="16"/>
        <v>DENIS ACASSIO</v>
      </c>
    </row>
    <row r="1062" spans="1:14" x14ac:dyDescent="0.3">
      <c r="A1062" s="9">
        <v>701730</v>
      </c>
      <c r="B1062" s="9" t="s">
        <v>994</v>
      </c>
      <c r="C1062" s="10" t="s">
        <v>15</v>
      </c>
      <c r="D1062" s="11">
        <v>44032</v>
      </c>
      <c r="E1062" s="9" t="s">
        <v>230</v>
      </c>
      <c r="F1062" s="9">
        <v>39601</v>
      </c>
      <c r="G1062" s="9" t="s">
        <v>660</v>
      </c>
      <c r="H1062" s="9" t="s">
        <v>661</v>
      </c>
      <c r="J1062" s="9" t="s">
        <v>684</v>
      </c>
      <c r="K1062" s="9" t="s">
        <v>666</v>
      </c>
      <c r="L1062" s="9" t="s">
        <v>258</v>
      </c>
      <c r="M1062" s="9" t="s">
        <v>1392</v>
      </c>
      <c r="N1062" s="9" t="str">
        <f t="shared" si="16"/>
        <v>ADALTON/JANILSON RORIZ/MARIVALDO</v>
      </c>
    </row>
    <row r="1063" spans="1:14" x14ac:dyDescent="0.3">
      <c r="A1063" s="9">
        <v>705965</v>
      </c>
      <c r="B1063" s="9" t="s">
        <v>1754</v>
      </c>
      <c r="C1063" s="10" t="s">
        <v>15</v>
      </c>
      <c r="D1063" s="11">
        <v>46119</v>
      </c>
      <c r="E1063" s="9" t="s">
        <v>77</v>
      </c>
      <c r="F1063" s="9">
        <v>38108</v>
      </c>
      <c r="G1063" s="9" t="s">
        <v>1698</v>
      </c>
      <c r="H1063" s="9" t="s">
        <v>661</v>
      </c>
      <c r="J1063" s="9" t="s">
        <v>78</v>
      </c>
      <c r="K1063" s="9" t="s">
        <v>1372</v>
      </c>
      <c r="N1063" s="9" t="str">
        <f t="shared" si="16"/>
        <v xml:space="preserve">LEIDJANE MARTINS </v>
      </c>
    </row>
    <row r="1064" spans="1:14" x14ac:dyDescent="0.3">
      <c r="A1064" s="9">
        <v>100980</v>
      </c>
      <c r="B1064" s="9" t="s">
        <v>995</v>
      </c>
      <c r="C1064" s="10" t="s">
        <v>15</v>
      </c>
      <c r="D1064" s="11">
        <v>42548</v>
      </c>
      <c r="E1064" s="9" t="s">
        <v>251</v>
      </c>
      <c r="F1064" s="9">
        <v>39601</v>
      </c>
      <c r="G1064" s="9" t="s">
        <v>660</v>
      </c>
      <c r="H1064" s="9" t="s">
        <v>661</v>
      </c>
      <c r="J1064" s="9" t="s">
        <v>1695</v>
      </c>
      <c r="K1064" s="9" t="s">
        <v>666</v>
      </c>
      <c r="L1064" s="9" t="s">
        <v>258</v>
      </c>
      <c r="N1064" s="9" t="str">
        <f t="shared" si="16"/>
        <v>MATHEUS ALMEIDA</v>
      </c>
    </row>
    <row r="1065" spans="1:14" x14ac:dyDescent="0.3">
      <c r="A1065" s="9">
        <v>705986</v>
      </c>
      <c r="B1065" s="9" t="s">
        <v>1755</v>
      </c>
      <c r="C1065" s="10" t="s">
        <v>15</v>
      </c>
      <c r="D1065" s="11">
        <v>46119</v>
      </c>
      <c r="E1065" s="9" t="s">
        <v>31</v>
      </c>
      <c r="F1065" s="9">
        <v>24102</v>
      </c>
      <c r="G1065" s="9" t="s">
        <v>669</v>
      </c>
      <c r="H1065" s="9" t="s">
        <v>661</v>
      </c>
      <c r="J1065" s="9" t="s">
        <v>670</v>
      </c>
      <c r="K1065" s="9" t="s">
        <v>666</v>
      </c>
      <c r="L1065" s="9" t="s">
        <v>1388</v>
      </c>
      <c r="M1065" s="9" t="s">
        <v>1637</v>
      </c>
      <c r="N1065" s="9" t="str">
        <f t="shared" si="16"/>
        <v>JUNIO TEIXEIRA /EDIVILSON</v>
      </c>
    </row>
    <row r="1066" spans="1:14" x14ac:dyDescent="0.3">
      <c r="A1066" s="9">
        <v>701990</v>
      </c>
      <c r="B1066" s="9" t="s">
        <v>470</v>
      </c>
      <c r="C1066" s="10" t="s">
        <v>15</v>
      </c>
      <c r="D1066" s="11">
        <v>44214</v>
      </c>
      <c r="E1066" s="9" t="s">
        <v>129</v>
      </c>
      <c r="F1066" s="9">
        <v>31103</v>
      </c>
      <c r="G1066" s="9" t="s">
        <v>718</v>
      </c>
      <c r="H1066" s="9" t="s">
        <v>661</v>
      </c>
      <c r="J1066" s="9" t="s">
        <v>719</v>
      </c>
      <c r="K1066" s="9" t="s">
        <v>1381</v>
      </c>
      <c r="N1066" s="9" t="str">
        <f t="shared" si="16"/>
        <v>MARCOS OLIVEIRA</v>
      </c>
    </row>
    <row r="1067" spans="1:14" x14ac:dyDescent="0.3">
      <c r="A1067" s="9">
        <v>700907</v>
      </c>
      <c r="B1067" s="9" t="s">
        <v>996</v>
      </c>
      <c r="C1067" s="10" t="s">
        <v>15</v>
      </c>
      <c r="D1067" s="11">
        <v>43535</v>
      </c>
      <c r="E1067" s="9" t="s">
        <v>60</v>
      </c>
      <c r="F1067" s="9">
        <v>24102</v>
      </c>
      <c r="G1067" s="9" t="s">
        <v>669</v>
      </c>
      <c r="H1067" s="9" t="s">
        <v>661</v>
      </c>
      <c r="J1067" s="9" t="s">
        <v>682</v>
      </c>
      <c r="K1067" s="9" t="s">
        <v>666</v>
      </c>
      <c r="L1067" s="9" t="s">
        <v>1390</v>
      </c>
      <c r="M1067" s="9" t="s">
        <v>1391</v>
      </c>
      <c r="N1067" s="9" t="str">
        <f t="shared" si="16"/>
        <v>ALCENO JUNIOR/JOÃO MARCOS</v>
      </c>
    </row>
    <row r="1068" spans="1:14" x14ac:dyDescent="0.3">
      <c r="A1068" s="9">
        <v>704703</v>
      </c>
      <c r="B1068" s="9" t="s">
        <v>997</v>
      </c>
      <c r="C1068" s="10" t="s">
        <v>15</v>
      </c>
      <c r="D1068" s="11">
        <v>45510</v>
      </c>
      <c r="E1068" s="9" t="s">
        <v>686</v>
      </c>
      <c r="F1068" s="9">
        <v>39601</v>
      </c>
      <c r="G1068" s="9" t="s">
        <v>660</v>
      </c>
      <c r="H1068" s="9" t="s">
        <v>661</v>
      </c>
      <c r="J1068" s="9" t="s">
        <v>684</v>
      </c>
      <c r="K1068" s="9" t="s">
        <v>666</v>
      </c>
      <c r="L1068" s="9" t="s">
        <v>258</v>
      </c>
      <c r="M1068" s="9" t="s">
        <v>1392</v>
      </c>
      <c r="N1068" s="9" t="str">
        <f t="shared" si="16"/>
        <v>ADALTON/JANILSON RORIZ/MARIVALDO</v>
      </c>
    </row>
    <row r="1069" spans="1:14" x14ac:dyDescent="0.3">
      <c r="A1069" s="9">
        <v>706044</v>
      </c>
      <c r="B1069" s="9" t="s">
        <v>1756</v>
      </c>
      <c r="C1069" s="10" t="s">
        <v>15</v>
      </c>
      <c r="D1069" s="11">
        <v>46126</v>
      </c>
      <c r="E1069" s="9" t="s">
        <v>31</v>
      </c>
      <c r="F1069" s="9">
        <v>39601</v>
      </c>
      <c r="G1069" s="9" t="s">
        <v>660</v>
      </c>
      <c r="H1069" s="9" t="s">
        <v>661</v>
      </c>
      <c r="J1069" s="9" t="s">
        <v>662</v>
      </c>
      <c r="K1069" s="9" t="s">
        <v>666</v>
      </c>
      <c r="L1069" s="9" t="s">
        <v>258</v>
      </c>
      <c r="N1069" s="9" t="str">
        <f t="shared" si="16"/>
        <v>MATHEUS ALMEIDA</v>
      </c>
    </row>
    <row r="1070" spans="1:14" x14ac:dyDescent="0.3">
      <c r="A1070" s="9">
        <v>704440</v>
      </c>
      <c r="B1070" s="9" t="s">
        <v>471</v>
      </c>
      <c r="C1070" s="10" t="s">
        <v>15</v>
      </c>
      <c r="D1070" s="11">
        <v>45419</v>
      </c>
      <c r="E1070" s="9" t="s">
        <v>22</v>
      </c>
      <c r="F1070" s="9">
        <v>32102</v>
      </c>
      <c r="G1070" s="9" t="s">
        <v>674</v>
      </c>
      <c r="H1070" s="9" t="s">
        <v>661</v>
      </c>
      <c r="J1070" s="9" t="s">
        <v>675</v>
      </c>
      <c r="K1070" s="9" t="s">
        <v>25</v>
      </c>
      <c r="L1070" s="9" t="s">
        <v>1369</v>
      </c>
      <c r="M1070" s="9" t="s">
        <v>1638</v>
      </c>
      <c r="N1070" s="9" t="str">
        <f t="shared" si="16"/>
        <v>EDIVILSON MENEZES</v>
      </c>
    </row>
    <row r="1071" spans="1:14" x14ac:dyDescent="0.3">
      <c r="A1071" s="9">
        <v>705421</v>
      </c>
      <c r="B1071" s="9" t="s">
        <v>998</v>
      </c>
      <c r="C1071" s="10" t="s">
        <v>15</v>
      </c>
      <c r="D1071" s="11">
        <v>45791</v>
      </c>
      <c r="E1071" s="9" t="s">
        <v>31</v>
      </c>
      <c r="F1071" s="9">
        <v>39601</v>
      </c>
      <c r="G1071" s="9" t="s">
        <v>660</v>
      </c>
      <c r="H1071" s="9" t="s">
        <v>661</v>
      </c>
      <c r="J1071" s="9" t="s">
        <v>662</v>
      </c>
      <c r="K1071" s="9" t="s">
        <v>666</v>
      </c>
      <c r="L1071" s="9" t="s">
        <v>258</v>
      </c>
      <c r="N1071" s="9" t="str">
        <f t="shared" si="16"/>
        <v>MATHEUS ALMEIDA</v>
      </c>
    </row>
    <row r="1072" spans="1:14" x14ac:dyDescent="0.3">
      <c r="A1072" s="9">
        <v>705323</v>
      </c>
      <c r="B1072" s="9" t="s">
        <v>1266</v>
      </c>
      <c r="C1072" s="10" t="s">
        <v>15</v>
      </c>
      <c r="D1072" s="11">
        <v>45784</v>
      </c>
      <c r="E1072" s="9" t="s">
        <v>31</v>
      </c>
      <c r="F1072" s="9">
        <v>24102</v>
      </c>
      <c r="G1072" s="9" t="s">
        <v>669</v>
      </c>
      <c r="H1072" s="9" t="s">
        <v>661</v>
      </c>
      <c r="J1072" s="9" t="s">
        <v>670</v>
      </c>
      <c r="K1072" s="9" t="s">
        <v>666</v>
      </c>
      <c r="L1072" s="9" t="s">
        <v>1388</v>
      </c>
      <c r="M1072" s="9" t="s">
        <v>1637</v>
      </c>
      <c r="N1072" s="9" t="str">
        <f t="shared" si="16"/>
        <v>JUNIO TEIXEIRA /EDIVILSON</v>
      </c>
    </row>
    <row r="1073" spans="1:14" x14ac:dyDescent="0.3">
      <c r="A1073" s="9">
        <v>706006</v>
      </c>
      <c r="B1073" s="9" t="s">
        <v>1757</v>
      </c>
      <c r="C1073" s="10" t="s">
        <v>15</v>
      </c>
      <c r="D1073" s="11">
        <v>46126</v>
      </c>
      <c r="E1073" s="9" t="s">
        <v>31</v>
      </c>
      <c r="F1073" s="9">
        <v>39601</v>
      </c>
      <c r="G1073" s="9" t="s">
        <v>660</v>
      </c>
      <c r="H1073" s="9" t="s">
        <v>661</v>
      </c>
      <c r="J1073" s="9" t="s">
        <v>662</v>
      </c>
      <c r="K1073" s="9" t="s">
        <v>666</v>
      </c>
      <c r="L1073" s="9" t="s">
        <v>258</v>
      </c>
      <c r="N1073" s="9" t="str">
        <f t="shared" si="16"/>
        <v>MATHEUS ALMEIDA</v>
      </c>
    </row>
    <row r="1074" spans="1:14" x14ac:dyDescent="0.3">
      <c r="A1074" s="9">
        <v>701620</v>
      </c>
      <c r="B1074" s="9" t="s">
        <v>999</v>
      </c>
      <c r="C1074" s="10" t="s">
        <v>15</v>
      </c>
      <c r="D1074" s="11">
        <v>44004</v>
      </c>
      <c r="E1074" s="9" t="s">
        <v>101</v>
      </c>
      <c r="F1074" s="9">
        <v>39602</v>
      </c>
      <c r="G1074" s="9" t="s">
        <v>699</v>
      </c>
      <c r="H1074" s="9" t="s">
        <v>661</v>
      </c>
      <c r="J1074" s="9" t="s">
        <v>1730</v>
      </c>
      <c r="K1074" s="9" t="s">
        <v>666</v>
      </c>
      <c r="N1074" s="9" t="str">
        <f t="shared" si="16"/>
        <v>CRISOSTOMO CASTRO</v>
      </c>
    </row>
    <row r="1075" spans="1:14" x14ac:dyDescent="0.3">
      <c r="A1075" s="9">
        <v>705284</v>
      </c>
      <c r="B1075" s="9" t="s">
        <v>1207</v>
      </c>
      <c r="C1075" s="10" t="s">
        <v>15</v>
      </c>
      <c r="D1075" s="11">
        <v>45762</v>
      </c>
      <c r="E1075" s="9" t="s">
        <v>31</v>
      </c>
      <c r="F1075" s="9">
        <v>39601</v>
      </c>
      <c r="G1075" s="9" t="s">
        <v>660</v>
      </c>
      <c r="H1075" s="9" t="s">
        <v>661</v>
      </c>
      <c r="J1075" s="9" t="s">
        <v>684</v>
      </c>
      <c r="K1075" s="9" t="s">
        <v>666</v>
      </c>
      <c r="L1075" s="9" t="s">
        <v>258</v>
      </c>
      <c r="M1075" s="9" t="s">
        <v>1392</v>
      </c>
      <c r="N1075" s="9" t="str">
        <f t="shared" si="16"/>
        <v>ADALTON/JANILSON RORIZ/MARIVALDO</v>
      </c>
    </row>
    <row r="1076" spans="1:14" x14ac:dyDescent="0.3">
      <c r="A1076" s="9">
        <v>702586</v>
      </c>
      <c r="B1076" s="9" t="s">
        <v>1001</v>
      </c>
      <c r="C1076" s="10" t="s">
        <v>15</v>
      </c>
      <c r="D1076" s="11">
        <v>44474</v>
      </c>
      <c r="E1076" s="9" t="s">
        <v>507</v>
      </c>
      <c r="F1076" s="9">
        <v>24201</v>
      </c>
      <c r="G1076" s="9" t="s">
        <v>664</v>
      </c>
      <c r="H1076" s="9" t="s">
        <v>661</v>
      </c>
      <c r="J1076" s="9" t="s">
        <v>665</v>
      </c>
      <c r="K1076" s="9" t="s">
        <v>666</v>
      </c>
      <c r="L1076" s="9" t="s">
        <v>258</v>
      </c>
      <c r="M1076" s="9" t="s">
        <v>667</v>
      </c>
      <c r="N1076" s="9" t="str">
        <f t="shared" si="16"/>
        <v>JOSIEL NEVES</v>
      </c>
    </row>
    <row r="1077" spans="1:14" x14ac:dyDescent="0.3">
      <c r="A1077" s="9">
        <v>101534</v>
      </c>
      <c r="B1077" s="9" t="s">
        <v>1002</v>
      </c>
      <c r="C1077" s="10" t="s">
        <v>15</v>
      </c>
      <c r="D1077" s="11">
        <v>42982</v>
      </c>
      <c r="E1077" s="9" t="s">
        <v>686</v>
      </c>
      <c r="F1077" s="9">
        <v>39601</v>
      </c>
      <c r="G1077" s="9" t="s">
        <v>660</v>
      </c>
      <c r="H1077" s="9" t="s">
        <v>661</v>
      </c>
      <c r="J1077" s="9" t="s">
        <v>684</v>
      </c>
      <c r="K1077" s="9" t="s">
        <v>666</v>
      </c>
      <c r="L1077" s="9" t="s">
        <v>258</v>
      </c>
      <c r="M1077" s="9" t="s">
        <v>1392</v>
      </c>
      <c r="N1077" s="9" t="str">
        <f t="shared" si="16"/>
        <v>ADALTON/JANILSON RORIZ/MARIVALDO</v>
      </c>
    </row>
    <row r="1078" spans="1:14" x14ac:dyDescent="0.3">
      <c r="A1078" s="9">
        <v>701378</v>
      </c>
      <c r="B1078" s="9" t="s">
        <v>1003</v>
      </c>
      <c r="C1078" s="10" t="s">
        <v>15</v>
      </c>
      <c r="D1078" s="11">
        <v>43759</v>
      </c>
      <c r="E1078" s="9" t="s">
        <v>16</v>
      </c>
      <c r="F1078" s="9">
        <v>24102</v>
      </c>
      <c r="G1078" s="9" t="s">
        <v>669</v>
      </c>
      <c r="H1078" s="9" t="s">
        <v>661</v>
      </c>
      <c r="J1078" s="9" t="s">
        <v>682</v>
      </c>
      <c r="K1078" s="9" t="s">
        <v>666</v>
      </c>
      <c r="L1078" s="9" t="s">
        <v>1390</v>
      </c>
      <c r="M1078" s="9" t="s">
        <v>1391</v>
      </c>
      <c r="N1078" s="9" t="str">
        <f t="shared" si="16"/>
        <v>ALCENO JUNIOR/JOÃO MARCOS</v>
      </c>
    </row>
    <row r="1079" spans="1:14" x14ac:dyDescent="0.3">
      <c r="A1079" s="9">
        <v>705271</v>
      </c>
      <c r="B1079" s="9" t="s">
        <v>1208</v>
      </c>
      <c r="C1079" s="10" t="s">
        <v>15</v>
      </c>
      <c r="D1079" s="11">
        <v>45762</v>
      </c>
      <c r="E1079" s="9" t="s">
        <v>31</v>
      </c>
      <c r="F1079" s="9">
        <v>24102</v>
      </c>
      <c r="G1079" s="9" t="s">
        <v>669</v>
      </c>
      <c r="H1079" s="9" t="s">
        <v>661</v>
      </c>
      <c r="J1079" s="9" t="s">
        <v>672</v>
      </c>
      <c r="K1079" s="9" t="s">
        <v>666</v>
      </c>
      <c r="L1079" s="9" t="s">
        <v>1388</v>
      </c>
      <c r="M1079" s="9" t="s">
        <v>1637</v>
      </c>
      <c r="N1079" s="9" t="str">
        <f t="shared" si="16"/>
        <v>JUNIO TEIXEIRA /EDIVILSON</v>
      </c>
    </row>
    <row r="1080" spans="1:14" x14ac:dyDescent="0.3">
      <c r="A1080" s="9">
        <v>702430</v>
      </c>
      <c r="B1080" s="9" t="s">
        <v>1004</v>
      </c>
      <c r="C1080" s="10" t="s">
        <v>15</v>
      </c>
      <c r="D1080" s="11">
        <v>44390</v>
      </c>
      <c r="E1080" s="9" t="s">
        <v>31</v>
      </c>
      <c r="F1080" s="9">
        <v>24201</v>
      </c>
      <c r="G1080" s="9" t="s">
        <v>664</v>
      </c>
      <c r="H1080" s="9" t="s">
        <v>661</v>
      </c>
      <c r="J1080" s="9" t="s">
        <v>665</v>
      </c>
      <c r="K1080" s="9" t="s">
        <v>666</v>
      </c>
      <c r="L1080" s="9" t="s">
        <v>258</v>
      </c>
      <c r="M1080" s="9" t="s">
        <v>667</v>
      </c>
      <c r="N1080" s="9" t="str">
        <f t="shared" si="16"/>
        <v>JOSIEL NEVES</v>
      </c>
    </row>
    <row r="1081" spans="1:14" x14ac:dyDescent="0.3">
      <c r="A1081" s="9">
        <v>703702</v>
      </c>
      <c r="B1081" s="9" t="s">
        <v>1005</v>
      </c>
      <c r="C1081" s="10" t="s">
        <v>15</v>
      </c>
      <c r="D1081" s="11">
        <v>45019</v>
      </c>
      <c r="E1081" s="9" t="s">
        <v>328</v>
      </c>
      <c r="F1081" s="9">
        <v>32102</v>
      </c>
      <c r="G1081" s="9" t="s">
        <v>674</v>
      </c>
      <c r="H1081" s="9" t="s">
        <v>661</v>
      </c>
      <c r="J1081" s="9" t="s">
        <v>1643</v>
      </c>
      <c r="K1081" s="9" t="s">
        <v>25</v>
      </c>
      <c r="M1081" s="9" t="s">
        <v>1780</v>
      </c>
      <c r="N1081" s="9" t="str">
        <f t="shared" si="16"/>
        <v>JOSE ALBERISSON</v>
      </c>
    </row>
    <row r="1082" spans="1:14" x14ac:dyDescent="0.3">
      <c r="A1082" s="9">
        <v>701416</v>
      </c>
      <c r="B1082" s="9" t="s">
        <v>1006</v>
      </c>
      <c r="C1082" s="10" t="s">
        <v>15</v>
      </c>
      <c r="D1082" s="11">
        <v>43773</v>
      </c>
      <c r="E1082" s="9" t="s">
        <v>507</v>
      </c>
      <c r="F1082" s="9">
        <v>24102</v>
      </c>
      <c r="G1082" s="9" t="s">
        <v>669</v>
      </c>
      <c r="H1082" s="9" t="s">
        <v>661</v>
      </c>
      <c r="J1082" s="9" t="s">
        <v>85</v>
      </c>
      <c r="K1082" s="9" t="s">
        <v>1371</v>
      </c>
      <c r="L1082" s="9" t="s">
        <v>1380</v>
      </c>
      <c r="M1082" s="9" t="s">
        <v>1380</v>
      </c>
      <c r="N1082" s="9" t="str">
        <f t="shared" si="16"/>
        <v xml:space="preserve">LEONARDO SANTOS </v>
      </c>
    </row>
    <row r="1083" spans="1:14" x14ac:dyDescent="0.3">
      <c r="A1083" s="9">
        <v>703837</v>
      </c>
      <c r="B1083" s="9" t="s">
        <v>1008</v>
      </c>
      <c r="C1083" s="10" t="s">
        <v>15</v>
      </c>
      <c r="D1083" s="11">
        <v>45054</v>
      </c>
      <c r="E1083" s="9" t="s">
        <v>1009</v>
      </c>
      <c r="F1083" s="9">
        <v>38102</v>
      </c>
      <c r="G1083" s="9" t="s">
        <v>725</v>
      </c>
      <c r="H1083" s="9" t="s">
        <v>661</v>
      </c>
      <c r="J1083" s="9" t="s">
        <v>726</v>
      </c>
      <c r="K1083" s="9" t="s">
        <v>1372</v>
      </c>
      <c r="L1083" s="9" t="s">
        <v>1373</v>
      </c>
      <c r="M1083" s="9" t="s">
        <v>1373</v>
      </c>
      <c r="N1083" s="9" t="str">
        <f t="shared" si="16"/>
        <v>DENIS ACASSIO</v>
      </c>
    </row>
    <row r="1084" spans="1:14" x14ac:dyDescent="0.3">
      <c r="A1084" s="9">
        <v>702521</v>
      </c>
      <c r="B1084" s="9" t="s">
        <v>1010</v>
      </c>
      <c r="C1084" s="10" t="s">
        <v>15</v>
      </c>
      <c r="D1084" s="11">
        <v>44411</v>
      </c>
      <c r="E1084" s="9" t="s">
        <v>1011</v>
      </c>
      <c r="F1084" s="9">
        <v>39602</v>
      </c>
      <c r="G1084" s="9" t="s">
        <v>699</v>
      </c>
      <c r="H1084" s="9" t="s">
        <v>661</v>
      </c>
      <c r="J1084" s="9" t="s">
        <v>700</v>
      </c>
      <c r="K1084" s="9" t="s">
        <v>666</v>
      </c>
      <c r="L1084" s="9" t="s">
        <v>258</v>
      </c>
      <c r="M1084" s="9" t="s">
        <v>701</v>
      </c>
      <c r="N1084" s="9" t="str">
        <f t="shared" si="16"/>
        <v>IURY GUEDES</v>
      </c>
    </row>
    <row r="1085" spans="1:14" x14ac:dyDescent="0.3">
      <c r="A1085" s="9">
        <v>705555</v>
      </c>
      <c r="B1085" s="9" t="s">
        <v>1343</v>
      </c>
      <c r="C1085" s="10" t="s">
        <v>15</v>
      </c>
      <c r="D1085" s="11">
        <v>45874</v>
      </c>
      <c r="E1085" s="9" t="s">
        <v>31</v>
      </c>
      <c r="F1085" s="9">
        <v>24102</v>
      </c>
      <c r="G1085" s="9" t="s">
        <v>669</v>
      </c>
      <c r="H1085" s="9" t="s">
        <v>661</v>
      </c>
      <c r="J1085" s="9" t="s">
        <v>680</v>
      </c>
      <c r="K1085" s="9" t="s">
        <v>666</v>
      </c>
      <c r="L1085" s="9" t="s">
        <v>1388</v>
      </c>
      <c r="M1085" s="9" t="s">
        <v>1637</v>
      </c>
      <c r="N1085" s="9" t="str">
        <f t="shared" si="16"/>
        <v>JUNIO TEIXEIRA /EDIVILSON</v>
      </c>
    </row>
    <row r="1086" spans="1:14" x14ac:dyDescent="0.3">
      <c r="A1086" s="9">
        <v>705989</v>
      </c>
      <c r="B1086" s="9" t="s">
        <v>1758</v>
      </c>
      <c r="C1086" s="10" t="s">
        <v>15</v>
      </c>
      <c r="D1086" s="11">
        <v>46119</v>
      </c>
      <c r="E1086" s="9" t="s">
        <v>31</v>
      </c>
      <c r="F1086" s="9">
        <v>24102</v>
      </c>
      <c r="G1086" s="9" t="s">
        <v>669</v>
      </c>
      <c r="H1086" s="9" t="s">
        <v>661</v>
      </c>
      <c r="J1086" s="9" t="s">
        <v>670</v>
      </c>
      <c r="K1086" s="9" t="s">
        <v>666</v>
      </c>
      <c r="L1086" s="9" t="s">
        <v>1388</v>
      </c>
      <c r="M1086" s="9" t="s">
        <v>1637</v>
      </c>
      <c r="N1086" s="9" t="str">
        <f t="shared" si="16"/>
        <v>JUNIO TEIXEIRA /EDIVILSON</v>
      </c>
    </row>
    <row r="1087" spans="1:14" x14ac:dyDescent="0.3">
      <c r="A1087" s="9">
        <v>704978</v>
      </c>
      <c r="B1087" s="9" t="s">
        <v>1014</v>
      </c>
      <c r="C1087" s="10" t="s">
        <v>15</v>
      </c>
      <c r="D1087" s="11">
        <v>45629</v>
      </c>
      <c r="E1087" s="9" t="s">
        <v>418</v>
      </c>
      <c r="F1087" s="9">
        <v>39601</v>
      </c>
      <c r="G1087" s="9" t="s">
        <v>660</v>
      </c>
      <c r="H1087" s="9" t="s">
        <v>661</v>
      </c>
      <c r="J1087" s="9" t="s">
        <v>684</v>
      </c>
      <c r="K1087" s="9" t="s">
        <v>666</v>
      </c>
      <c r="L1087" s="9" t="s">
        <v>258</v>
      </c>
      <c r="M1087" s="9" t="s">
        <v>1392</v>
      </c>
      <c r="N1087" s="9" t="str">
        <f t="shared" si="16"/>
        <v>ADALTON/JANILSON RORIZ/MARIVALDO</v>
      </c>
    </row>
    <row r="1088" spans="1:14" x14ac:dyDescent="0.3">
      <c r="A1088" s="9">
        <v>700841</v>
      </c>
      <c r="B1088" s="9" t="s">
        <v>1015</v>
      </c>
      <c r="C1088" s="10" t="s">
        <v>15</v>
      </c>
      <c r="D1088" s="11">
        <v>43500</v>
      </c>
      <c r="E1088" s="9" t="s">
        <v>138</v>
      </c>
      <c r="F1088" s="9">
        <v>24102</v>
      </c>
      <c r="G1088" s="9" t="s">
        <v>669</v>
      </c>
      <c r="H1088" s="9" t="s">
        <v>661</v>
      </c>
      <c r="J1088" s="9" t="s">
        <v>670</v>
      </c>
      <c r="K1088" s="9" t="s">
        <v>666</v>
      </c>
      <c r="L1088" s="9" t="s">
        <v>1388</v>
      </c>
      <c r="M1088" s="9" t="s">
        <v>1637</v>
      </c>
      <c r="N1088" s="9" t="str">
        <f t="shared" si="16"/>
        <v>JUNIO TEIXEIRA /EDIVILSON</v>
      </c>
    </row>
    <row r="1089" spans="1:14" x14ac:dyDescent="0.3">
      <c r="A1089" s="9">
        <v>705861</v>
      </c>
      <c r="B1089" s="9" t="s">
        <v>1591</v>
      </c>
      <c r="C1089" s="10" t="s">
        <v>15</v>
      </c>
      <c r="D1089" s="11">
        <v>46063</v>
      </c>
      <c r="E1089" s="9" t="s">
        <v>31</v>
      </c>
      <c r="F1089" s="9">
        <v>24102</v>
      </c>
      <c r="G1089" s="9" t="s">
        <v>669</v>
      </c>
      <c r="H1089" s="9" t="s">
        <v>661</v>
      </c>
      <c r="J1089" s="9" t="s">
        <v>670</v>
      </c>
      <c r="K1089" s="9" t="s">
        <v>666</v>
      </c>
      <c r="L1089" s="9" t="s">
        <v>1388</v>
      </c>
      <c r="M1089" s="9" t="s">
        <v>1637</v>
      </c>
      <c r="N1089" s="9" t="str">
        <f t="shared" si="16"/>
        <v>JUNIO TEIXEIRA /EDIVILSON</v>
      </c>
    </row>
    <row r="1090" spans="1:14" x14ac:dyDescent="0.3">
      <c r="A1090" s="9">
        <v>704113</v>
      </c>
      <c r="B1090" s="9" t="s">
        <v>1016</v>
      </c>
      <c r="C1090" s="10" t="s">
        <v>15</v>
      </c>
      <c r="D1090" s="11">
        <v>45215</v>
      </c>
      <c r="E1090" s="9" t="s">
        <v>381</v>
      </c>
      <c r="F1090" s="9">
        <v>39602</v>
      </c>
      <c r="G1090" s="9" t="s">
        <v>699</v>
      </c>
      <c r="H1090" s="9" t="s">
        <v>661</v>
      </c>
      <c r="J1090" s="9" t="s">
        <v>700</v>
      </c>
      <c r="K1090" s="9" t="s">
        <v>666</v>
      </c>
      <c r="L1090" s="9" t="s">
        <v>258</v>
      </c>
      <c r="M1090" s="9" t="s">
        <v>701</v>
      </c>
      <c r="N1090" s="9" t="str">
        <f t="shared" si="16"/>
        <v>IURY GUEDES</v>
      </c>
    </row>
    <row r="1091" spans="1:14" x14ac:dyDescent="0.3">
      <c r="A1091" s="9">
        <v>704225</v>
      </c>
      <c r="B1091" s="9" t="s">
        <v>1017</v>
      </c>
      <c r="C1091" s="10" t="s">
        <v>15</v>
      </c>
      <c r="D1091" s="11">
        <v>45328</v>
      </c>
      <c r="E1091" s="9" t="s">
        <v>16</v>
      </c>
      <c r="F1091" s="9">
        <v>24102</v>
      </c>
      <c r="G1091" s="9" t="s">
        <v>669</v>
      </c>
      <c r="H1091" s="9" t="s">
        <v>661</v>
      </c>
      <c r="J1091" s="9" t="s">
        <v>682</v>
      </c>
      <c r="K1091" s="9" t="s">
        <v>666</v>
      </c>
      <c r="L1091" s="9" t="s">
        <v>1390</v>
      </c>
      <c r="M1091" s="9" t="s">
        <v>1391</v>
      </c>
      <c r="N1091" s="9" t="str">
        <f t="shared" ref="N1091:N1154" si="17">IF(M1091&lt;&gt;"", M1091, IF(L1091&lt;&gt;"", L1091, K1091))</f>
        <v>ALCENO JUNIOR/JOÃO MARCOS</v>
      </c>
    </row>
    <row r="1092" spans="1:14" x14ac:dyDescent="0.3">
      <c r="A1092" s="9">
        <v>705850</v>
      </c>
      <c r="B1092" s="9" t="s">
        <v>1592</v>
      </c>
      <c r="C1092" s="10" t="s">
        <v>15</v>
      </c>
      <c r="D1092" s="11">
        <v>46063</v>
      </c>
      <c r="E1092" s="9" t="s">
        <v>31</v>
      </c>
      <c r="F1092" s="9">
        <v>24102</v>
      </c>
      <c r="G1092" s="9" t="s">
        <v>669</v>
      </c>
      <c r="H1092" s="9" t="s">
        <v>661</v>
      </c>
      <c r="J1092" s="9" t="s">
        <v>672</v>
      </c>
      <c r="K1092" s="9" t="s">
        <v>666</v>
      </c>
      <c r="L1092" s="9" t="s">
        <v>1388</v>
      </c>
      <c r="M1092" s="9" t="s">
        <v>1637</v>
      </c>
      <c r="N1092" s="9" t="str">
        <f t="shared" si="17"/>
        <v>JUNIO TEIXEIRA /EDIVILSON</v>
      </c>
    </row>
    <row r="1093" spans="1:14" x14ac:dyDescent="0.3">
      <c r="A1093" s="9">
        <v>700941</v>
      </c>
      <c r="B1093" s="9" t="s">
        <v>1018</v>
      </c>
      <c r="C1093" s="10" t="s">
        <v>15</v>
      </c>
      <c r="D1093" s="11">
        <v>42445</v>
      </c>
      <c r="E1093" s="9" t="s">
        <v>1365</v>
      </c>
      <c r="F1093" s="9">
        <v>24101</v>
      </c>
      <c r="G1093" s="9" t="s">
        <v>968</v>
      </c>
      <c r="H1093" s="9" t="s">
        <v>661</v>
      </c>
      <c r="J1093" s="9" t="s">
        <v>273</v>
      </c>
      <c r="K1093" s="9" t="s">
        <v>124</v>
      </c>
      <c r="N1093" s="9" t="str">
        <f t="shared" si="17"/>
        <v>MATHEUS FERNANDES</v>
      </c>
    </row>
    <row r="1094" spans="1:14" x14ac:dyDescent="0.3">
      <c r="A1094" s="9">
        <v>703153</v>
      </c>
      <c r="B1094" s="9" t="s">
        <v>1019</v>
      </c>
      <c r="C1094" s="10" t="s">
        <v>15</v>
      </c>
      <c r="D1094" s="11">
        <v>44733</v>
      </c>
      <c r="E1094" s="9" t="s">
        <v>686</v>
      </c>
      <c r="F1094" s="9">
        <v>39601</v>
      </c>
      <c r="G1094" s="9" t="s">
        <v>660</v>
      </c>
      <c r="H1094" s="9" t="s">
        <v>661</v>
      </c>
      <c r="J1094" s="9" t="s">
        <v>684</v>
      </c>
      <c r="K1094" s="9" t="s">
        <v>666</v>
      </c>
      <c r="L1094" s="9" t="s">
        <v>258</v>
      </c>
      <c r="M1094" s="9" t="s">
        <v>1392</v>
      </c>
      <c r="N1094" s="9" t="str">
        <f t="shared" si="17"/>
        <v>ADALTON/JANILSON RORIZ/MARIVALDO</v>
      </c>
    </row>
    <row r="1095" spans="1:14" x14ac:dyDescent="0.3">
      <c r="A1095" s="9">
        <v>704907</v>
      </c>
      <c r="B1095" s="9" t="s">
        <v>1020</v>
      </c>
      <c r="C1095" s="10" t="s">
        <v>15</v>
      </c>
      <c r="D1095" s="11">
        <v>45601</v>
      </c>
      <c r="E1095" s="9" t="s">
        <v>31</v>
      </c>
      <c r="F1095" s="9">
        <v>39601</v>
      </c>
      <c r="G1095" s="9" t="s">
        <v>660</v>
      </c>
      <c r="H1095" s="9" t="s">
        <v>661</v>
      </c>
      <c r="J1095" s="9" t="s">
        <v>684</v>
      </c>
      <c r="K1095" s="9" t="s">
        <v>666</v>
      </c>
      <c r="L1095" s="9" t="s">
        <v>258</v>
      </c>
      <c r="M1095" s="9" t="s">
        <v>1392</v>
      </c>
      <c r="N1095" s="9" t="str">
        <f t="shared" si="17"/>
        <v>ADALTON/JANILSON RORIZ/MARIVALDO</v>
      </c>
    </row>
    <row r="1096" spans="1:14" x14ac:dyDescent="0.3">
      <c r="A1096" s="9">
        <v>705852</v>
      </c>
      <c r="B1096" s="9" t="s">
        <v>1593</v>
      </c>
      <c r="C1096" s="10" t="s">
        <v>15</v>
      </c>
      <c r="D1096" s="11">
        <v>46063</v>
      </c>
      <c r="E1096" s="9" t="s">
        <v>31</v>
      </c>
      <c r="F1096" s="9">
        <v>24102</v>
      </c>
      <c r="G1096" s="9" t="s">
        <v>669</v>
      </c>
      <c r="H1096" s="9" t="s">
        <v>661</v>
      </c>
      <c r="J1096" s="9" t="s">
        <v>672</v>
      </c>
      <c r="K1096" s="9" t="s">
        <v>666</v>
      </c>
      <c r="L1096" s="9" t="s">
        <v>1388</v>
      </c>
      <c r="M1096" s="9" t="s">
        <v>1637</v>
      </c>
      <c r="N1096" s="9" t="str">
        <f t="shared" si="17"/>
        <v>JUNIO TEIXEIRA /EDIVILSON</v>
      </c>
    </row>
    <row r="1097" spans="1:14" x14ac:dyDescent="0.3">
      <c r="A1097" s="9">
        <v>703633</v>
      </c>
      <c r="B1097" s="9" t="s">
        <v>1021</v>
      </c>
      <c r="C1097" s="10" t="s">
        <v>15</v>
      </c>
      <c r="D1097" s="11">
        <v>44993</v>
      </c>
      <c r="E1097" s="9" t="s">
        <v>238</v>
      </c>
      <c r="F1097" s="9">
        <v>37102</v>
      </c>
      <c r="G1097" s="9" t="s">
        <v>694</v>
      </c>
      <c r="H1097" s="9" t="s">
        <v>661</v>
      </c>
      <c r="J1097" s="9" t="s">
        <v>239</v>
      </c>
      <c r="K1097" s="9" t="s">
        <v>216</v>
      </c>
      <c r="N1097" s="9" t="str">
        <f t="shared" si="17"/>
        <v>CARSON NEVES</v>
      </c>
    </row>
    <row r="1098" spans="1:14" x14ac:dyDescent="0.3">
      <c r="A1098" s="9">
        <v>705866</v>
      </c>
      <c r="B1098" s="9" t="s">
        <v>1594</v>
      </c>
      <c r="C1098" s="10" t="s">
        <v>15</v>
      </c>
      <c r="D1098" s="11">
        <v>46063</v>
      </c>
      <c r="E1098" s="9" t="s">
        <v>16</v>
      </c>
      <c r="F1098" s="9">
        <v>24102</v>
      </c>
      <c r="G1098" s="9" t="s">
        <v>669</v>
      </c>
      <c r="H1098" s="9" t="s">
        <v>661</v>
      </c>
      <c r="J1098" s="9" t="s">
        <v>670</v>
      </c>
      <c r="K1098" s="9" t="s">
        <v>666</v>
      </c>
      <c r="L1098" s="9" t="s">
        <v>1388</v>
      </c>
      <c r="M1098" s="9" t="s">
        <v>1637</v>
      </c>
      <c r="N1098" s="9" t="str">
        <f t="shared" si="17"/>
        <v>JUNIO TEIXEIRA /EDIVILSON</v>
      </c>
    </row>
    <row r="1099" spans="1:14" x14ac:dyDescent="0.3">
      <c r="A1099" s="9">
        <v>705951</v>
      </c>
      <c r="B1099" s="9" t="s">
        <v>1759</v>
      </c>
      <c r="C1099" s="10" t="s">
        <v>15</v>
      </c>
      <c r="D1099" s="11">
        <v>46119</v>
      </c>
      <c r="E1099" s="9" t="s">
        <v>77</v>
      </c>
      <c r="F1099" s="9">
        <v>38108</v>
      </c>
      <c r="G1099" s="9" t="s">
        <v>1698</v>
      </c>
      <c r="H1099" s="9" t="s">
        <v>661</v>
      </c>
      <c r="J1099" s="9" t="s">
        <v>78</v>
      </c>
      <c r="K1099" s="9" t="s">
        <v>1372</v>
      </c>
      <c r="N1099" s="9" t="str">
        <f t="shared" si="17"/>
        <v xml:space="preserve">LEIDJANE MARTINS </v>
      </c>
    </row>
    <row r="1100" spans="1:14" x14ac:dyDescent="0.3">
      <c r="A1100" s="9">
        <v>704062</v>
      </c>
      <c r="B1100" s="9" t="s">
        <v>1022</v>
      </c>
      <c r="C1100" s="10" t="s">
        <v>15</v>
      </c>
      <c r="D1100" s="11">
        <v>45154</v>
      </c>
      <c r="E1100" s="9" t="s">
        <v>31</v>
      </c>
      <c r="F1100" s="9">
        <v>24102</v>
      </c>
      <c r="G1100" s="9" t="s">
        <v>669</v>
      </c>
      <c r="H1100" s="9" t="s">
        <v>661</v>
      </c>
      <c r="J1100" s="9" t="s">
        <v>680</v>
      </c>
      <c r="K1100" s="9" t="s">
        <v>666</v>
      </c>
      <c r="L1100" s="9" t="s">
        <v>1388</v>
      </c>
      <c r="M1100" s="9" t="s">
        <v>1637</v>
      </c>
      <c r="N1100" s="9" t="str">
        <f t="shared" si="17"/>
        <v>JUNIO TEIXEIRA /EDIVILSON</v>
      </c>
    </row>
    <row r="1101" spans="1:14" x14ac:dyDescent="0.3">
      <c r="A1101" s="9">
        <v>703315</v>
      </c>
      <c r="B1101" s="9" t="s">
        <v>1023</v>
      </c>
      <c r="C1101" s="10" t="s">
        <v>15</v>
      </c>
      <c r="D1101" s="11">
        <v>44824</v>
      </c>
      <c r="E1101" s="9" t="s">
        <v>507</v>
      </c>
      <c r="F1101" s="9">
        <v>24201</v>
      </c>
      <c r="G1101" s="9" t="s">
        <v>664</v>
      </c>
      <c r="H1101" s="9" t="s">
        <v>661</v>
      </c>
      <c r="J1101" s="9" t="s">
        <v>665</v>
      </c>
      <c r="K1101" s="9" t="s">
        <v>666</v>
      </c>
      <c r="L1101" s="9" t="s">
        <v>258</v>
      </c>
      <c r="M1101" s="9" t="s">
        <v>667</v>
      </c>
      <c r="N1101" s="9" t="str">
        <f t="shared" si="17"/>
        <v>JOSIEL NEVES</v>
      </c>
    </row>
    <row r="1102" spans="1:14" x14ac:dyDescent="0.3">
      <c r="A1102" s="9">
        <v>704385</v>
      </c>
      <c r="B1102" s="9" t="s">
        <v>496</v>
      </c>
      <c r="C1102" s="10" t="s">
        <v>15</v>
      </c>
      <c r="D1102" s="11">
        <v>45391</v>
      </c>
      <c r="E1102" s="9" t="s">
        <v>905</v>
      </c>
      <c r="F1102" s="9">
        <v>32102</v>
      </c>
      <c r="G1102" s="9" t="s">
        <v>674</v>
      </c>
      <c r="H1102" s="9" t="s">
        <v>661</v>
      </c>
      <c r="J1102" s="9" t="s">
        <v>1643</v>
      </c>
      <c r="K1102" s="9" t="s">
        <v>25</v>
      </c>
      <c r="M1102" s="9" t="s">
        <v>1780</v>
      </c>
      <c r="N1102" s="9" t="str">
        <f t="shared" si="17"/>
        <v>JOSE ALBERISSON</v>
      </c>
    </row>
    <row r="1103" spans="1:14" x14ac:dyDescent="0.3">
      <c r="A1103" s="9">
        <v>700126</v>
      </c>
      <c r="B1103" s="9" t="s">
        <v>1026</v>
      </c>
      <c r="C1103" s="10" t="s">
        <v>15</v>
      </c>
      <c r="D1103" s="11">
        <v>43192</v>
      </c>
      <c r="E1103" s="9" t="s">
        <v>31</v>
      </c>
      <c r="F1103" s="9">
        <v>24102</v>
      </c>
      <c r="G1103" s="9" t="s">
        <v>669</v>
      </c>
      <c r="H1103" s="9" t="s">
        <v>661</v>
      </c>
      <c r="J1103" s="9" t="s">
        <v>672</v>
      </c>
      <c r="K1103" s="9" t="s">
        <v>666</v>
      </c>
      <c r="L1103" s="9" t="s">
        <v>1388</v>
      </c>
      <c r="M1103" s="9" t="s">
        <v>1637</v>
      </c>
      <c r="N1103" s="9" t="str">
        <f t="shared" si="17"/>
        <v>JUNIO TEIXEIRA /EDIVILSON</v>
      </c>
    </row>
    <row r="1104" spans="1:14" x14ac:dyDescent="0.3">
      <c r="A1104" s="9">
        <v>701837</v>
      </c>
      <c r="B1104" s="9" t="s">
        <v>1027</v>
      </c>
      <c r="C1104" s="10" t="s">
        <v>15</v>
      </c>
      <c r="D1104" s="11">
        <v>44125</v>
      </c>
      <c r="E1104" s="9" t="s">
        <v>31</v>
      </c>
      <c r="F1104" s="9">
        <v>24102</v>
      </c>
      <c r="G1104" s="9" t="s">
        <v>669</v>
      </c>
      <c r="H1104" s="9" t="s">
        <v>661</v>
      </c>
      <c r="J1104" s="9" t="s">
        <v>680</v>
      </c>
      <c r="K1104" s="9" t="s">
        <v>666</v>
      </c>
      <c r="L1104" s="9" t="s">
        <v>1388</v>
      </c>
      <c r="M1104" s="9" t="s">
        <v>1637</v>
      </c>
      <c r="N1104" s="9" t="str">
        <f t="shared" si="17"/>
        <v>JUNIO TEIXEIRA /EDIVILSON</v>
      </c>
    </row>
    <row r="1105" spans="1:14" x14ac:dyDescent="0.3">
      <c r="A1105" s="9">
        <v>701315</v>
      </c>
      <c r="B1105" s="9" t="s">
        <v>1028</v>
      </c>
      <c r="C1105" s="10" t="s">
        <v>15</v>
      </c>
      <c r="D1105" s="11">
        <v>43732</v>
      </c>
      <c r="E1105" s="9" t="s">
        <v>146</v>
      </c>
      <c r="F1105" s="9">
        <v>24102</v>
      </c>
      <c r="G1105" s="9" t="s">
        <v>669</v>
      </c>
      <c r="H1105" s="9" t="s">
        <v>661</v>
      </c>
      <c r="J1105" s="9" t="s">
        <v>682</v>
      </c>
      <c r="K1105" s="9" t="s">
        <v>666</v>
      </c>
      <c r="L1105" s="9" t="s">
        <v>1390</v>
      </c>
      <c r="M1105" s="9" t="s">
        <v>1391</v>
      </c>
      <c r="N1105" s="9" t="str">
        <f t="shared" si="17"/>
        <v>ALCENO JUNIOR/JOÃO MARCOS</v>
      </c>
    </row>
    <row r="1106" spans="1:14" x14ac:dyDescent="0.3">
      <c r="A1106" s="9">
        <v>703221</v>
      </c>
      <c r="B1106" s="9" t="s">
        <v>1029</v>
      </c>
      <c r="C1106" s="10" t="s">
        <v>15</v>
      </c>
      <c r="D1106" s="11">
        <v>44756</v>
      </c>
      <c r="E1106" s="9" t="s">
        <v>686</v>
      </c>
      <c r="F1106" s="9">
        <v>39601</v>
      </c>
      <c r="G1106" s="9" t="s">
        <v>660</v>
      </c>
      <c r="H1106" s="9" t="s">
        <v>661</v>
      </c>
      <c r="J1106" s="9" t="s">
        <v>662</v>
      </c>
      <c r="K1106" s="9" t="s">
        <v>666</v>
      </c>
      <c r="L1106" s="9" t="s">
        <v>258</v>
      </c>
      <c r="N1106" s="9" t="str">
        <f t="shared" si="17"/>
        <v>MATHEUS ALMEIDA</v>
      </c>
    </row>
    <row r="1107" spans="1:14" x14ac:dyDescent="0.3">
      <c r="A1107" s="9">
        <v>705070</v>
      </c>
      <c r="B1107" s="9" t="s">
        <v>1030</v>
      </c>
      <c r="C1107" s="10" t="s">
        <v>15</v>
      </c>
      <c r="D1107" s="11">
        <v>45670</v>
      </c>
      <c r="E1107" s="9" t="s">
        <v>31</v>
      </c>
      <c r="F1107" s="9">
        <v>24102</v>
      </c>
      <c r="G1107" s="9" t="s">
        <v>669</v>
      </c>
      <c r="H1107" s="9" t="s">
        <v>661</v>
      </c>
      <c r="J1107" s="9" t="s">
        <v>672</v>
      </c>
      <c r="K1107" s="9" t="s">
        <v>666</v>
      </c>
      <c r="L1107" s="9" t="s">
        <v>1388</v>
      </c>
      <c r="M1107" s="9" t="s">
        <v>1637</v>
      </c>
      <c r="N1107" s="9" t="str">
        <f t="shared" si="17"/>
        <v>JUNIO TEIXEIRA /EDIVILSON</v>
      </c>
    </row>
    <row r="1108" spans="1:14" x14ac:dyDescent="0.3">
      <c r="A1108" s="9">
        <v>704927</v>
      </c>
      <c r="B1108" s="9" t="s">
        <v>1366</v>
      </c>
      <c r="C1108" s="10" t="s">
        <v>15</v>
      </c>
      <c r="D1108" s="11">
        <v>45601</v>
      </c>
      <c r="E1108" s="9" t="s">
        <v>138</v>
      </c>
      <c r="F1108" s="9">
        <v>24102</v>
      </c>
      <c r="G1108" s="9" t="s">
        <v>669</v>
      </c>
      <c r="H1108" s="9" t="s">
        <v>661</v>
      </c>
      <c r="J1108" s="9" t="s">
        <v>682</v>
      </c>
      <c r="K1108" s="9" t="s">
        <v>666</v>
      </c>
      <c r="L1108" s="9" t="s">
        <v>1390</v>
      </c>
      <c r="M1108" s="9" t="s">
        <v>1391</v>
      </c>
      <c r="N1108" s="9" t="str">
        <f t="shared" si="17"/>
        <v>ALCENO JUNIOR/JOÃO MARCOS</v>
      </c>
    </row>
    <row r="1109" spans="1:14" x14ac:dyDescent="0.3">
      <c r="A1109" s="9">
        <v>703939</v>
      </c>
      <c r="B1109" s="9" t="s">
        <v>1031</v>
      </c>
      <c r="C1109" s="10" t="s">
        <v>15</v>
      </c>
      <c r="D1109" s="11">
        <v>45089</v>
      </c>
      <c r="E1109" s="9" t="s">
        <v>31</v>
      </c>
      <c r="F1109" s="9">
        <v>24102</v>
      </c>
      <c r="G1109" s="9" t="s">
        <v>669</v>
      </c>
      <c r="H1109" s="9" t="s">
        <v>661</v>
      </c>
      <c r="J1109" s="9" t="s">
        <v>680</v>
      </c>
      <c r="K1109" s="9" t="s">
        <v>666</v>
      </c>
      <c r="L1109" s="9" t="s">
        <v>1388</v>
      </c>
      <c r="M1109" s="9" t="s">
        <v>1637</v>
      </c>
      <c r="N1109" s="9" t="str">
        <f t="shared" si="17"/>
        <v>JUNIO TEIXEIRA /EDIVILSON</v>
      </c>
    </row>
    <row r="1110" spans="1:14" x14ac:dyDescent="0.3">
      <c r="A1110" s="9">
        <v>700661</v>
      </c>
      <c r="B1110" s="9" t="s">
        <v>1032</v>
      </c>
      <c r="C1110" s="10" t="s">
        <v>15</v>
      </c>
      <c r="D1110" s="11">
        <v>42989</v>
      </c>
      <c r="E1110" s="9" t="s">
        <v>1363</v>
      </c>
      <c r="F1110" s="9">
        <v>39203</v>
      </c>
      <c r="G1110" s="9" t="s">
        <v>709</v>
      </c>
      <c r="H1110" s="9" t="s">
        <v>661</v>
      </c>
      <c r="J1110" s="9" t="s">
        <v>710</v>
      </c>
      <c r="K1110" s="9" t="s">
        <v>50</v>
      </c>
      <c r="L1110" s="9" t="s">
        <v>1382</v>
      </c>
      <c r="M1110" s="9" t="s">
        <v>1382</v>
      </c>
      <c r="N1110" s="9" t="str">
        <f t="shared" si="17"/>
        <v>ADENILTON RODRIGUES</v>
      </c>
    </row>
    <row r="1111" spans="1:14" x14ac:dyDescent="0.3">
      <c r="A1111" s="9">
        <v>705281</v>
      </c>
      <c r="B1111" s="9" t="s">
        <v>1033</v>
      </c>
      <c r="C1111" s="10" t="s">
        <v>15</v>
      </c>
      <c r="D1111" s="11">
        <v>45762</v>
      </c>
      <c r="E1111" s="9" t="s">
        <v>31</v>
      </c>
      <c r="F1111" s="9">
        <v>39601</v>
      </c>
      <c r="G1111" s="9" t="s">
        <v>660</v>
      </c>
      <c r="H1111" s="9" t="s">
        <v>661</v>
      </c>
      <c r="J1111" s="9" t="s">
        <v>684</v>
      </c>
      <c r="K1111" s="9" t="s">
        <v>666</v>
      </c>
      <c r="L1111" s="9" t="s">
        <v>258</v>
      </c>
      <c r="M1111" s="9" t="s">
        <v>1392</v>
      </c>
      <c r="N1111" s="9" t="str">
        <f t="shared" si="17"/>
        <v>ADALTON/JANILSON RORIZ/MARIVALDO</v>
      </c>
    </row>
    <row r="1112" spans="1:14" x14ac:dyDescent="0.3">
      <c r="A1112" s="9">
        <v>704977</v>
      </c>
      <c r="B1112" s="9" t="s">
        <v>1035</v>
      </c>
      <c r="C1112" s="10" t="s">
        <v>15</v>
      </c>
      <c r="D1112" s="11">
        <v>45629</v>
      </c>
      <c r="E1112" s="9" t="s">
        <v>427</v>
      </c>
      <c r="F1112" s="9">
        <v>39602</v>
      </c>
      <c r="G1112" s="9" t="s">
        <v>699</v>
      </c>
      <c r="H1112" s="9" t="s">
        <v>661</v>
      </c>
      <c r="J1112" s="9" t="s">
        <v>700</v>
      </c>
      <c r="K1112" s="9" t="s">
        <v>666</v>
      </c>
      <c r="L1112" s="9" t="s">
        <v>258</v>
      </c>
      <c r="M1112" s="9" t="s">
        <v>701</v>
      </c>
      <c r="N1112" s="9" t="str">
        <f t="shared" si="17"/>
        <v>IURY GUEDES</v>
      </c>
    </row>
    <row r="1113" spans="1:14" x14ac:dyDescent="0.3">
      <c r="A1113" s="9">
        <v>705846</v>
      </c>
      <c r="B1113" s="9" t="s">
        <v>1631</v>
      </c>
      <c r="C1113" s="10" t="s">
        <v>15</v>
      </c>
      <c r="D1113" s="11">
        <v>46091</v>
      </c>
      <c r="E1113" s="9" t="s">
        <v>31</v>
      </c>
      <c r="F1113" s="9">
        <v>24102</v>
      </c>
      <c r="G1113" s="9" t="s">
        <v>669</v>
      </c>
      <c r="H1113" s="9" t="s">
        <v>661</v>
      </c>
      <c r="J1113" s="9" t="s">
        <v>670</v>
      </c>
      <c r="K1113" s="9" t="s">
        <v>666</v>
      </c>
      <c r="L1113" s="9" t="s">
        <v>1388</v>
      </c>
      <c r="M1113" s="9" t="s">
        <v>1637</v>
      </c>
      <c r="N1113" s="9" t="str">
        <f t="shared" si="17"/>
        <v>JUNIO TEIXEIRA /EDIVILSON</v>
      </c>
    </row>
    <row r="1114" spans="1:14" x14ac:dyDescent="0.3">
      <c r="A1114" s="9">
        <v>705927</v>
      </c>
      <c r="B1114" s="9" t="s">
        <v>1760</v>
      </c>
      <c r="C1114" s="10" t="s">
        <v>15</v>
      </c>
      <c r="D1114" s="11">
        <v>46119</v>
      </c>
      <c r="E1114" s="9" t="s">
        <v>77</v>
      </c>
      <c r="F1114" s="9">
        <v>38108</v>
      </c>
      <c r="G1114" s="9" t="s">
        <v>1698</v>
      </c>
      <c r="H1114" s="9" t="s">
        <v>661</v>
      </c>
      <c r="J1114" s="9" t="s">
        <v>78</v>
      </c>
      <c r="K1114" s="9" t="s">
        <v>1372</v>
      </c>
      <c r="N1114" s="9" t="str">
        <f t="shared" si="17"/>
        <v xml:space="preserve">LEIDJANE MARTINS </v>
      </c>
    </row>
    <row r="1115" spans="1:14" x14ac:dyDescent="0.3">
      <c r="A1115" s="9">
        <v>701596</v>
      </c>
      <c r="B1115" s="9" t="s">
        <v>1036</v>
      </c>
      <c r="C1115" s="10" t="s">
        <v>15</v>
      </c>
      <c r="D1115" s="11">
        <v>43985</v>
      </c>
      <c r="E1115" s="9" t="s">
        <v>1037</v>
      </c>
      <c r="F1115" s="9">
        <v>32102</v>
      </c>
      <c r="G1115" s="9" t="s">
        <v>674</v>
      </c>
      <c r="H1115" s="9" t="s">
        <v>661</v>
      </c>
      <c r="J1115" s="9" t="s">
        <v>1662</v>
      </c>
      <c r="K1115" s="9" t="s">
        <v>1508</v>
      </c>
      <c r="N1115" s="9" t="str">
        <f t="shared" si="17"/>
        <v xml:space="preserve">CARLOS OLIVEIRA </v>
      </c>
    </row>
    <row r="1116" spans="1:14" x14ac:dyDescent="0.3">
      <c r="A1116" s="9">
        <v>705693</v>
      </c>
      <c r="B1116" s="9" t="s">
        <v>1467</v>
      </c>
      <c r="C1116" s="10" t="s">
        <v>15</v>
      </c>
      <c r="D1116" s="11">
        <v>45971</v>
      </c>
      <c r="E1116" s="9" t="s">
        <v>152</v>
      </c>
      <c r="F1116" s="9">
        <v>39203</v>
      </c>
      <c r="G1116" s="9" t="s">
        <v>709</v>
      </c>
      <c r="H1116" s="9" t="s">
        <v>661</v>
      </c>
      <c r="J1116" s="9" t="s">
        <v>710</v>
      </c>
      <c r="K1116" s="9" t="s">
        <v>50</v>
      </c>
      <c r="L1116" s="9" t="s">
        <v>1382</v>
      </c>
      <c r="M1116" s="9" t="s">
        <v>1382</v>
      </c>
      <c r="N1116" s="9" t="str">
        <f t="shared" si="17"/>
        <v>ADENILTON RODRIGUES</v>
      </c>
    </row>
    <row r="1117" spans="1:14" x14ac:dyDescent="0.3">
      <c r="A1117" s="9">
        <v>706003</v>
      </c>
      <c r="B1117" s="9" t="s">
        <v>1761</v>
      </c>
      <c r="C1117" s="10" t="s">
        <v>15</v>
      </c>
      <c r="D1117" s="11">
        <v>46126</v>
      </c>
      <c r="E1117" s="9" t="s">
        <v>31</v>
      </c>
      <c r="F1117" s="9">
        <v>39601</v>
      </c>
      <c r="G1117" s="9" t="s">
        <v>660</v>
      </c>
      <c r="H1117" s="9" t="s">
        <v>661</v>
      </c>
      <c r="J1117" s="9" t="s">
        <v>662</v>
      </c>
      <c r="K1117" s="9" t="s">
        <v>666</v>
      </c>
      <c r="L1117" s="9" t="s">
        <v>258</v>
      </c>
      <c r="N1117" s="9" t="str">
        <f t="shared" si="17"/>
        <v>MATHEUS ALMEIDA</v>
      </c>
    </row>
    <row r="1118" spans="1:14" x14ac:dyDescent="0.3">
      <c r="A1118" s="9">
        <v>700186</v>
      </c>
      <c r="B1118" s="9" t="s">
        <v>1038</v>
      </c>
      <c r="C1118" s="10" t="s">
        <v>15</v>
      </c>
      <c r="D1118" s="11">
        <v>43234</v>
      </c>
      <c r="E1118" s="9" t="s">
        <v>166</v>
      </c>
      <c r="F1118" s="9">
        <v>24102</v>
      </c>
      <c r="G1118" s="9" t="s">
        <v>669</v>
      </c>
      <c r="H1118" s="9" t="s">
        <v>661</v>
      </c>
      <c r="J1118" s="9" t="s">
        <v>670</v>
      </c>
      <c r="K1118" s="9" t="s">
        <v>666</v>
      </c>
      <c r="L1118" s="9" t="s">
        <v>1388</v>
      </c>
      <c r="M1118" s="9" t="s">
        <v>1637</v>
      </c>
      <c r="N1118" s="9" t="str">
        <f t="shared" si="17"/>
        <v>JUNIO TEIXEIRA /EDIVILSON</v>
      </c>
    </row>
    <row r="1119" spans="1:14" x14ac:dyDescent="0.3">
      <c r="A1119" s="9">
        <v>705672</v>
      </c>
      <c r="B1119" s="9" t="s">
        <v>504</v>
      </c>
      <c r="C1119" s="10" t="s">
        <v>15</v>
      </c>
      <c r="D1119" s="11">
        <v>45944</v>
      </c>
      <c r="E1119" s="9" t="s">
        <v>31</v>
      </c>
      <c r="F1119" s="9">
        <v>39601</v>
      </c>
      <c r="G1119" s="9" t="s">
        <v>660</v>
      </c>
      <c r="H1119" s="9" t="s">
        <v>661</v>
      </c>
      <c r="J1119" s="9" t="s">
        <v>662</v>
      </c>
      <c r="K1119" s="9" t="s">
        <v>666</v>
      </c>
      <c r="L1119" s="9" t="s">
        <v>258</v>
      </c>
      <c r="N1119" s="9" t="str">
        <f t="shared" si="17"/>
        <v>MATHEUS ALMEIDA</v>
      </c>
    </row>
    <row r="1120" spans="1:14" x14ac:dyDescent="0.3">
      <c r="A1120" s="9">
        <v>703683</v>
      </c>
      <c r="B1120" s="9" t="s">
        <v>1039</v>
      </c>
      <c r="C1120" s="10" t="s">
        <v>15</v>
      </c>
      <c r="D1120" s="11">
        <v>45019</v>
      </c>
      <c r="E1120" s="9" t="s">
        <v>146</v>
      </c>
      <c r="F1120" s="9">
        <v>39601</v>
      </c>
      <c r="G1120" s="9" t="s">
        <v>660</v>
      </c>
      <c r="H1120" s="9" t="s">
        <v>661</v>
      </c>
      <c r="J1120" s="9" t="s">
        <v>684</v>
      </c>
      <c r="K1120" s="9" t="s">
        <v>666</v>
      </c>
      <c r="L1120" s="9" t="s">
        <v>258</v>
      </c>
      <c r="M1120" s="9" t="s">
        <v>1392</v>
      </c>
      <c r="N1120" s="9" t="str">
        <f t="shared" si="17"/>
        <v>ADALTON/JANILSON RORIZ/MARIVALDO</v>
      </c>
    </row>
    <row r="1121" spans="1:14" x14ac:dyDescent="0.3">
      <c r="A1121" s="9">
        <v>705944</v>
      </c>
      <c r="B1121" s="9" t="s">
        <v>1762</v>
      </c>
      <c r="C1121" s="10" t="s">
        <v>15</v>
      </c>
      <c r="D1121" s="11">
        <v>46119</v>
      </c>
      <c r="E1121" s="9" t="s">
        <v>77</v>
      </c>
      <c r="F1121" s="9">
        <v>38108</v>
      </c>
      <c r="G1121" s="9" t="s">
        <v>1698</v>
      </c>
      <c r="H1121" s="9" t="s">
        <v>661</v>
      </c>
      <c r="J1121" s="9" t="s">
        <v>78</v>
      </c>
      <c r="K1121" s="9" t="s">
        <v>1372</v>
      </c>
      <c r="N1121" s="9" t="str">
        <f t="shared" si="17"/>
        <v xml:space="preserve">LEIDJANE MARTINS </v>
      </c>
    </row>
    <row r="1122" spans="1:14" x14ac:dyDescent="0.3">
      <c r="A1122" s="9">
        <v>706037</v>
      </c>
      <c r="B1122" s="9" t="s">
        <v>1763</v>
      </c>
      <c r="C1122" s="10" t="s">
        <v>15</v>
      </c>
      <c r="D1122" s="11">
        <v>46126</v>
      </c>
      <c r="E1122" s="9" t="s">
        <v>31</v>
      </c>
      <c r="F1122" s="9">
        <v>24201</v>
      </c>
      <c r="G1122" s="9" t="s">
        <v>664</v>
      </c>
      <c r="H1122" s="9" t="s">
        <v>661</v>
      </c>
      <c r="J1122" s="9" t="s">
        <v>665</v>
      </c>
      <c r="K1122" s="9" t="s">
        <v>666</v>
      </c>
      <c r="L1122" s="9" t="s">
        <v>258</v>
      </c>
      <c r="M1122" s="9" t="s">
        <v>667</v>
      </c>
      <c r="N1122" s="9" t="str">
        <f t="shared" si="17"/>
        <v>JOSIEL NEVES</v>
      </c>
    </row>
    <row r="1123" spans="1:14" x14ac:dyDescent="0.3">
      <c r="A1123" s="9">
        <v>706014</v>
      </c>
      <c r="B1123" s="9" t="s">
        <v>1764</v>
      </c>
      <c r="C1123" s="10" t="s">
        <v>15</v>
      </c>
      <c r="D1123" s="11">
        <v>46126</v>
      </c>
      <c r="E1123" s="9" t="s">
        <v>31</v>
      </c>
      <c r="F1123" s="9">
        <v>39601</v>
      </c>
      <c r="G1123" s="9" t="s">
        <v>660</v>
      </c>
      <c r="H1123" s="9" t="s">
        <v>661</v>
      </c>
      <c r="J1123" s="9" t="s">
        <v>662</v>
      </c>
      <c r="K1123" s="9" t="s">
        <v>666</v>
      </c>
      <c r="L1123" s="9" t="s">
        <v>258</v>
      </c>
      <c r="N1123" s="9" t="str">
        <f t="shared" si="17"/>
        <v>MATHEUS ALMEIDA</v>
      </c>
    </row>
    <row r="1124" spans="1:14" x14ac:dyDescent="0.3">
      <c r="A1124" s="9">
        <v>701197</v>
      </c>
      <c r="B1124" s="9" t="s">
        <v>1040</v>
      </c>
      <c r="C1124" s="10" t="s">
        <v>15</v>
      </c>
      <c r="D1124" s="11">
        <v>43682</v>
      </c>
      <c r="E1124" s="9" t="s">
        <v>507</v>
      </c>
      <c r="F1124" s="9">
        <v>24102</v>
      </c>
      <c r="G1124" s="9" t="s">
        <v>669</v>
      </c>
      <c r="H1124" s="9" t="s">
        <v>661</v>
      </c>
      <c r="J1124" s="9" t="s">
        <v>682</v>
      </c>
      <c r="K1124" s="9" t="s">
        <v>666</v>
      </c>
      <c r="L1124" s="9" t="s">
        <v>1390</v>
      </c>
      <c r="M1124" s="9" t="s">
        <v>1391</v>
      </c>
      <c r="N1124" s="9" t="str">
        <f t="shared" si="17"/>
        <v>ALCENO JUNIOR/JOÃO MARCOS</v>
      </c>
    </row>
    <row r="1125" spans="1:14" x14ac:dyDescent="0.3">
      <c r="A1125" s="9">
        <v>702616</v>
      </c>
      <c r="B1125" s="9" t="s">
        <v>1041</v>
      </c>
      <c r="C1125" s="10" t="s">
        <v>15</v>
      </c>
      <c r="D1125" s="11">
        <v>44487</v>
      </c>
      <c r="E1125" s="9" t="s">
        <v>60</v>
      </c>
      <c r="F1125" s="9">
        <v>24102</v>
      </c>
      <c r="G1125" s="9" t="s">
        <v>669</v>
      </c>
      <c r="H1125" s="9" t="s">
        <v>661</v>
      </c>
      <c r="J1125" s="9" t="s">
        <v>682</v>
      </c>
      <c r="K1125" s="9" t="s">
        <v>666</v>
      </c>
      <c r="L1125" s="9" t="s">
        <v>1390</v>
      </c>
      <c r="M1125" s="9" t="s">
        <v>1391</v>
      </c>
      <c r="N1125" s="9" t="str">
        <f t="shared" si="17"/>
        <v>ALCENO JUNIOR/JOÃO MARCOS</v>
      </c>
    </row>
    <row r="1126" spans="1:14" x14ac:dyDescent="0.3">
      <c r="A1126" s="9">
        <v>704359</v>
      </c>
      <c r="B1126" s="9" t="s">
        <v>513</v>
      </c>
      <c r="C1126" s="10" t="s">
        <v>15</v>
      </c>
      <c r="D1126" s="11">
        <v>45384</v>
      </c>
      <c r="E1126" s="9" t="s">
        <v>91</v>
      </c>
      <c r="F1126" s="9">
        <v>24102</v>
      </c>
      <c r="G1126" s="9" t="s">
        <v>669</v>
      </c>
      <c r="H1126" s="9" t="s">
        <v>661</v>
      </c>
      <c r="J1126" s="9" t="s">
        <v>682</v>
      </c>
      <c r="K1126" s="9" t="s">
        <v>666</v>
      </c>
      <c r="L1126" s="9" t="s">
        <v>1390</v>
      </c>
      <c r="M1126" s="9" t="s">
        <v>1391</v>
      </c>
      <c r="N1126" s="9" t="str">
        <f t="shared" si="17"/>
        <v>ALCENO JUNIOR/JOÃO MARCOS</v>
      </c>
    </row>
    <row r="1127" spans="1:14" x14ac:dyDescent="0.3">
      <c r="A1127" s="9">
        <v>705075</v>
      </c>
      <c r="B1127" s="9" t="s">
        <v>1044</v>
      </c>
      <c r="C1127" s="10" t="s">
        <v>15</v>
      </c>
      <c r="D1127" s="11">
        <v>45671</v>
      </c>
      <c r="E1127" s="9" t="s">
        <v>31</v>
      </c>
      <c r="F1127" s="9">
        <v>24102</v>
      </c>
      <c r="G1127" s="9" t="s">
        <v>669</v>
      </c>
      <c r="H1127" s="9" t="s">
        <v>661</v>
      </c>
      <c r="J1127" s="9" t="s">
        <v>672</v>
      </c>
      <c r="K1127" s="9" t="s">
        <v>666</v>
      </c>
      <c r="L1127" s="9" t="s">
        <v>1388</v>
      </c>
      <c r="M1127" s="9" t="s">
        <v>1637</v>
      </c>
      <c r="N1127" s="9" t="str">
        <f t="shared" si="17"/>
        <v>JUNIO TEIXEIRA /EDIVILSON</v>
      </c>
    </row>
    <row r="1128" spans="1:14" x14ac:dyDescent="0.3">
      <c r="A1128" s="9">
        <v>703936</v>
      </c>
      <c r="B1128" s="9" t="s">
        <v>1045</v>
      </c>
      <c r="C1128" s="10" t="s">
        <v>15</v>
      </c>
      <c r="D1128" s="11">
        <v>45089</v>
      </c>
      <c r="E1128" s="9" t="s">
        <v>138</v>
      </c>
      <c r="F1128" s="9">
        <v>24102</v>
      </c>
      <c r="G1128" s="9" t="s">
        <v>669</v>
      </c>
      <c r="H1128" s="9" t="s">
        <v>661</v>
      </c>
      <c r="J1128" s="9" t="s">
        <v>682</v>
      </c>
      <c r="K1128" s="9" t="s">
        <v>666</v>
      </c>
      <c r="L1128" s="9" t="s">
        <v>1390</v>
      </c>
      <c r="M1128" s="9" t="s">
        <v>1391</v>
      </c>
      <c r="N1128" s="9" t="str">
        <f t="shared" si="17"/>
        <v>ALCENO JUNIOR/JOÃO MARCOS</v>
      </c>
    </row>
    <row r="1129" spans="1:14" x14ac:dyDescent="0.3">
      <c r="A1129" s="9">
        <v>704395</v>
      </c>
      <c r="B1129" s="9" t="s">
        <v>1046</v>
      </c>
      <c r="C1129" s="10" t="s">
        <v>15</v>
      </c>
      <c r="D1129" s="11">
        <v>45391</v>
      </c>
      <c r="E1129" s="9" t="s">
        <v>27</v>
      </c>
      <c r="F1129" s="9">
        <v>39601</v>
      </c>
      <c r="G1129" s="9" t="s">
        <v>660</v>
      </c>
      <c r="H1129" s="9" t="s">
        <v>661</v>
      </c>
      <c r="J1129" s="9" t="s">
        <v>662</v>
      </c>
      <c r="K1129" s="9" t="s">
        <v>666</v>
      </c>
      <c r="L1129" s="9" t="s">
        <v>258</v>
      </c>
      <c r="N1129" s="9" t="str">
        <f t="shared" si="17"/>
        <v>MATHEUS ALMEIDA</v>
      </c>
    </row>
    <row r="1130" spans="1:14" x14ac:dyDescent="0.3">
      <c r="A1130" s="9">
        <v>703239</v>
      </c>
      <c r="B1130" s="9" t="s">
        <v>1048</v>
      </c>
      <c r="C1130" s="10" t="s">
        <v>15</v>
      </c>
      <c r="D1130" s="11">
        <v>44760</v>
      </c>
      <c r="E1130" s="9" t="s">
        <v>230</v>
      </c>
      <c r="F1130" s="9">
        <v>38102</v>
      </c>
      <c r="G1130" s="9" t="s">
        <v>725</v>
      </c>
      <c r="H1130" s="9" t="s">
        <v>661</v>
      </c>
      <c r="J1130" s="9" t="s">
        <v>726</v>
      </c>
      <c r="K1130" s="9" t="s">
        <v>1372</v>
      </c>
      <c r="L1130" s="9" t="s">
        <v>1373</v>
      </c>
      <c r="M1130" s="9" t="s">
        <v>1373</v>
      </c>
      <c r="N1130" s="9" t="str">
        <f t="shared" si="17"/>
        <v>DENIS ACASSIO</v>
      </c>
    </row>
    <row r="1131" spans="1:14" x14ac:dyDescent="0.3">
      <c r="A1131" s="9">
        <v>700755</v>
      </c>
      <c r="B1131" s="9" t="s">
        <v>1049</v>
      </c>
      <c r="C1131" s="10" t="s">
        <v>15</v>
      </c>
      <c r="D1131" s="11">
        <v>43410</v>
      </c>
      <c r="E1131" s="9" t="s">
        <v>97</v>
      </c>
      <c r="F1131" s="9">
        <v>32102</v>
      </c>
      <c r="G1131" s="9" t="s">
        <v>674</v>
      </c>
      <c r="H1131" s="9" t="s">
        <v>661</v>
      </c>
      <c r="J1131" s="9" t="s">
        <v>675</v>
      </c>
      <c r="K1131" s="9" t="s">
        <v>25</v>
      </c>
      <c r="L1131" s="9" t="s">
        <v>1369</v>
      </c>
      <c r="M1131" s="9" t="s">
        <v>1638</v>
      </c>
      <c r="N1131" s="9" t="str">
        <f t="shared" si="17"/>
        <v>EDIVILSON MENEZES</v>
      </c>
    </row>
    <row r="1132" spans="1:14" x14ac:dyDescent="0.3">
      <c r="A1132" s="9">
        <v>703921</v>
      </c>
      <c r="B1132" s="9" t="s">
        <v>1050</v>
      </c>
      <c r="C1132" s="10" t="s">
        <v>15</v>
      </c>
      <c r="D1132" s="11">
        <v>45083</v>
      </c>
      <c r="E1132" s="9" t="s">
        <v>16</v>
      </c>
      <c r="F1132" s="9">
        <v>24102</v>
      </c>
      <c r="G1132" s="9" t="s">
        <v>669</v>
      </c>
      <c r="H1132" s="9" t="s">
        <v>661</v>
      </c>
      <c r="J1132" s="9" t="s">
        <v>682</v>
      </c>
      <c r="K1132" s="9" t="s">
        <v>666</v>
      </c>
      <c r="L1132" s="9" t="s">
        <v>1390</v>
      </c>
      <c r="M1132" s="9" t="s">
        <v>1391</v>
      </c>
      <c r="N1132" s="9" t="str">
        <f t="shared" si="17"/>
        <v>ALCENO JUNIOR/JOÃO MARCOS</v>
      </c>
    </row>
    <row r="1133" spans="1:14" x14ac:dyDescent="0.3">
      <c r="A1133" s="9">
        <v>706021</v>
      </c>
      <c r="B1133" s="9" t="s">
        <v>1765</v>
      </c>
      <c r="C1133" s="10" t="s">
        <v>15</v>
      </c>
      <c r="D1133" s="11">
        <v>46126</v>
      </c>
      <c r="E1133" s="9" t="s">
        <v>31</v>
      </c>
      <c r="F1133" s="9">
        <v>39601</v>
      </c>
      <c r="G1133" s="9" t="s">
        <v>660</v>
      </c>
      <c r="H1133" s="9" t="s">
        <v>661</v>
      </c>
      <c r="J1133" s="9" t="s">
        <v>662</v>
      </c>
      <c r="K1133" s="9" t="s">
        <v>666</v>
      </c>
      <c r="L1133" s="9" t="s">
        <v>258</v>
      </c>
      <c r="N1133" s="9" t="str">
        <f t="shared" si="17"/>
        <v>MATHEUS ALMEIDA</v>
      </c>
    </row>
    <row r="1134" spans="1:14" x14ac:dyDescent="0.3">
      <c r="A1134" s="9">
        <v>705164</v>
      </c>
      <c r="B1134" s="9" t="s">
        <v>1175</v>
      </c>
      <c r="C1134" s="10" t="s">
        <v>15</v>
      </c>
      <c r="D1134" s="11">
        <v>45726</v>
      </c>
      <c r="E1134" s="9" t="s">
        <v>31</v>
      </c>
      <c r="F1134" s="9">
        <v>24102</v>
      </c>
      <c r="G1134" s="9" t="s">
        <v>669</v>
      </c>
      <c r="H1134" s="9" t="s">
        <v>661</v>
      </c>
      <c r="J1134" s="9" t="s">
        <v>670</v>
      </c>
      <c r="K1134" s="9" t="s">
        <v>666</v>
      </c>
      <c r="L1134" s="9" t="s">
        <v>1388</v>
      </c>
      <c r="M1134" s="9" t="s">
        <v>1637</v>
      </c>
      <c r="N1134" s="9" t="str">
        <f t="shared" si="17"/>
        <v>JUNIO TEIXEIRA /EDIVILSON</v>
      </c>
    </row>
    <row r="1135" spans="1:14" x14ac:dyDescent="0.3">
      <c r="A1135" s="9">
        <v>101719</v>
      </c>
      <c r="B1135" s="9" t="s">
        <v>1051</v>
      </c>
      <c r="C1135" s="10" t="s">
        <v>15</v>
      </c>
      <c r="D1135" s="11">
        <v>43060</v>
      </c>
      <c r="E1135" s="9" t="s">
        <v>109</v>
      </c>
      <c r="F1135" s="9">
        <v>32102</v>
      </c>
      <c r="G1135" s="9" t="s">
        <v>674</v>
      </c>
      <c r="H1135" s="9" t="s">
        <v>661</v>
      </c>
      <c r="J1135" s="9" t="s">
        <v>675</v>
      </c>
      <c r="K1135" s="9" t="s">
        <v>25</v>
      </c>
      <c r="L1135" s="9" t="s">
        <v>1369</v>
      </c>
      <c r="M1135" s="9" t="s">
        <v>1638</v>
      </c>
      <c r="N1135" s="9" t="str">
        <f t="shared" si="17"/>
        <v>EDIVILSON MENEZES</v>
      </c>
    </row>
    <row r="1136" spans="1:14" x14ac:dyDescent="0.3">
      <c r="A1136" s="9">
        <v>101265</v>
      </c>
      <c r="B1136" s="9" t="s">
        <v>1052</v>
      </c>
      <c r="C1136" s="10" t="s">
        <v>15</v>
      </c>
      <c r="D1136" s="11">
        <v>42800</v>
      </c>
      <c r="E1136" s="9" t="s">
        <v>27</v>
      </c>
      <c r="F1136" s="9">
        <v>39601</v>
      </c>
      <c r="G1136" s="9" t="s">
        <v>660</v>
      </c>
      <c r="H1136" s="9" t="s">
        <v>661</v>
      </c>
      <c r="J1136" s="9" t="s">
        <v>684</v>
      </c>
      <c r="K1136" s="9" t="s">
        <v>666</v>
      </c>
      <c r="L1136" s="9" t="s">
        <v>258</v>
      </c>
      <c r="M1136" s="9" t="s">
        <v>1392</v>
      </c>
      <c r="N1136" s="9" t="str">
        <f t="shared" si="17"/>
        <v>ADALTON/JANILSON RORIZ/MARIVALDO</v>
      </c>
    </row>
    <row r="1137" spans="1:14" x14ac:dyDescent="0.3">
      <c r="A1137" s="9">
        <v>701413</v>
      </c>
      <c r="B1137" s="9" t="s">
        <v>1053</v>
      </c>
      <c r="C1137" s="10" t="s">
        <v>15</v>
      </c>
      <c r="D1137" s="11">
        <v>43773</v>
      </c>
      <c r="E1137" s="9" t="s">
        <v>507</v>
      </c>
      <c r="F1137" s="9">
        <v>24102</v>
      </c>
      <c r="G1137" s="9" t="s">
        <v>669</v>
      </c>
      <c r="H1137" s="9" t="s">
        <v>661</v>
      </c>
      <c r="J1137" s="9" t="s">
        <v>85</v>
      </c>
      <c r="K1137" s="9" t="s">
        <v>1371</v>
      </c>
      <c r="L1137" s="9" t="s">
        <v>1380</v>
      </c>
      <c r="M1137" s="9" t="s">
        <v>1380</v>
      </c>
      <c r="N1137" s="9" t="str">
        <f t="shared" si="17"/>
        <v xml:space="preserve">LEONARDO SANTOS </v>
      </c>
    </row>
    <row r="1138" spans="1:14" x14ac:dyDescent="0.3">
      <c r="A1138" s="9">
        <v>705717</v>
      </c>
      <c r="B1138" s="9" t="s">
        <v>1468</v>
      </c>
      <c r="C1138" s="10" t="s">
        <v>233</v>
      </c>
      <c r="D1138" s="11">
        <v>45971</v>
      </c>
      <c r="E1138" s="9" t="s">
        <v>230</v>
      </c>
      <c r="F1138" s="9">
        <v>39601</v>
      </c>
      <c r="G1138" s="9" t="s">
        <v>660</v>
      </c>
      <c r="H1138" s="9" t="s">
        <v>661</v>
      </c>
      <c r="J1138" s="9" t="s">
        <v>684</v>
      </c>
      <c r="K1138" s="9" t="s">
        <v>666</v>
      </c>
      <c r="L1138" s="9" t="s">
        <v>258</v>
      </c>
      <c r="M1138" s="9" t="s">
        <v>1392</v>
      </c>
      <c r="N1138" s="9" t="str">
        <f t="shared" si="17"/>
        <v>ADALTON/JANILSON RORIZ/MARIVALDO</v>
      </c>
    </row>
    <row r="1139" spans="1:14" x14ac:dyDescent="0.3">
      <c r="A1139" s="9">
        <v>705721</v>
      </c>
      <c r="B1139" s="9" t="s">
        <v>1469</v>
      </c>
      <c r="C1139" s="10" t="s">
        <v>92</v>
      </c>
      <c r="D1139" s="11">
        <v>45971</v>
      </c>
      <c r="E1139" s="9" t="s">
        <v>31</v>
      </c>
      <c r="F1139" s="9">
        <v>39601</v>
      </c>
      <c r="G1139" s="9" t="s">
        <v>660</v>
      </c>
      <c r="H1139" s="9" t="s">
        <v>661</v>
      </c>
      <c r="I1139" s="11">
        <v>46114</v>
      </c>
      <c r="J1139" s="9" t="s">
        <v>684</v>
      </c>
      <c r="K1139" s="9" t="s">
        <v>666</v>
      </c>
      <c r="L1139" s="9" t="s">
        <v>258</v>
      </c>
      <c r="M1139" s="9" t="s">
        <v>1392</v>
      </c>
      <c r="N1139" s="9" t="str">
        <f t="shared" si="17"/>
        <v>ADALTON/JANILSON RORIZ/MARIVALDO</v>
      </c>
    </row>
    <row r="1140" spans="1:14" x14ac:dyDescent="0.3">
      <c r="A1140" s="9">
        <v>705476</v>
      </c>
      <c r="B1140" s="9" t="s">
        <v>1286</v>
      </c>
      <c r="C1140" s="10" t="s">
        <v>15</v>
      </c>
      <c r="D1140" s="11">
        <v>45824</v>
      </c>
      <c r="E1140" s="9" t="s">
        <v>31</v>
      </c>
      <c r="F1140" s="9">
        <v>24102</v>
      </c>
      <c r="G1140" s="9" t="s">
        <v>669</v>
      </c>
      <c r="H1140" s="9" t="s">
        <v>661</v>
      </c>
      <c r="J1140" s="9" t="s">
        <v>670</v>
      </c>
      <c r="K1140" s="9" t="s">
        <v>666</v>
      </c>
      <c r="L1140" s="9" t="s">
        <v>1388</v>
      </c>
      <c r="M1140" s="9" t="s">
        <v>1637</v>
      </c>
      <c r="N1140" s="9" t="str">
        <f t="shared" si="17"/>
        <v>JUNIO TEIXEIRA /EDIVILSON</v>
      </c>
    </row>
    <row r="1141" spans="1:14" x14ac:dyDescent="0.3">
      <c r="A1141" s="9">
        <v>704867</v>
      </c>
      <c r="B1141" s="9" t="s">
        <v>1054</v>
      </c>
      <c r="C1141" s="10" t="s">
        <v>15</v>
      </c>
      <c r="D1141" s="11">
        <v>45580</v>
      </c>
      <c r="E1141" s="9" t="s">
        <v>446</v>
      </c>
      <c r="F1141" s="9">
        <v>24201</v>
      </c>
      <c r="G1141" s="9" t="s">
        <v>664</v>
      </c>
      <c r="H1141" s="9" t="s">
        <v>661</v>
      </c>
      <c r="J1141" s="9" t="s">
        <v>665</v>
      </c>
      <c r="K1141" s="9" t="s">
        <v>666</v>
      </c>
      <c r="L1141" s="9" t="s">
        <v>258</v>
      </c>
      <c r="M1141" s="9" t="s">
        <v>667</v>
      </c>
      <c r="N1141" s="9" t="str">
        <f t="shared" si="17"/>
        <v>JOSIEL NEVES</v>
      </c>
    </row>
    <row r="1142" spans="1:14" x14ac:dyDescent="0.3">
      <c r="A1142" s="9">
        <v>703727</v>
      </c>
      <c r="B1142" s="9" t="s">
        <v>1055</v>
      </c>
      <c r="C1142" s="10" t="s">
        <v>15</v>
      </c>
      <c r="D1142" s="11">
        <v>45026</v>
      </c>
      <c r="E1142" s="9" t="s">
        <v>16</v>
      </c>
      <c r="F1142" s="9">
        <v>24102</v>
      </c>
      <c r="G1142" s="9" t="s">
        <v>669</v>
      </c>
      <c r="H1142" s="9" t="s">
        <v>661</v>
      </c>
      <c r="J1142" s="9" t="s">
        <v>682</v>
      </c>
      <c r="K1142" s="9" t="s">
        <v>666</v>
      </c>
      <c r="L1142" s="9" t="s">
        <v>1390</v>
      </c>
      <c r="M1142" s="9" t="s">
        <v>1391</v>
      </c>
      <c r="N1142" s="9" t="str">
        <f t="shared" si="17"/>
        <v>ALCENO JUNIOR/JOÃO MARCOS</v>
      </c>
    </row>
    <row r="1143" spans="1:14" x14ac:dyDescent="0.3">
      <c r="A1143" s="9">
        <v>702943</v>
      </c>
      <c r="B1143" s="9" t="s">
        <v>1056</v>
      </c>
      <c r="C1143" s="10" t="s">
        <v>15</v>
      </c>
      <c r="D1143" s="11">
        <v>44663</v>
      </c>
      <c r="E1143" s="9" t="s">
        <v>31</v>
      </c>
      <c r="F1143" s="9">
        <v>24102</v>
      </c>
      <c r="G1143" s="9" t="s">
        <v>669</v>
      </c>
      <c r="H1143" s="9" t="s">
        <v>661</v>
      </c>
      <c r="J1143" s="9" t="s">
        <v>680</v>
      </c>
      <c r="K1143" s="9" t="s">
        <v>666</v>
      </c>
      <c r="L1143" s="9" t="s">
        <v>1388</v>
      </c>
      <c r="M1143" s="9" t="s">
        <v>1637</v>
      </c>
      <c r="N1143" s="9" t="str">
        <f t="shared" si="17"/>
        <v>JUNIO TEIXEIRA /EDIVILSON</v>
      </c>
    </row>
    <row r="1144" spans="1:14" x14ac:dyDescent="0.3">
      <c r="A1144" s="9">
        <v>705694</v>
      </c>
      <c r="B1144" s="9" t="s">
        <v>1470</v>
      </c>
      <c r="C1144" s="10" t="s">
        <v>15</v>
      </c>
      <c r="D1144" s="11">
        <v>45971</v>
      </c>
      <c r="E1144" s="9" t="s">
        <v>22</v>
      </c>
      <c r="F1144" s="9">
        <v>32102</v>
      </c>
      <c r="G1144" s="9" t="s">
        <v>674</v>
      </c>
      <c r="H1144" s="9" t="s">
        <v>661</v>
      </c>
      <c r="J1144" s="9" t="s">
        <v>675</v>
      </c>
      <c r="K1144" s="9" t="s">
        <v>25</v>
      </c>
      <c r="L1144" s="9" t="s">
        <v>1369</v>
      </c>
      <c r="M1144" s="9" t="s">
        <v>1638</v>
      </c>
      <c r="N1144" s="9" t="str">
        <f t="shared" si="17"/>
        <v>EDIVILSON MENEZES</v>
      </c>
    </row>
    <row r="1145" spans="1:14" x14ac:dyDescent="0.3">
      <c r="A1145" s="9">
        <v>703816</v>
      </c>
      <c r="B1145" s="9" t="s">
        <v>1057</v>
      </c>
      <c r="C1145" s="10" t="s">
        <v>15</v>
      </c>
      <c r="D1145" s="11">
        <v>44810</v>
      </c>
      <c r="E1145" s="9" t="s">
        <v>16</v>
      </c>
      <c r="F1145" s="9">
        <v>24102</v>
      </c>
      <c r="G1145" s="9" t="s">
        <v>669</v>
      </c>
      <c r="H1145" s="9" t="s">
        <v>661</v>
      </c>
      <c r="J1145" s="9" t="s">
        <v>682</v>
      </c>
      <c r="K1145" s="9" t="s">
        <v>666</v>
      </c>
      <c r="L1145" s="9" t="s">
        <v>1390</v>
      </c>
      <c r="M1145" s="9" t="s">
        <v>1391</v>
      </c>
      <c r="N1145" s="9" t="str">
        <f t="shared" si="17"/>
        <v>ALCENO JUNIOR/JOÃO MARCOS</v>
      </c>
    </row>
    <row r="1146" spans="1:14" x14ac:dyDescent="0.3">
      <c r="A1146" s="9">
        <v>704332</v>
      </c>
      <c r="B1146" s="9" t="s">
        <v>1058</v>
      </c>
      <c r="C1146" s="10" t="s">
        <v>15</v>
      </c>
      <c r="D1146" s="11">
        <v>45363</v>
      </c>
      <c r="E1146" s="9" t="s">
        <v>31</v>
      </c>
      <c r="F1146" s="9">
        <v>24201</v>
      </c>
      <c r="G1146" s="9" t="s">
        <v>664</v>
      </c>
      <c r="H1146" s="9" t="s">
        <v>661</v>
      </c>
      <c r="J1146" s="9" t="s">
        <v>665</v>
      </c>
      <c r="K1146" s="9" t="s">
        <v>666</v>
      </c>
      <c r="L1146" s="9" t="s">
        <v>258</v>
      </c>
      <c r="M1146" s="9" t="s">
        <v>667</v>
      </c>
      <c r="N1146" s="9" t="str">
        <f t="shared" si="17"/>
        <v>JOSIEL NEVES</v>
      </c>
    </row>
    <row r="1147" spans="1:14" x14ac:dyDescent="0.3">
      <c r="A1147" s="9">
        <v>704492</v>
      </c>
      <c r="B1147" s="9" t="s">
        <v>1059</v>
      </c>
      <c r="C1147" s="10" t="s">
        <v>15</v>
      </c>
      <c r="D1147" s="11">
        <v>45419</v>
      </c>
      <c r="E1147" s="9" t="s">
        <v>686</v>
      </c>
      <c r="F1147" s="9">
        <v>39601</v>
      </c>
      <c r="G1147" s="9" t="s">
        <v>660</v>
      </c>
      <c r="H1147" s="9" t="s">
        <v>661</v>
      </c>
      <c r="J1147" s="9" t="s">
        <v>684</v>
      </c>
      <c r="K1147" s="9" t="s">
        <v>666</v>
      </c>
      <c r="L1147" s="9" t="s">
        <v>258</v>
      </c>
      <c r="M1147" s="9" t="s">
        <v>1392</v>
      </c>
      <c r="N1147" s="9" t="str">
        <f t="shared" si="17"/>
        <v>ADALTON/JANILSON RORIZ/MARIVALDO</v>
      </c>
    </row>
    <row r="1148" spans="1:14" x14ac:dyDescent="0.3">
      <c r="A1148" s="9">
        <v>703639</v>
      </c>
      <c r="B1148" s="9" t="s">
        <v>1060</v>
      </c>
      <c r="C1148" s="10" t="s">
        <v>15</v>
      </c>
      <c r="D1148" s="11">
        <v>44998</v>
      </c>
      <c r="E1148" s="9" t="s">
        <v>138</v>
      </c>
      <c r="F1148" s="9">
        <v>24102</v>
      </c>
      <c r="G1148" s="9" t="s">
        <v>669</v>
      </c>
      <c r="H1148" s="9" t="s">
        <v>661</v>
      </c>
      <c r="J1148" s="9" t="s">
        <v>682</v>
      </c>
      <c r="K1148" s="9" t="s">
        <v>666</v>
      </c>
      <c r="L1148" s="9" t="s">
        <v>1390</v>
      </c>
      <c r="M1148" s="9" t="s">
        <v>1391</v>
      </c>
      <c r="N1148" s="9" t="str">
        <f t="shared" si="17"/>
        <v>ALCENO JUNIOR/JOÃO MARCOS</v>
      </c>
    </row>
    <row r="1149" spans="1:14" x14ac:dyDescent="0.3">
      <c r="A1149" s="9">
        <v>703705</v>
      </c>
      <c r="B1149" s="9" t="s">
        <v>1061</v>
      </c>
      <c r="C1149" s="10" t="s">
        <v>15</v>
      </c>
      <c r="D1149" s="11">
        <v>45019</v>
      </c>
      <c r="E1149" s="9" t="s">
        <v>31</v>
      </c>
      <c r="F1149" s="9">
        <v>24102</v>
      </c>
      <c r="G1149" s="9" t="s">
        <v>669</v>
      </c>
      <c r="H1149" s="9" t="s">
        <v>661</v>
      </c>
      <c r="J1149" s="9" t="s">
        <v>680</v>
      </c>
      <c r="K1149" s="9" t="s">
        <v>666</v>
      </c>
      <c r="L1149" s="9" t="s">
        <v>1388</v>
      </c>
      <c r="M1149" s="9" t="s">
        <v>1637</v>
      </c>
      <c r="N1149" s="9" t="str">
        <f t="shared" si="17"/>
        <v>JUNIO TEIXEIRA /EDIVILSON</v>
      </c>
    </row>
    <row r="1150" spans="1:14" x14ac:dyDescent="0.3">
      <c r="A1150" s="9">
        <v>701714</v>
      </c>
      <c r="B1150" s="9" t="s">
        <v>1062</v>
      </c>
      <c r="C1150" s="10" t="s">
        <v>15</v>
      </c>
      <c r="D1150" s="11">
        <v>44025</v>
      </c>
      <c r="E1150" s="9" t="s">
        <v>1589</v>
      </c>
      <c r="F1150" s="9">
        <v>31103</v>
      </c>
      <c r="G1150" s="9" t="s">
        <v>718</v>
      </c>
      <c r="H1150" s="9" t="s">
        <v>661</v>
      </c>
      <c r="J1150" s="9" t="s">
        <v>719</v>
      </c>
      <c r="K1150" s="9" t="s">
        <v>1381</v>
      </c>
      <c r="N1150" s="9" t="str">
        <f t="shared" si="17"/>
        <v>MARCOS OLIVEIRA</v>
      </c>
    </row>
    <row r="1151" spans="1:14" x14ac:dyDescent="0.3">
      <c r="A1151" s="9">
        <v>706004</v>
      </c>
      <c r="B1151" s="9" t="s">
        <v>1766</v>
      </c>
      <c r="C1151" s="10" t="s">
        <v>15</v>
      </c>
      <c r="D1151" s="11">
        <v>46126</v>
      </c>
      <c r="E1151" s="9" t="s">
        <v>31</v>
      </c>
      <c r="F1151" s="9">
        <v>39601</v>
      </c>
      <c r="G1151" s="9" t="s">
        <v>660</v>
      </c>
      <c r="H1151" s="9" t="s">
        <v>661</v>
      </c>
      <c r="J1151" s="9" t="s">
        <v>662</v>
      </c>
      <c r="K1151" s="9" t="s">
        <v>666</v>
      </c>
      <c r="L1151" s="9" t="s">
        <v>258</v>
      </c>
      <c r="N1151" s="9" t="str">
        <f t="shared" si="17"/>
        <v>MATHEUS ALMEIDA</v>
      </c>
    </row>
    <row r="1152" spans="1:14" x14ac:dyDescent="0.3">
      <c r="A1152" s="9">
        <v>701753</v>
      </c>
      <c r="B1152" s="9" t="s">
        <v>1063</v>
      </c>
      <c r="C1152" s="10" t="s">
        <v>15</v>
      </c>
      <c r="D1152" s="11">
        <v>44053</v>
      </c>
      <c r="E1152" s="9" t="s">
        <v>230</v>
      </c>
      <c r="F1152" s="9">
        <v>39601</v>
      </c>
      <c r="G1152" s="9" t="s">
        <v>660</v>
      </c>
      <c r="H1152" s="9" t="s">
        <v>661</v>
      </c>
      <c r="J1152" s="9" t="s">
        <v>662</v>
      </c>
      <c r="K1152" s="9" t="s">
        <v>666</v>
      </c>
      <c r="L1152" s="9" t="s">
        <v>258</v>
      </c>
      <c r="N1152" s="9" t="str">
        <f t="shared" si="17"/>
        <v>MATHEUS ALMEIDA</v>
      </c>
    </row>
    <row r="1153" spans="1:14" x14ac:dyDescent="0.3">
      <c r="A1153" s="9">
        <v>704133</v>
      </c>
      <c r="B1153" s="9" t="s">
        <v>1064</v>
      </c>
      <c r="C1153" s="10" t="s">
        <v>15</v>
      </c>
      <c r="D1153" s="11">
        <v>45244</v>
      </c>
      <c r="E1153" s="9" t="s">
        <v>31</v>
      </c>
      <c r="F1153" s="9">
        <v>24102</v>
      </c>
      <c r="G1153" s="9" t="s">
        <v>669</v>
      </c>
      <c r="H1153" s="9" t="s">
        <v>661</v>
      </c>
      <c r="J1153" s="9" t="s">
        <v>670</v>
      </c>
      <c r="K1153" s="9" t="s">
        <v>666</v>
      </c>
      <c r="L1153" s="9" t="s">
        <v>1388</v>
      </c>
      <c r="M1153" s="9" t="s">
        <v>1637</v>
      </c>
      <c r="N1153" s="9" t="str">
        <f t="shared" si="17"/>
        <v>JUNIO TEIXEIRA /EDIVILSON</v>
      </c>
    </row>
    <row r="1154" spans="1:14" x14ac:dyDescent="0.3">
      <c r="A1154" s="9">
        <v>705993</v>
      </c>
      <c r="B1154" s="9" t="s">
        <v>1767</v>
      </c>
      <c r="C1154" s="10" t="s">
        <v>15</v>
      </c>
      <c r="D1154" s="11">
        <v>46119</v>
      </c>
      <c r="E1154" s="9" t="s">
        <v>31</v>
      </c>
      <c r="F1154" s="9">
        <v>24102</v>
      </c>
      <c r="G1154" s="9" t="s">
        <v>669</v>
      </c>
      <c r="H1154" s="9" t="s">
        <v>661</v>
      </c>
      <c r="J1154" s="9" t="s">
        <v>670</v>
      </c>
      <c r="K1154" s="9" t="s">
        <v>666</v>
      </c>
      <c r="L1154" s="9" t="s">
        <v>1388</v>
      </c>
      <c r="M1154" s="9" t="s">
        <v>1637</v>
      </c>
      <c r="N1154" s="9" t="str">
        <f t="shared" si="17"/>
        <v>JUNIO TEIXEIRA /EDIVILSON</v>
      </c>
    </row>
    <row r="1155" spans="1:14" x14ac:dyDescent="0.3">
      <c r="A1155" s="9">
        <v>101433</v>
      </c>
      <c r="B1155" s="9" t="s">
        <v>1066</v>
      </c>
      <c r="C1155" s="10" t="s">
        <v>15</v>
      </c>
      <c r="D1155" s="11">
        <v>42948</v>
      </c>
      <c r="E1155" s="9" t="s">
        <v>16</v>
      </c>
      <c r="F1155" s="9">
        <v>24102</v>
      </c>
      <c r="G1155" s="9" t="s">
        <v>669</v>
      </c>
      <c r="H1155" s="9" t="s">
        <v>661</v>
      </c>
      <c r="J1155" s="9" t="s">
        <v>682</v>
      </c>
      <c r="K1155" s="9" t="s">
        <v>666</v>
      </c>
      <c r="L1155" s="9" t="s">
        <v>1390</v>
      </c>
      <c r="M1155" s="9" t="s">
        <v>1391</v>
      </c>
      <c r="N1155" s="9" t="str">
        <f t="shared" ref="N1155:N1218" si="18">IF(M1155&lt;&gt;"", M1155, IF(L1155&lt;&gt;"", L1155, K1155))</f>
        <v>ALCENO JUNIOR/JOÃO MARCOS</v>
      </c>
    </row>
    <row r="1156" spans="1:14" x14ac:dyDescent="0.3">
      <c r="A1156" s="9">
        <v>704994</v>
      </c>
      <c r="B1156" s="9" t="s">
        <v>1067</v>
      </c>
      <c r="C1156" s="10" t="s">
        <v>15</v>
      </c>
      <c r="D1156" s="11">
        <v>45629</v>
      </c>
      <c r="E1156" s="9" t="s">
        <v>31</v>
      </c>
      <c r="F1156" s="9">
        <v>39601</v>
      </c>
      <c r="G1156" s="9" t="s">
        <v>660</v>
      </c>
      <c r="H1156" s="9" t="s">
        <v>661</v>
      </c>
      <c r="J1156" s="9" t="s">
        <v>684</v>
      </c>
      <c r="K1156" s="9" t="s">
        <v>666</v>
      </c>
      <c r="L1156" s="9" t="s">
        <v>258</v>
      </c>
      <c r="M1156" s="9" t="s">
        <v>1392</v>
      </c>
      <c r="N1156" s="9" t="str">
        <f t="shared" si="18"/>
        <v>ADALTON/JANILSON RORIZ/MARIVALDO</v>
      </c>
    </row>
    <row r="1157" spans="1:14" x14ac:dyDescent="0.3">
      <c r="A1157" s="9">
        <v>702146</v>
      </c>
      <c r="B1157" s="9" t="s">
        <v>1068</v>
      </c>
      <c r="C1157" s="10" t="s">
        <v>15</v>
      </c>
      <c r="D1157" s="11">
        <v>44299</v>
      </c>
      <c r="E1157" s="9" t="s">
        <v>31</v>
      </c>
      <c r="F1157" s="9">
        <v>24102</v>
      </c>
      <c r="G1157" s="9" t="s">
        <v>669</v>
      </c>
      <c r="H1157" s="9" t="s">
        <v>661</v>
      </c>
      <c r="J1157" s="9" t="s">
        <v>680</v>
      </c>
      <c r="K1157" s="9" t="s">
        <v>666</v>
      </c>
      <c r="L1157" s="9" t="s">
        <v>1388</v>
      </c>
      <c r="M1157" s="9" t="s">
        <v>1637</v>
      </c>
      <c r="N1157" s="9" t="str">
        <f t="shared" si="18"/>
        <v>JUNIO TEIXEIRA /EDIVILSON</v>
      </c>
    </row>
    <row r="1158" spans="1:14" x14ac:dyDescent="0.3">
      <c r="A1158" s="9">
        <v>703716</v>
      </c>
      <c r="B1158" s="9" t="s">
        <v>1069</v>
      </c>
      <c r="C1158" s="10" t="s">
        <v>15</v>
      </c>
      <c r="D1158" s="11">
        <v>45019</v>
      </c>
      <c r="E1158" s="9" t="s">
        <v>146</v>
      </c>
      <c r="F1158" s="9">
        <v>39601</v>
      </c>
      <c r="G1158" s="9" t="s">
        <v>660</v>
      </c>
      <c r="H1158" s="9" t="s">
        <v>661</v>
      </c>
      <c r="J1158" s="9" t="s">
        <v>684</v>
      </c>
      <c r="K1158" s="9" t="s">
        <v>666</v>
      </c>
      <c r="L1158" s="9" t="s">
        <v>258</v>
      </c>
      <c r="M1158" s="9" t="s">
        <v>1392</v>
      </c>
      <c r="N1158" s="9" t="str">
        <f t="shared" si="18"/>
        <v>ADALTON/JANILSON RORIZ/MARIVALDO</v>
      </c>
    </row>
    <row r="1159" spans="1:14" x14ac:dyDescent="0.3">
      <c r="A1159" s="9">
        <v>706013</v>
      </c>
      <c r="B1159" s="9" t="s">
        <v>1768</v>
      </c>
      <c r="C1159" s="10" t="s">
        <v>15</v>
      </c>
      <c r="D1159" s="11">
        <v>46126</v>
      </c>
      <c r="E1159" s="9" t="s">
        <v>31</v>
      </c>
      <c r="F1159" s="9">
        <v>39601</v>
      </c>
      <c r="G1159" s="9" t="s">
        <v>660</v>
      </c>
      <c r="H1159" s="9" t="s">
        <v>661</v>
      </c>
      <c r="J1159" s="9" t="s">
        <v>662</v>
      </c>
      <c r="K1159" s="9" t="s">
        <v>666</v>
      </c>
      <c r="L1159" s="9" t="s">
        <v>258</v>
      </c>
      <c r="N1159" s="9" t="str">
        <f t="shared" si="18"/>
        <v>MATHEUS ALMEIDA</v>
      </c>
    </row>
    <row r="1160" spans="1:14" x14ac:dyDescent="0.3">
      <c r="A1160" s="9">
        <v>701739</v>
      </c>
      <c r="B1160" s="9" t="s">
        <v>1071</v>
      </c>
      <c r="C1160" s="10" t="s">
        <v>15</v>
      </c>
      <c r="D1160" s="11">
        <v>44032</v>
      </c>
      <c r="E1160" s="9" t="s">
        <v>27</v>
      </c>
      <c r="F1160" s="9">
        <v>39601</v>
      </c>
      <c r="G1160" s="9" t="s">
        <v>660</v>
      </c>
      <c r="H1160" s="9" t="s">
        <v>661</v>
      </c>
      <c r="J1160" s="9" t="s">
        <v>684</v>
      </c>
      <c r="K1160" s="9" t="s">
        <v>666</v>
      </c>
      <c r="L1160" s="9" t="s">
        <v>258</v>
      </c>
      <c r="M1160" s="9" t="s">
        <v>1392</v>
      </c>
      <c r="N1160" s="9" t="str">
        <f t="shared" si="18"/>
        <v>ADALTON/JANILSON RORIZ/MARIVALDO</v>
      </c>
    </row>
    <row r="1161" spans="1:14" x14ac:dyDescent="0.3">
      <c r="A1161" s="9">
        <v>705177</v>
      </c>
      <c r="B1161" s="9" t="s">
        <v>1176</v>
      </c>
      <c r="C1161" s="10" t="s">
        <v>15</v>
      </c>
      <c r="D1161" s="11">
        <v>45726</v>
      </c>
      <c r="E1161" s="9" t="s">
        <v>31</v>
      </c>
      <c r="F1161" s="9">
        <v>24102</v>
      </c>
      <c r="G1161" s="9" t="s">
        <v>669</v>
      </c>
      <c r="H1161" s="9" t="s">
        <v>661</v>
      </c>
      <c r="J1161" s="9" t="s">
        <v>670</v>
      </c>
      <c r="K1161" s="9" t="s">
        <v>666</v>
      </c>
      <c r="L1161" s="9" t="s">
        <v>1388</v>
      </c>
      <c r="M1161" s="9" t="s">
        <v>1637</v>
      </c>
      <c r="N1161" s="9" t="str">
        <f t="shared" si="18"/>
        <v>JUNIO TEIXEIRA /EDIVILSON</v>
      </c>
    </row>
    <row r="1162" spans="1:14" x14ac:dyDescent="0.3">
      <c r="A1162" s="9">
        <v>705977</v>
      </c>
      <c r="B1162" s="9" t="s">
        <v>1769</v>
      </c>
      <c r="C1162" s="10" t="s">
        <v>15</v>
      </c>
      <c r="D1162" s="11">
        <v>46119</v>
      </c>
      <c r="E1162" s="9" t="s">
        <v>77</v>
      </c>
      <c r="F1162" s="9">
        <v>38108</v>
      </c>
      <c r="G1162" s="9" t="s">
        <v>1698</v>
      </c>
      <c r="H1162" s="9" t="s">
        <v>661</v>
      </c>
      <c r="J1162" s="9" t="s">
        <v>78</v>
      </c>
      <c r="K1162" s="9" t="s">
        <v>1372</v>
      </c>
      <c r="N1162" s="9" t="str">
        <f t="shared" si="18"/>
        <v xml:space="preserve">LEIDJANE MARTINS </v>
      </c>
    </row>
    <row r="1163" spans="1:14" x14ac:dyDescent="0.3">
      <c r="A1163" s="9">
        <v>703021</v>
      </c>
      <c r="B1163" s="9" t="s">
        <v>1073</v>
      </c>
      <c r="C1163" s="10" t="s">
        <v>15</v>
      </c>
      <c r="D1163" s="11">
        <v>44691</v>
      </c>
      <c r="E1163" s="9" t="s">
        <v>146</v>
      </c>
      <c r="F1163" s="9">
        <v>24102</v>
      </c>
      <c r="G1163" s="9" t="s">
        <v>669</v>
      </c>
      <c r="H1163" s="9" t="s">
        <v>661</v>
      </c>
      <c r="J1163" s="9" t="s">
        <v>672</v>
      </c>
      <c r="K1163" s="9" t="s">
        <v>666</v>
      </c>
      <c r="L1163" s="9" t="s">
        <v>1388</v>
      </c>
      <c r="M1163" s="9" t="s">
        <v>1637</v>
      </c>
      <c r="N1163" s="9" t="str">
        <f t="shared" si="18"/>
        <v>JUNIO TEIXEIRA /EDIVILSON</v>
      </c>
    </row>
    <row r="1164" spans="1:14" x14ac:dyDescent="0.3">
      <c r="A1164" s="9">
        <v>705674</v>
      </c>
      <c r="B1164" s="9" t="s">
        <v>1436</v>
      </c>
      <c r="C1164" s="10" t="s">
        <v>15</v>
      </c>
      <c r="D1164" s="11">
        <v>45944</v>
      </c>
      <c r="E1164" s="9" t="s">
        <v>31</v>
      </c>
      <c r="F1164" s="9">
        <v>39601</v>
      </c>
      <c r="G1164" s="9" t="s">
        <v>660</v>
      </c>
      <c r="H1164" s="9" t="s">
        <v>661</v>
      </c>
      <c r="J1164" s="9" t="s">
        <v>662</v>
      </c>
      <c r="K1164" s="9" t="s">
        <v>666</v>
      </c>
      <c r="L1164" s="9" t="s">
        <v>258</v>
      </c>
      <c r="N1164" s="9" t="str">
        <f t="shared" si="18"/>
        <v>MATHEUS ALMEIDA</v>
      </c>
    </row>
    <row r="1165" spans="1:14" x14ac:dyDescent="0.3">
      <c r="A1165" s="9">
        <v>701006</v>
      </c>
      <c r="B1165" s="9" t="s">
        <v>1074</v>
      </c>
      <c r="C1165" s="10" t="s">
        <v>15</v>
      </c>
      <c r="D1165" s="11">
        <v>43591</v>
      </c>
      <c r="E1165" s="9" t="s">
        <v>146</v>
      </c>
      <c r="F1165" s="9">
        <v>39601</v>
      </c>
      <c r="G1165" s="9" t="s">
        <v>660</v>
      </c>
      <c r="H1165" s="9" t="s">
        <v>661</v>
      </c>
      <c r="J1165" s="9" t="s">
        <v>684</v>
      </c>
      <c r="K1165" s="9" t="s">
        <v>666</v>
      </c>
      <c r="L1165" s="9" t="s">
        <v>258</v>
      </c>
      <c r="M1165" s="9" t="s">
        <v>1392</v>
      </c>
      <c r="N1165" s="9" t="str">
        <f t="shared" si="18"/>
        <v>ADALTON/JANILSON RORIZ/MARIVALDO</v>
      </c>
    </row>
    <row r="1166" spans="1:14" x14ac:dyDescent="0.3">
      <c r="A1166" s="9">
        <v>703558</v>
      </c>
      <c r="B1166" s="9" t="s">
        <v>1075</v>
      </c>
      <c r="C1166" s="10" t="s">
        <v>15</v>
      </c>
      <c r="D1166" s="11">
        <v>44935</v>
      </c>
      <c r="E1166" s="9" t="s">
        <v>138</v>
      </c>
      <c r="F1166" s="9">
        <v>24102</v>
      </c>
      <c r="G1166" s="9" t="s">
        <v>669</v>
      </c>
      <c r="H1166" s="9" t="s">
        <v>661</v>
      </c>
      <c r="J1166" s="9" t="s">
        <v>672</v>
      </c>
      <c r="K1166" s="9" t="s">
        <v>666</v>
      </c>
      <c r="L1166" s="9" t="s">
        <v>1388</v>
      </c>
      <c r="M1166" s="9" t="s">
        <v>1637</v>
      </c>
      <c r="N1166" s="9" t="str">
        <f t="shared" si="18"/>
        <v>JUNIO TEIXEIRA /EDIVILSON</v>
      </c>
    </row>
    <row r="1167" spans="1:14" x14ac:dyDescent="0.3">
      <c r="A1167" s="9">
        <v>705103</v>
      </c>
      <c r="B1167" s="9" t="s">
        <v>1267</v>
      </c>
      <c r="C1167" s="10" t="s">
        <v>15</v>
      </c>
      <c r="D1167" s="11">
        <v>45670</v>
      </c>
      <c r="E1167" s="9" t="s">
        <v>31</v>
      </c>
      <c r="F1167" s="9">
        <v>24102</v>
      </c>
      <c r="G1167" s="9" t="s">
        <v>669</v>
      </c>
      <c r="H1167" s="9" t="s">
        <v>661</v>
      </c>
      <c r="J1167" s="9" t="s">
        <v>697</v>
      </c>
      <c r="K1167" s="9" t="s">
        <v>666</v>
      </c>
      <c r="L1167" s="9" t="s">
        <v>1390</v>
      </c>
      <c r="M1167" s="9" t="s">
        <v>1391</v>
      </c>
      <c r="N1167" s="9" t="str">
        <f t="shared" si="18"/>
        <v>ALCENO JUNIOR/JOÃO MARCOS</v>
      </c>
    </row>
    <row r="1168" spans="1:14" x14ac:dyDescent="0.3">
      <c r="A1168" s="9">
        <v>705955</v>
      </c>
      <c r="B1168" s="9" t="s">
        <v>1770</v>
      </c>
      <c r="C1168" s="10" t="s">
        <v>15</v>
      </c>
      <c r="D1168" s="11">
        <v>46119</v>
      </c>
      <c r="E1168" s="9" t="s">
        <v>77</v>
      </c>
      <c r="F1168" s="9">
        <v>38108</v>
      </c>
      <c r="G1168" s="9" t="s">
        <v>1698</v>
      </c>
      <c r="H1168" s="9" t="s">
        <v>661</v>
      </c>
      <c r="J1168" s="9" t="s">
        <v>78</v>
      </c>
      <c r="K1168" s="9" t="s">
        <v>1372</v>
      </c>
      <c r="N1168" s="9" t="str">
        <f t="shared" si="18"/>
        <v xml:space="preserve">LEIDJANE MARTINS </v>
      </c>
    </row>
    <row r="1169" spans="1:14" x14ac:dyDescent="0.3">
      <c r="A1169" s="9">
        <v>705948</v>
      </c>
      <c r="B1169" s="9" t="s">
        <v>1771</v>
      </c>
      <c r="C1169" s="10" t="s">
        <v>15</v>
      </c>
      <c r="D1169" s="11">
        <v>46119</v>
      </c>
      <c r="E1169" s="9" t="s">
        <v>77</v>
      </c>
      <c r="F1169" s="9">
        <v>38108</v>
      </c>
      <c r="G1169" s="9" t="s">
        <v>1698</v>
      </c>
      <c r="H1169" s="9" t="s">
        <v>661</v>
      </c>
      <c r="J1169" s="9" t="s">
        <v>78</v>
      </c>
      <c r="K1169" s="9" t="s">
        <v>1372</v>
      </c>
      <c r="N1169" s="9" t="str">
        <f t="shared" si="18"/>
        <v xml:space="preserve">LEIDJANE MARTINS </v>
      </c>
    </row>
    <row r="1170" spans="1:14" x14ac:dyDescent="0.3">
      <c r="A1170" s="9">
        <v>705526</v>
      </c>
      <c r="B1170" s="9" t="s">
        <v>1437</v>
      </c>
      <c r="C1170" s="10" t="s">
        <v>15</v>
      </c>
      <c r="D1170" s="11">
        <v>45847</v>
      </c>
      <c r="E1170" s="9" t="s">
        <v>31</v>
      </c>
      <c r="F1170" s="9">
        <v>39601</v>
      </c>
      <c r="G1170" s="9" t="s">
        <v>660</v>
      </c>
      <c r="H1170" s="9" t="s">
        <v>661</v>
      </c>
      <c r="J1170" s="9" t="s">
        <v>684</v>
      </c>
      <c r="K1170" s="9" t="s">
        <v>666</v>
      </c>
      <c r="L1170" s="9" t="s">
        <v>258</v>
      </c>
      <c r="M1170" s="9" t="s">
        <v>1392</v>
      </c>
      <c r="N1170" s="9" t="str">
        <f t="shared" si="18"/>
        <v>ADALTON/JANILSON RORIZ/MARIVALDO</v>
      </c>
    </row>
    <row r="1171" spans="1:14" x14ac:dyDescent="0.3">
      <c r="A1171" s="9">
        <v>705114</v>
      </c>
      <c r="B1171" s="9" t="s">
        <v>1077</v>
      </c>
      <c r="C1171" s="10" t="s">
        <v>15</v>
      </c>
      <c r="D1171" s="11">
        <v>45678</v>
      </c>
      <c r="E1171" s="9" t="s">
        <v>31</v>
      </c>
      <c r="F1171" s="9">
        <v>24102</v>
      </c>
      <c r="G1171" s="9" t="s">
        <v>669</v>
      </c>
      <c r="H1171" s="9" t="s">
        <v>661</v>
      </c>
      <c r="J1171" s="9" t="s">
        <v>672</v>
      </c>
      <c r="K1171" s="9" t="s">
        <v>666</v>
      </c>
      <c r="L1171" s="9" t="s">
        <v>1388</v>
      </c>
      <c r="M1171" s="9" t="s">
        <v>1637</v>
      </c>
      <c r="N1171" s="9" t="str">
        <f t="shared" si="18"/>
        <v>JUNIO TEIXEIRA /EDIVILSON</v>
      </c>
    </row>
    <row r="1172" spans="1:14" x14ac:dyDescent="0.3">
      <c r="A1172" s="9">
        <v>705945</v>
      </c>
      <c r="B1172" s="9" t="s">
        <v>1772</v>
      </c>
      <c r="C1172" s="10" t="s">
        <v>15</v>
      </c>
      <c r="D1172" s="11">
        <v>46119</v>
      </c>
      <c r="E1172" s="9" t="s">
        <v>77</v>
      </c>
      <c r="F1172" s="9">
        <v>38108</v>
      </c>
      <c r="G1172" s="9" t="s">
        <v>1698</v>
      </c>
      <c r="H1172" s="9" t="s">
        <v>661</v>
      </c>
      <c r="J1172" s="9" t="s">
        <v>78</v>
      </c>
      <c r="K1172" s="9" t="s">
        <v>1372</v>
      </c>
      <c r="N1172" s="9" t="str">
        <f t="shared" si="18"/>
        <v xml:space="preserve">LEIDJANE MARTINS </v>
      </c>
    </row>
    <row r="1173" spans="1:14" x14ac:dyDescent="0.3">
      <c r="A1173" s="9">
        <v>705266</v>
      </c>
      <c r="B1173" s="9" t="s">
        <v>1210</v>
      </c>
      <c r="C1173" s="10" t="s">
        <v>15</v>
      </c>
      <c r="D1173" s="11">
        <v>45762</v>
      </c>
      <c r="E1173" s="9" t="s">
        <v>336</v>
      </c>
      <c r="F1173" s="9">
        <v>24102</v>
      </c>
      <c r="G1173" s="9" t="s">
        <v>669</v>
      </c>
      <c r="H1173" s="9" t="s">
        <v>661</v>
      </c>
      <c r="J1173" s="9" t="s">
        <v>672</v>
      </c>
      <c r="K1173" s="9" t="s">
        <v>666</v>
      </c>
      <c r="L1173" s="9" t="s">
        <v>1388</v>
      </c>
      <c r="M1173" s="9" t="s">
        <v>1637</v>
      </c>
      <c r="N1173" s="9" t="str">
        <f t="shared" si="18"/>
        <v>JUNIO TEIXEIRA /EDIVILSON</v>
      </c>
    </row>
    <row r="1174" spans="1:14" x14ac:dyDescent="0.3">
      <c r="A1174" s="9">
        <v>702803</v>
      </c>
      <c r="B1174" s="9" t="s">
        <v>1079</v>
      </c>
      <c r="C1174" s="10" t="s">
        <v>233</v>
      </c>
      <c r="D1174" s="11">
        <v>44607</v>
      </c>
      <c r="E1174" s="9" t="s">
        <v>138</v>
      </c>
      <c r="F1174" s="9">
        <v>24102</v>
      </c>
      <c r="G1174" s="9" t="s">
        <v>669</v>
      </c>
      <c r="H1174" s="9" t="s">
        <v>661</v>
      </c>
      <c r="J1174" s="9" t="s">
        <v>697</v>
      </c>
      <c r="K1174" s="9" t="s">
        <v>666</v>
      </c>
      <c r="L1174" s="9" t="s">
        <v>1390</v>
      </c>
      <c r="M1174" s="9" t="s">
        <v>1391</v>
      </c>
      <c r="N1174" s="9" t="str">
        <f t="shared" si="18"/>
        <v>ALCENO JUNIOR/JOÃO MARCOS</v>
      </c>
    </row>
    <row r="1175" spans="1:14" x14ac:dyDescent="0.3">
      <c r="A1175" s="9">
        <v>704811</v>
      </c>
      <c r="B1175" s="9" t="s">
        <v>1080</v>
      </c>
      <c r="C1175" s="10" t="s">
        <v>15</v>
      </c>
      <c r="D1175" s="11">
        <v>45566</v>
      </c>
      <c r="E1175" s="9" t="s">
        <v>138</v>
      </c>
      <c r="F1175" s="9">
        <v>24102</v>
      </c>
      <c r="G1175" s="9" t="s">
        <v>669</v>
      </c>
      <c r="H1175" s="9" t="s">
        <v>661</v>
      </c>
      <c r="J1175" s="9" t="s">
        <v>682</v>
      </c>
      <c r="K1175" s="9" t="s">
        <v>666</v>
      </c>
      <c r="L1175" s="9" t="s">
        <v>1390</v>
      </c>
      <c r="M1175" s="9" t="s">
        <v>1391</v>
      </c>
      <c r="N1175" s="9" t="str">
        <f t="shared" si="18"/>
        <v>ALCENO JUNIOR/JOÃO MARCOS</v>
      </c>
    </row>
    <row r="1176" spans="1:14" x14ac:dyDescent="0.3">
      <c r="A1176" s="9">
        <v>705276</v>
      </c>
      <c r="B1176" s="9" t="s">
        <v>1211</v>
      </c>
      <c r="C1176" s="10" t="s">
        <v>15</v>
      </c>
      <c r="D1176" s="11">
        <v>45762</v>
      </c>
      <c r="E1176" s="9" t="s">
        <v>31</v>
      </c>
      <c r="F1176" s="9">
        <v>24102</v>
      </c>
      <c r="G1176" s="9" t="s">
        <v>669</v>
      </c>
      <c r="H1176" s="9" t="s">
        <v>661</v>
      </c>
      <c r="J1176" s="9" t="s">
        <v>672</v>
      </c>
      <c r="K1176" s="9" t="s">
        <v>666</v>
      </c>
      <c r="L1176" s="9" t="s">
        <v>1388</v>
      </c>
      <c r="M1176" s="9" t="s">
        <v>1637</v>
      </c>
      <c r="N1176" s="9" t="str">
        <f t="shared" si="18"/>
        <v>JUNIO TEIXEIRA /EDIVILSON</v>
      </c>
    </row>
    <row r="1177" spans="1:14" x14ac:dyDescent="0.3">
      <c r="A1177" s="9">
        <v>701708</v>
      </c>
      <c r="B1177" s="9" t="s">
        <v>1081</v>
      </c>
      <c r="C1177" s="10" t="s">
        <v>15</v>
      </c>
      <c r="D1177" s="11">
        <v>44025</v>
      </c>
      <c r="E1177" s="9" t="s">
        <v>60</v>
      </c>
      <c r="F1177" s="9">
        <v>24102</v>
      </c>
      <c r="G1177" s="9" t="s">
        <v>669</v>
      </c>
      <c r="H1177" s="9" t="s">
        <v>661</v>
      </c>
      <c r="J1177" s="9" t="s">
        <v>697</v>
      </c>
      <c r="K1177" s="9" t="s">
        <v>666</v>
      </c>
      <c r="L1177" s="9" t="s">
        <v>1390</v>
      </c>
      <c r="M1177" s="9" t="s">
        <v>1391</v>
      </c>
      <c r="N1177" s="9" t="str">
        <f t="shared" si="18"/>
        <v>ALCENO JUNIOR/JOÃO MARCOS</v>
      </c>
    </row>
    <row r="1178" spans="1:14" x14ac:dyDescent="0.3">
      <c r="A1178" s="9">
        <v>705858</v>
      </c>
      <c r="B1178" s="9" t="s">
        <v>1595</v>
      </c>
      <c r="C1178" s="10" t="s">
        <v>15</v>
      </c>
      <c r="D1178" s="11">
        <v>46063</v>
      </c>
      <c r="E1178" s="9" t="s">
        <v>31</v>
      </c>
      <c r="F1178" s="9">
        <v>24102</v>
      </c>
      <c r="G1178" s="9" t="s">
        <v>669</v>
      </c>
      <c r="H1178" s="9" t="s">
        <v>661</v>
      </c>
      <c r="J1178" s="9" t="s">
        <v>670</v>
      </c>
      <c r="K1178" s="9" t="s">
        <v>666</v>
      </c>
      <c r="L1178" s="9" t="s">
        <v>1388</v>
      </c>
      <c r="M1178" s="9" t="s">
        <v>1637</v>
      </c>
      <c r="N1178" s="9" t="str">
        <f t="shared" si="18"/>
        <v>JUNIO TEIXEIRA /EDIVILSON</v>
      </c>
    </row>
    <row r="1179" spans="1:14" x14ac:dyDescent="0.3">
      <c r="A1179" s="9">
        <v>100880</v>
      </c>
      <c r="B1179" s="9" t="s">
        <v>1082</v>
      </c>
      <c r="C1179" s="10" t="s">
        <v>15</v>
      </c>
      <c r="D1179" s="11">
        <v>42444</v>
      </c>
      <c r="E1179" s="9" t="s">
        <v>255</v>
      </c>
      <c r="F1179" s="9">
        <v>39601</v>
      </c>
      <c r="G1179" s="9" t="s">
        <v>660</v>
      </c>
      <c r="H1179" s="9" t="s">
        <v>661</v>
      </c>
      <c r="J1179" s="9" t="s">
        <v>662</v>
      </c>
      <c r="K1179" s="9" t="s">
        <v>666</v>
      </c>
      <c r="L1179" s="9" t="s">
        <v>258</v>
      </c>
      <c r="N1179" s="9" t="str">
        <f t="shared" si="18"/>
        <v>MATHEUS ALMEIDA</v>
      </c>
    </row>
    <row r="1180" spans="1:14" x14ac:dyDescent="0.3">
      <c r="A1180" s="9">
        <v>705545</v>
      </c>
      <c r="B1180" s="9" t="s">
        <v>1324</v>
      </c>
      <c r="C1180" s="10" t="s">
        <v>15</v>
      </c>
      <c r="D1180" s="11">
        <v>45881</v>
      </c>
      <c r="E1180" s="9" t="s">
        <v>1596</v>
      </c>
      <c r="F1180" s="9">
        <v>37102</v>
      </c>
      <c r="G1180" s="9" t="s">
        <v>694</v>
      </c>
      <c r="H1180" s="9" t="s">
        <v>661</v>
      </c>
      <c r="J1180" s="9" t="s">
        <v>239</v>
      </c>
      <c r="K1180" s="9" t="s">
        <v>216</v>
      </c>
      <c r="N1180" s="9" t="str">
        <f t="shared" si="18"/>
        <v>CARSON NEVES</v>
      </c>
    </row>
    <row r="1181" spans="1:14" x14ac:dyDescent="0.3">
      <c r="A1181" s="9">
        <v>706024</v>
      </c>
      <c r="B1181" s="9" t="s">
        <v>1773</v>
      </c>
      <c r="C1181" s="10" t="s">
        <v>15</v>
      </c>
      <c r="D1181" s="11">
        <v>46126</v>
      </c>
      <c r="E1181" s="9" t="s">
        <v>31</v>
      </c>
      <c r="F1181" s="9">
        <v>39601</v>
      </c>
      <c r="G1181" s="9" t="s">
        <v>660</v>
      </c>
      <c r="H1181" s="9" t="s">
        <v>661</v>
      </c>
      <c r="J1181" s="9" t="s">
        <v>662</v>
      </c>
      <c r="K1181" s="9" t="s">
        <v>666</v>
      </c>
      <c r="L1181" s="9" t="s">
        <v>258</v>
      </c>
      <c r="N1181" s="9" t="str">
        <f t="shared" si="18"/>
        <v>MATHEUS ALMEIDA</v>
      </c>
    </row>
    <row r="1182" spans="1:14" x14ac:dyDescent="0.3">
      <c r="A1182" s="9">
        <v>705098</v>
      </c>
      <c r="B1182" s="9" t="s">
        <v>1084</v>
      </c>
      <c r="C1182" s="10" t="s">
        <v>15</v>
      </c>
      <c r="D1182" s="11">
        <v>45670</v>
      </c>
      <c r="E1182" s="9" t="s">
        <v>31</v>
      </c>
      <c r="F1182" s="9">
        <v>24102</v>
      </c>
      <c r="G1182" s="9" t="s">
        <v>669</v>
      </c>
      <c r="H1182" s="9" t="s">
        <v>661</v>
      </c>
      <c r="J1182" s="9" t="s">
        <v>672</v>
      </c>
      <c r="K1182" s="9" t="s">
        <v>666</v>
      </c>
      <c r="L1182" s="9" t="s">
        <v>1388</v>
      </c>
      <c r="M1182" s="9" t="s">
        <v>1637</v>
      </c>
      <c r="N1182" s="9" t="str">
        <f t="shared" si="18"/>
        <v>JUNIO TEIXEIRA /EDIVILSON</v>
      </c>
    </row>
    <row r="1183" spans="1:14" x14ac:dyDescent="0.3">
      <c r="A1183" s="9">
        <v>701755</v>
      </c>
      <c r="B1183" s="9" t="s">
        <v>1085</v>
      </c>
      <c r="C1183" s="10" t="s">
        <v>15</v>
      </c>
      <c r="D1183" s="11">
        <v>44053</v>
      </c>
      <c r="E1183" s="9" t="s">
        <v>1086</v>
      </c>
      <c r="F1183" s="9">
        <v>31103</v>
      </c>
      <c r="G1183" s="9" t="s">
        <v>718</v>
      </c>
      <c r="H1183" s="9" t="s">
        <v>661</v>
      </c>
      <c r="J1183" s="9" t="s">
        <v>719</v>
      </c>
      <c r="K1183" s="9" t="s">
        <v>1381</v>
      </c>
      <c r="N1183" s="9" t="str">
        <f t="shared" si="18"/>
        <v>MARCOS OLIVEIRA</v>
      </c>
    </row>
    <row r="1184" spans="1:14" x14ac:dyDescent="0.3">
      <c r="A1184" s="9">
        <v>704674</v>
      </c>
      <c r="B1184" s="9" t="s">
        <v>1087</v>
      </c>
      <c r="C1184" s="10" t="s">
        <v>15</v>
      </c>
      <c r="D1184" s="11">
        <v>45510</v>
      </c>
      <c r="E1184" s="9" t="s">
        <v>418</v>
      </c>
      <c r="F1184" s="9">
        <v>39601</v>
      </c>
      <c r="G1184" s="9" t="s">
        <v>660</v>
      </c>
      <c r="H1184" s="9" t="s">
        <v>661</v>
      </c>
      <c r="J1184" s="9" t="s">
        <v>662</v>
      </c>
      <c r="K1184" s="9" t="s">
        <v>666</v>
      </c>
      <c r="L1184" s="9" t="s">
        <v>258</v>
      </c>
      <c r="N1184" s="9" t="str">
        <f t="shared" si="18"/>
        <v>MATHEUS ALMEIDA</v>
      </c>
    </row>
    <row r="1185" spans="1:14" x14ac:dyDescent="0.3">
      <c r="A1185" s="9">
        <v>101411</v>
      </c>
      <c r="B1185" s="9" t="s">
        <v>1088</v>
      </c>
      <c r="C1185" s="10" t="s">
        <v>15</v>
      </c>
      <c r="D1185" s="11">
        <v>42926</v>
      </c>
      <c r="E1185" s="9" t="s">
        <v>507</v>
      </c>
      <c r="F1185" s="9">
        <v>24201</v>
      </c>
      <c r="G1185" s="9" t="s">
        <v>664</v>
      </c>
      <c r="H1185" s="9" t="s">
        <v>661</v>
      </c>
      <c r="J1185" s="9" t="s">
        <v>665</v>
      </c>
      <c r="K1185" s="9" t="s">
        <v>666</v>
      </c>
      <c r="L1185" s="9" t="s">
        <v>258</v>
      </c>
      <c r="M1185" s="9" t="s">
        <v>667</v>
      </c>
      <c r="N1185" s="9" t="str">
        <f t="shared" si="18"/>
        <v>JOSIEL NEVES</v>
      </c>
    </row>
    <row r="1186" spans="1:14" x14ac:dyDescent="0.3">
      <c r="A1186" s="9">
        <v>705321</v>
      </c>
      <c r="B1186" s="9" t="s">
        <v>1269</v>
      </c>
      <c r="C1186" s="10" t="s">
        <v>15</v>
      </c>
      <c r="D1186" s="11">
        <v>45784</v>
      </c>
      <c r="E1186" s="9" t="s">
        <v>31</v>
      </c>
      <c r="F1186" s="9">
        <v>24102</v>
      </c>
      <c r="G1186" s="9" t="s">
        <v>669</v>
      </c>
      <c r="H1186" s="9" t="s">
        <v>661</v>
      </c>
      <c r="J1186" s="9" t="s">
        <v>670</v>
      </c>
      <c r="K1186" s="9" t="s">
        <v>666</v>
      </c>
      <c r="L1186" s="9" t="s">
        <v>1388</v>
      </c>
      <c r="M1186" s="9" t="s">
        <v>1637</v>
      </c>
      <c r="N1186" s="9" t="str">
        <f t="shared" si="18"/>
        <v>JUNIO TEIXEIRA /EDIVILSON</v>
      </c>
    </row>
    <row r="1187" spans="1:14" x14ac:dyDescent="0.3">
      <c r="A1187" s="9">
        <v>705676</v>
      </c>
      <c r="B1187" s="9" t="s">
        <v>1089</v>
      </c>
      <c r="C1187" s="10" t="s">
        <v>15</v>
      </c>
      <c r="D1187" s="11">
        <v>45944</v>
      </c>
      <c r="E1187" s="9" t="s">
        <v>31</v>
      </c>
      <c r="F1187" s="9">
        <v>39601</v>
      </c>
      <c r="G1187" s="9" t="s">
        <v>660</v>
      </c>
      <c r="H1187" s="9" t="s">
        <v>661</v>
      </c>
      <c r="J1187" s="9" t="s">
        <v>684</v>
      </c>
      <c r="K1187" s="9" t="s">
        <v>666</v>
      </c>
      <c r="L1187" s="9" t="s">
        <v>258</v>
      </c>
      <c r="M1187" s="9" t="s">
        <v>1392</v>
      </c>
      <c r="N1187" s="9" t="str">
        <f t="shared" si="18"/>
        <v>ADALTON/JANILSON RORIZ/MARIVALDO</v>
      </c>
    </row>
    <row r="1188" spans="1:14" x14ac:dyDescent="0.3">
      <c r="A1188" s="9">
        <v>704469</v>
      </c>
      <c r="B1188" s="9" t="s">
        <v>1090</v>
      </c>
      <c r="C1188" s="10" t="s">
        <v>15</v>
      </c>
      <c r="D1188" s="11">
        <v>45419</v>
      </c>
      <c r="E1188" s="9" t="s">
        <v>31</v>
      </c>
      <c r="F1188" s="9">
        <v>24201</v>
      </c>
      <c r="G1188" s="9" t="s">
        <v>664</v>
      </c>
      <c r="H1188" s="9" t="s">
        <v>661</v>
      </c>
      <c r="J1188" s="9" t="s">
        <v>665</v>
      </c>
      <c r="K1188" s="9" t="s">
        <v>666</v>
      </c>
      <c r="L1188" s="9" t="s">
        <v>258</v>
      </c>
      <c r="M1188" s="9" t="s">
        <v>667</v>
      </c>
      <c r="N1188" s="9" t="str">
        <f t="shared" si="18"/>
        <v>JOSIEL NEVES</v>
      </c>
    </row>
    <row r="1189" spans="1:14" x14ac:dyDescent="0.3">
      <c r="A1189" s="9">
        <v>705473</v>
      </c>
      <c r="B1189" s="9" t="s">
        <v>1287</v>
      </c>
      <c r="C1189" s="10" t="s">
        <v>15</v>
      </c>
      <c r="D1189" s="11">
        <v>45824</v>
      </c>
      <c r="E1189" s="9" t="s">
        <v>31</v>
      </c>
      <c r="F1189" s="9">
        <v>24102</v>
      </c>
      <c r="G1189" s="9" t="s">
        <v>669</v>
      </c>
      <c r="H1189" s="9" t="s">
        <v>661</v>
      </c>
      <c r="J1189" s="9" t="s">
        <v>670</v>
      </c>
      <c r="K1189" s="9" t="s">
        <v>666</v>
      </c>
      <c r="L1189" s="9" t="s">
        <v>1388</v>
      </c>
      <c r="M1189" s="9" t="s">
        <v>1637</v>
      </c>
      <c r="N1189" s="9" t="str">
        <f t="shared" si="18"/>
        <v>JUNIO TEIXEIRA /EDIVILSON</v>
      </c>
    </row>
    <row r="1190" spans="1:14" x14ac:dyDescent="0.3">
      <c r="A1190" s="9">
        <v>705889</v>
      </c>
      <c r="B1190" s="9" t="s">
        <v>1597</v>
      </c>
      <c r="C1190" s="10" t="s">
        <v>15</v>
      </c>
      <c r="D1190" s="11">
        <v>46063</v>
      </c>
      <c r="E1190" s="9" t="s">
        <v>60</v>
      </c>
      <c r="F1190" s="9">
        <v>24102</v>
      </c>
      <c r="G1190" s="9" t="s">
        <v>669</v>
      </c>
      <c r="H1190" s="9" t="s">
        <v>661</v>
      </c>
      <c r="J1190" s="9" t="s">
        <v>804</v>
      </c>
      <c r="K1190" s="9" t="s">
        <v>666</v>
      </c>
      <c r="M1190" s="9" t="s">
        <v>805</v>
      </c>
      <c r="N1190" s="9" t="str">
        <f t="shared" si="18"/>
        <v>JAILSON RORIZ</v>
      </c>
    </row>
    <row r="1191" spans="1:14" x14ac:dyDescent="0.3">
      <c r="A1191" s="9">
        <v>706026</v>
      </c>
      <c r="B1191" s="9" t="s">
        <v>1774</v>
      </c>
      <c r="C1191" s="10" t="s">
        <v>15</v>
      </c>
      <c r="D1191" s="11">
        <v>46126</v>
      </c>
      <c r="E1191" s="9" t="s">
        <v>31</v>
      </c>
      <c r="F1191" s="9">
        <v>39601</v>
      </c>
      <c r="G1191" s="9" t="s">
        <v>660</v>
      </c>
      <c r="H1191" s="9" t="s">
        <v>661</v>
      </c>
      <c r="J1191" s="9" t="s">
        <v>662</v>
      </c>
      <c r="K1191" s="9" t="s">
        <v>666</v>
      </c>
      <c r="L1191" s="9" t="s">
        <v>258</v>
      </c>
      <c r="N1191" s="9" t="str">
        <f t="shared" si="18"/>
        <v>MATHEUS ALMEIDA</v>
      </c>
    </row>
    <row r="1192" spans="1:14" x14ac:dyDescent="0.3">
      <c r="A1192" s="9">
        <v>705873</v>
      </c>
      <c r="B1192" s="9" t="s">
        <v>1598</v>
      </c>
      <c r="C1192" s="10" t="s">
        <v>15</v>
      </c>
      <c r="D1192" s="11">
        <v>46063</v>
      </c>
      <c r="E1192" s="9" t="s">
        <v>31</v>
      </c>
      <c r="F1192" s="9">
        <v>24102</v>
      </c>
      <c r="G1192" s="9" t="s">
        <v>669</v>
      </c>
      <c r="H1192" s="9" t="s">
        <v>661</v>
      </c>
      <c r="J1192" s="9" t="s">
        <v>670</v>
      </c>
      <c r="K1192" s="9" t="s">
        <v>666</v>
      </c>
      <c r="L1192" s="9" t="s">
        <v>1388</v>
      </c>
      <c r="M1192" s="9" t="s">
        <v>1637</v>
      </c>
      <c r="N1192" s="9" t="str">
        <f t="shared" si="18"/>
        <v>JUNIO TEIXEIRA /EDIVILSON</v>
      </c>
    </row>
    <row r="1193" spans="1:14" x14ac:dyDescent="0.3">
      <c r="A1193" s="9">
        <v>703827</v>
      </c>
      <c r="B1193" s="9" t="s">
        <v>1093</v>
      </c>
      <c r="C1193" s="10" t="s">
        <v>15</v>
      </c>
      <c r="D1193" s="11">
        <v>45054</v>
      </c>
      <c r="E1193" s="9" t="s">
        <v>138</v>
      </c>
      <c r="F1193" s="9">
        <v>24102</v>
      </c>
      <c r="G1193" s="9" t="s">
        <v>669</v>
      </c>
      <c r="H1193" s="9" t="s">
        <v>661</v>
      </c>
      <c r="J1193" s="9" t="s">
        <v>697</v>
      </c>
      <c r="K1193" s="9" t="s">
        <v>666</v>
      </c>
      <c r="L1193" s="9" t="s">
        <v>1390</v>
      </c>
      <c r="M1193" s="9" t="s">
        <v>1391</v>
      </c>
      <c r="N1193" s="9" t="str">
        <f t="shared" si="18"/>
        <v>ALCENO JUNIOR/JOÃO MARCOS</v>
      </c>
    </row>
    <row r="1194" spans="1:14" x14ac:dyDescent="0.3">
      <c r="A1194" s="9">
        <v>705396</v>
      </c>
      <c r="B1194" s="9" t="s">
        <v>1270</v>
      </c>
      <c r="C1194" s="10" t="s">
        <v>15</v>
      </c>
      <c r="D1194" s="11">
        <v>45791</v>
      </c>
      <c r="E1194" s="9" t="s">
        <v>31</v>
      </c>
      <c r="F1194" s="9">
        <v>39601</v>
      </c>
      <c r="G1194" s="9" t="s">
        <v>660</v>
      </c>
      <c r="H1194" s="9" t="s">
        <v>661</v>
      </c>
      <c r="J1194" s="9" t="s">
        <v>662</v>
      </c>
      <c r="K1194" s="9" t="s">
        <v>666</v>
      </c>
      <c r="L1194" s="9" t="s">
        <v>258</v>
      </c>
      <c r="N1194" s="9" t="str">
        <f t="shared" si="18"/>
        <v>MATHEUS ALMEIDA</v>
      </c>
    </row>
    <row r="1195" spans="1:14" x14ac:dyDescent="0.3">
      <c r="A1195" s="9">
        <v>101772</v>
      </c>
      <c r="B1195" s="9" t="s">
        <v>1094</v>
      </c>
      <c r="C1195" s="10" t="s">
        <v>15</v>
      </c>
      <c r="D1195" s="11">
        <v>43073</v>
      </c>
      <c r="E1195" s="9" t="s">
        <v>16</v>
      </c>
      <c r="F1195" s="9">
        <v>24102</v>
      </c>
      <c r="G1195" s="9" t="s">
        <v>669</v>
      </c>
      <c r="H1195" s="9" t="s">
        <v>661</v>
      </c>
      <c r="J1195" s="9" t="s">
        <v>682</v>
      </c>
      <c r="K1195" s="9" t="s">
        <v>666</v>
      </c>
      <c r="L1195" s="9" t="s">
        <v>1390</v>
      </c>
      <c r="M1195" s="9" t="s">
        <v>1391</v>
      </c>
      <c r="N1195" s="9" t="str">
        <f t="shared" si="18"/>
        <v>ALCENO JUNIOR/JOÃO MARCOS</v>
      </c>
    </row>
    <row r="1196" spans="1:14" x14ac:dyDescent="0.3">
      <c r="A1196" s="9">
        <v>703144</v>
      </c>
      <c r="B1196" s="9" t="s">
        <v>1095</v>
      </c>
      <c r="C1196" s="10" t="s">
        <v>15</v>
      </c>
      <c r="D1196" s="11">
        <v>44713</v>
      </c>
      <c r="E1196" s="9" t="s">
        <v>16</v>
      </c>
      <c r="F1196" s="9">
        <v>24102</v>
      </c>
      <c r="G1196" s="9" t="s">
        <v>669</v>
      </c>
      <c r="H1196" s="9" t="s">
        <v>661</v>
      </c>
      <c r="J1196" s="9" t="s">
        <v>682</v>
      </c>
      <c r="K1196" s="9" t="s">
        <v>666</v>
      </c>
      <c r="L1196" s="9" t="s">
        <v>1390</v>
      </c>
      <c r="M1196" s="9" t="s">
        <v>1391</v>
      </c>
      <c r="N1196" s="9" t="str">
        <f t="shared" si="18"/>
        <v>ALCENO JUNIOR/JOÃO MARCOS</v>
      </c>
    </row>
    <row r="1197" spans="1:14" x14ac:dyDescent="0.3">
      <c r="A1197" s="9">
        <v>700457</v>
      </c>
      <c r="B1197" s="9" t="s">
        <v>1096</v>
      </c>
      <c r="C1197" s="10" t="s">
        <v>15</v>
      </c>
      <c r="D1197" s="11">
        <v>43332</v>
      </c>
      <c r="E1197" s="9" t="s">
        <v>686</v>
      </c>
      <c r="F1197" s="9">
        <v>39601</v>
      </c>
      <c r="G1197" s="9" t="s">
        <v>660</v>
      </c>
      <c r="H1197" s="9" t="s">
        <v>661</v>
      </c>
      <c r="J1197" s="9" t="s">
        <v>684</v>
      </c>
      <c r="K1197" s="9" t="s">
        <v>666</v>
      </c>
      <c r="L1197" s="9" t="s">
        <v>258</v>
      </c>
      <c r="M1197" s="9" t="s">
        <v>1392</v>
      </c>
      <c r="N1197" s="9" t="str">
        <f t="shared" si="18"/>
        <v>ADALTON/JANILSON RORIZ/MARIVALDO</v>
      </c>
    </row>
    <row r="1198" spans="1:14" x14ac:dyDescent="0.3">
      <c r="A1198" s="9">
        <v>705101</v>
      </c>
      <c r="B1198" s="9" t="s">
        <v>1098</v>
      </c>
      <c r="C1198" s="10" t="s">
        <v>15</v>
      </c>
      <c r="D1198" s="11">
        <v>45670</v>
      </c>
      <c r="E1198" s="9" t="s">
        <v>31</v>
      </c>
      <c r="F1198" s="9">
        <v>24102</v>
      </c>
      <c r="G1198" s="9" t="s">
        <v>669</v>
      </c>
      <c r="H1198" s="9" t="s">
        <v>661</v>
      </c>
      <c r="J1198" s="9" t="s">
        <v>672</v>
      </c>
      <c r="K1198" s="9" t="s">
        <v>666</v>
      </c>
      <c r="L1198" s="9" t="s">
        <v>1388</v>
      </c>
      <c r="M1198" s="9" t="s">
        <v>1637</v>
      </c>
      <c r="N1198" s="9" t="str">
        <f t="shared" si="18"/>
        <v>JUNIO TEIXEIRA /EDIVILSON</v>
      </c>
    </row>
    <row r="1199" spans="1:14" x14ac:dyDescent="0.3">
      <c r="A1199" s="9">
        <v>705033</v>
      </c>
      <c r="B1199" s="9" t="s">
        <v>1099</v>
      </c>
      <c r="C1199" s="10" t="s">
        <v>15</v>
      </c>
      <c r="D1199" s="11">
        <v>45636</v>
      </c>
      <c r="E1199" s="9" t="s">
        <v>31</v>
      </c>
      <c r="F1199" s="9">
        <v>24201</v>
      </c>
      <c r="G1199" s="9" t="s">
        <v>664</v>
      </c>
      <c r="H1199" s="9" t="s">
        <v>661</v>
      </c>
      <c r="J1199" s="9" t="s">
        <v>665</v>
      </c>
      <c r="K1199" s="9" t="s">
        <v>666</v>
      </c>
      <c r="L1199" s="9" t="s">
        <v>258</v>
      </c>
      <c r="M1199" s="9" t="s">
        <v>667</v>
      </c>
      <c r="N1199" s="9" t="str">
        <f t="shared" si="18"/>
        <v>JOSIEL NEVES</v>
      </c>
    </row>
    <row r="1200" spans="1:14" x14ac:dyDescent="0.3">
      <c r="A1200" s="9">
        <v>705021</v>
      </c>
      <c r="B1200" s="9" t="s">
        <v>1100</v>
      </c>
      <c r="C1200" s="10" t="s">
        <v>15</v>
      </c>
      <c r="D1200" s="11">
        <v>45635</v>
      </c>
      <c r="E1200" s="9" t="s">
        <v>31</v>
      </c>
      <c r="F1200" s="9">
        <v>24102</v>
      </c>
      <c r="G1200" s="9" t="s">
        <v>669</v>
      </c>
      <c r="H1200" s="9" t="s">
        <v>661</v>
      </c>
      <c r="J1200" s="9" t="s">
        <v>670</v>
      </c>
      <c r="K1200" s="9" t="s">
        <v>666</v>
      </c>
      <c r="L1200" s="9" t="s">
        <v>1388</v>
      </c>
      <c r="M1200" s="9" t="s">
        <v>1637</v>
      </c>
      <c r="N1200" s="9" t="str">
        <f t="shared" si="18"/>
        <v>JUNIO TEIXEIRA /EDIVILSON</v>
      </c>
    </row>
    <row r="1201" spans="1:14" x14ac:dyDescent="0.3">
      <c r="A1201" s="9">
        <v>701241</v>
      </c>
      <c r="B1201" s="9" t="s">
        <v>1101</v>
      </c>
      <c r="C1201" s="10" t="s">
        <v>15</v>
      </c>
      <c r="D1201" s="11">
        <v>43711</v>
      </c>
      <c r="E1201" s="9" t="s">
        <v>16</v>
      </c>
      <c r="F1201" s="9">
        <v>24102</v>
      </c>
      <c r="G1201" s="9" t="s">
        <v>669</v>
      </c>
      <c r="H1201" s="9" t="s">
        <v>661</v>
      </c>
      <c r="J1201" s="9" t="s">
        <v>682</v>
      </c>
      <c r="K1201" s="9" t="s">
        <v>666</v>
      </c>
      <c r="L1201" s="9" t="s">
        <v>1390</v>
      </c>
      <c r="M1201" s="9" t="s">
        <v>1391</v>
      </c>
      <c r="N1201" s="9" t="str">
        <f t="shared" si="18"/>
        <v>ALCENO JUNIOR/JOÃO MARCOS</v>
      </c>
    </row>
    <row r="1202" spans="1:14" x14ac:dyDescent="0.3">
      <c r="A1202" s="9">
        <v>705160</v>
      </c>
      <c r="B1202" s="9" t="s">
        <v>1177</v>
      </c>
      <c r="C1202" s="10" t="s">
        <v>15</v>
      </c>
      <c r="D1202" s="11">
        <v>45720</v>
      </c>
      <c r="E1202" s="9" t="s">
        <v>428</v>
      </c>
      <c r="F1202" s="9">
        <v>32102</v>
      </c>
      <c r="G1202" s="9" t="s">
        <v>674</v>
      </c>
      <c r="H1202" s="9" t="s">
        <v>661</v>
      </c>
      <c r="J1202" s="9" t="s">
        <v>675</v>
      </c>
      <c r="K1202" s="9" t="s">
        <v>25</v>
      </c>
      <c r="L1202" s="9" t="s">
        <v>1369</v>
      </c>
      <c r="M1202" s="9" t="s">
        <v>1638</v>
      </c>
      <c r="N1202" s="9" t="str">
        <f t="shared" si="18"/>
        <v>EDIVILSON MENEZES</v>
      </c>
    </row>
    <row r="1203" spans="1:14" x14ac:dyDescent="0.3">
      <c r="A1203" s="9">
        <v>703459</v>
      </c>
      <c r="B1203" s="9" t="s">
        <v>1103</v>
      </c>
      <c r="C1203" s="10" t="s">
        <v>15</v>
      </c>
      <c r="D1203" s="11">
        <v>44887</v>
      </c>
      <c r="E1203" s="9" t="s">
        <v>31</v>
      </c>
      <c r="F1203" s="9">
        <v>24102</v>
      </c>
      <c r="G1203" s="9" t="s">
        <v>669</v>
      </c>
      <c r="H1203" s="9" t="s">
        <v>661</v>
      </c>
      <c r="J1203" s="9" t="s">
        <v>85</v>
      </c>
      <c r="K1203" s="9" t="s">
        <v>1371</v>
      </c>
      <c r="L1203" s="9" t="s">
        <v>1380</v>
      </c>
      <c r="M1203" s="9" t="s">
        <v>1380</v>
      </c>
      <c r="N1203" s="9" t="str">
        <f t="shared" si="18"/>
        <v xml:space="preserve">LEONARDO SANTOS </v>
      </c>
    </row>
    <row r="1204" spans="1:14" x14ac:dyDescent="0.3">
      <c r="A1204" s="9">
        <v>705678</v>
      </c>
      <c r="B1204" s="9" t="s">
        <v>1439</v>
      </c>
      <c r="C1204" s="10" t="s">
        <v>15</v>
      </c>
      <c r="D1204" s="11">
        <v>45944</v>
      </c>
      <c r="E1204" s="9" t="s">
        <v>31</v>
      </c>
      <c r="F1204" s="9">
        <v>39601</v>
      </c>
      <c r="G1204" s="9" t="s">
        <v>660</v>
      </c>
      <c r="H1204" s="9" t="s">
        <v>661</v>
      </c>
      <c r="J1204" s="9" t="s">
        <v>684</v>
      </c>
      <c r="K1204" s="9" t="s">
        <v>666</v>
      </c>
      <c r="L1204" s="9" t="s">
        <v>258</v>
      </c>
      <c r="M1204" s="9" t="s">
        <v>1392</v>
      </c>
      <c r="N1204" s="9" t="str">
        <f t="shared" si="18"/>
        <v>ADALTON/JANILSON RORIZ/MARIVALDO</v>
      </c>
    </row>
    <row r="1205" spans="1:14" x14ac:dyDescent="0.3">
      <c r="A1205" s="9">
        <v>703561</v>
      </c>
      <c r="B1205" s="9" t="s">
        <v>1104</v>
      </c>
      <c r="C1205" s="10" t="s">
        <v>15</v>
      </c>
      <c r="D1205" s="11">
        <v>44935</v>
      </c>
      <c r="E1205" s="9" t="s">
        <v>138</v>
      </c>
      <c r="F1205" s="9">
        <v>24102</v>
      </c>
      <c r="G1205" s="9" t="s">
        <v>669</v>
      </c>
      <c r="H1205" s="9" t="s">
        <v>661</v>
      </c>
      <c r="J1205" s="9" t="s">
        <v>670</v>
      </c>
      <c r="K1205" s="9" t="s">
        <v>666</v>
      </c>
      <c r="L1205" s="9" t="s">
        <v>1388</v>
      </c>
      <c r="M1205" s="9" t="s">
        <v>1637</v>
      </c>
      <c r="N1205" s="9" t="str">
        <f t="shared" si="18"/>
        <v>JUNIO TEIXEIRA /EDIVILSON</v>
      </c>
    </row>
    <row r="1206" spans="1:14" x14ac:dyDescent="0.3">
      <c r="A1206" s="9">
        <v>101728</v>
      </c>
      <c r="B1206" s="9" t="s">
        <v>1107</v>
      </c>
      <c r="C1206" s="10" t="s">
        <v>15</v>
      </c>
      <c r="D1206" s="11">
        <v>43066</v>
      </c>
      <c r="E1206" s="9" t="s">
        <v>127</v>
      </c>
      <c r="F1206" s="9">
        <v>24102</v>
      </c>
      <c r="G1206" s="9" t="s">
        <v>669</v>
      </c>
      <c r="H1206" s="9" t="s">
        <v>661</v>
      </c>
      <c r="J1206" s="9" t="s">
        <v>670</v>
      </c>
      <c r="K1206" s="9" t="s">
        <v>666</v>
      </c>
      <c r="L1206" s="9" t="s">
        <v>1388</v>
      </c>
      <c r="M1206" s="9" t="s">
        <v>1637</v>
      </c>
      <c r="N1206" s="9" t="str">
        <f t="shared" si="18"/>
        <v>JUNIO TEIXEIRA /EDIVILSON</v>
      </c>
    </row>
    <row r="1207" spans="1:14" x14ac:dyDescent="0.3">
      <c r="A1207" s="9">
        <v>704351</v>
      </c>
      <c r="B1207" s="9" t="s">
        <v>1108</v>
      </c>
      <c r="C1207" s="10" t="s">
        <v>15</v>
      </c>
      <c r="D1207" s="11">
        <v>45363</v>
      </c>
      <c r="E1207" s="9" t="s">
        <v>16</v>
      </c>
      <c r="F1207" s="9">
        <v>24102</v>
      </c>
      <c r="G1207" s="9" t="s">
        <v>669</v>
      </c>
      <c r="H1207" s="9" t="s">
        <v>661</v>
      </c>
      <c r="J1207" s="9" t="s">
        <v>804</v>
      </c>
      <c r="K1207" s="9" t="s">
        <v>666</v>
      </c>
      <c r="M1207" s="9" t="s">
        <v>805</v>
      </c>
      <c r="N1207" s="9" t="str">
        <f t="shared" si="18"/>
        <v>JAILSON RORIZ</v>
      </c>
    </row>
    <row r="1208" spans="1:14" x14ac:dyDescent="0.3">
      <c r="A1208" s="9">
        <v>703261</v>
      </c>
      <c r="B1208" s="9" t="s">
        <v>553</v>
      </c>
      <c r="C1208" s="10" t="s">
        <v>233</v>
      </c>
      <c r="D1208" s="11">
        <v>44781</v>
      </c>
      <c r="E1208" s="9" t="s">
        <v>16</v>
      </c>
      <c r="F1208" s="9">
        <v>24102</v>
      </c>
      <c r="G1208" s="9" t="s">
        <v>669</v>
      </c>
      <c r="H1208" s="9" t="s">
        <v>661</v>
      </c>
      <c r="J1208" s="9" t="s">
        <v>682</v>
      </c>
      <c r="K1208" s="9" t="s">
        <v>666</v>
      </c>
      <c r="L1208" s="9" t="s">
        <v>1390</v>
      </c>
      <c r="M1208" s="9" t="s">
        <v>1391</v>
      </c>
      <c r="N1208" s="9" t="str">
        <f t="shared" si="18"/>
        <v>ALCENO JUNIOR/JOÃO MARCOS</v>
      </c>
    </row>
    <row r="1209" spans="1:14" x14ac:dyDescent="0.3">
      <c r="A1209" s="9">
        <v>704396</v>
      </c>
      <c r="B1209" s="9" t="s">
        <v>1109</v>
      </c>
      <c r="C1209" s="10" t="s">
        <v>15</v>
      </c>
      <c r="D1209" s="11">
        <v>45391</v>
      </c>
      <c r="E1209" s="9" t="s">
        <v>16</v>
      </c>
      <c r="F1209" s="9">
        <v>24102</v>
      </c>
      <c r="G1209" s="9" t="s">
        <v>669</v>
      </c>
      <c r="H1209" s="9" t="s">
        <v>661</v>
      </c>
      <c r="J1209" s="9" t="s">
        <v>682</v>
      </c>
      <c r="K1209" s="9" t="s">
        <v>666</v>
      </c>
      <c r="L1209" s="9" t="s">
        <v>1390</v>
      </c>
      <c r="M1209" s="9" t="s">
        <v>1391</v>
      </c>
      <c r="N1209" s="9" t="str">
        <f t="shared" si="18"/>
        <v>ALCENO JUNIOR/JOÃO MARCOS</v>
      </c>
    </row>
    <row r="1210" spans="1:14" x14ac:dyDescent="0.3">
      <c r="A1210" s="9">
        <v>702070</v>
      </c>
      <c r="B1210" s="9" t="s">
        <v>1110</v>
      </c>
      <c r="C1210" s="10" t="s">
        <v>15</v>
      </c>
      <c r="D1210" s="11">
        <v>44264</v>
      </c>
      <c r="E1210" s="9" t="s">
        <v>423</v>
      </c>
      <c r="F1210" s="9">
        <v>31103</v>
      </c>
      <c r="G1210" s="9" t="s">
        <v>718</v>
      </c>
      <c r="H1210" s="9" t="s">
        <v>661</v>
      </c>
      <c r="J1210" s="9" t="s">
        <v>719</v>
      </c>
      <c r="K1210" s="9" t="s">
        <v>1381</v>
      </c>
      <c r="N1210" s="9" t="str">
        <f t="shared" si="18"/>
        <v>MARCOS OLIVEIRA</v>
      </c>
    </row>
    <row r="1211" spans="1:14" x14ac:dyDescent="0.3">
      <c r="A1211" s="9">
        <v>703317</v>
      </c>
      <c r="B1211" s="9" t="s">
        <v>1111</v>
      </c>
      <c r="C1211" s="10" t="s">
        <v>15</v>
      </c>
      <c r="D1211" s="11">
        <v>44824</v>
      </c>
      <c r="E1211" s="9" t="s">
        <v>109</v>
      </c>
      <c r="F1211" s="9">
        <v>32102</v>
      </c>
      <c r="G1211" s="9" t="s">
        <v>674</v>
      </c>
      <c r="H1211" s="9" t="s">
        <v>661</v>
      </c>
      <c r="J1211" s="9" t="s">
        <v>675</v>
      </c>
      <c r="K1211" s="9" t="s">
        <v>25</v>
      </c>
      <c r="L1211" s="9" t="s">
        <v>1369</v>
      </c>
      <c r="M1211" s="9" t="s">
        <v>1638</v>
      </c>
      <c r="N1211" s="9" t="str">
        <f t="shared" si="18"/>
        <v>EDIVILSON MENEZES</v>
      </c>
    </row>
    <row r="1212" spans="1:14" x14ac:dyDescent="0.3">
      <c r="A1212" s="9">
        <v>705974</v>
      </c>
      <c r="B1212" s="9" t="s">
        <v>1775</v>
      </c>
      <c r="C1212" s="10" t="s">
        <v>15</v>
      </c>
      <c r="D1212" s="11">
        <v>46119</v>
      </c>
      <c r="E1212" s="9" t="s">
        <v>77</v>
      </c>
      <c r="F1212" s="9">
        <v>38108</v>
      </c>
      <c r="G1212" s="9" t="s">
        <v>1698</v>
      </c>
      <c r="H1212" s="9" t="s">
        <v>661</v>
      </c>
      <c r="J1212" s="9" t="s">
        <v>78</v>
      </c>
      <c r="K1212" s="9" t="s">
        <v>1372</v>
      </c>
      <c r="N1212" s="9" t="str">
        <f t="shared" si="18"/>
        <v xml:space="preserve">LEIDJANE MARTINS </v>
      </c>
    </row>
    <row r="1213" spans="1:14" x14ac:dyDescent="0.3">
      <c r="A1213" s="9">
        <v>702948</v>
      </c>
      <c r="B1213" s="9" t="s">
        <v>1112</v>
      </c>
      <c r="C1213" s="10" t="s">
        <v>15</v>
      </c>
      <c r="D1213" s="11">
        <v>44663</v>
      </c>
      <c r="E1213" s="9" t="s">
        <v>27</v>
      </c>
      <c r="F1213" s="9">
        <v>39601</v>
      </c>
      <c r="G1213" s="9" t="s">
        <v>660</v>
      </c>
      <c r="H1213" s="9" t="s">
        <v>661</v>
      </c>
      <c r="J1213" s="9" t="s">
        <v>684</v>
      </c>
      <c r="K1213" s="9" t="s">
        <v>666</v>
      </c>
      <c r="L1213" s="9" t="s">
        <v>258</v>
      </c>
      <c r="M1213" s="9" t="s">
        <v>1392</v>
      </c>
      <c r="N1213" s="9" t="str">
        <f t="shared" si="18"/>
        <v>ADALTON/JANILSON RORIZ/MARIVALDO</v>
      </c>
    </row>
    <row r="1214" spans="1:14" x14ac:dyDescent="0.3">
      <c r="A1214" s="9">
        <v>704680</v>
      </c>
      <c r="B1214" s="9" t="s">
        <v>1113</v>
      </c>
      <c r="C1214" s="10" t="s">
        <v>15</v>
      </c>
      <c r="D1214" s="11">
        <v>45510</v>
      </c>
      <c r="E1214" s="9" t="s">
        <v>129</v>
      </c>
      <c r="F1214" s="9">
        <v>31103</v>
      </c>
      <c r="G1214" s="9" t="s">
        <v>718</v>
      </c>
      <c r="H1214" s="9" t="s">
        <v>661</v>
      </c>
      <c r="J1214" s="9" t="s">
        <v>719</v>
      </c>
      <c r="K1214" s="9" t="s">
        <v>1381</v>
      </c>
      <c r="N1214" s="9" t="str">
        <f t="shared" si="18"/>
        <v>MARCOS OLIVEIRA</v>
      </c>
    </row>
    <row r="1215" spans="1:14" x14ac:dyDescent="0.3">
      <c r="A1215" s="9">
        <v>704822</v>
      </c>
      <c r="B1215" s="9" t="s">
        <v>1114</v>
      </c>
      <c r="C1215" s="10" t="s">
        <v>15</v>
      </c>
      <c r="D1215" s="11">
        <v>45566</v>
      </c>
      <c r="E1215" s="9" t="s">
        <v>418</v>
      </c>
      <c r="F1215" s="9">
        <v>39601</v>
      </c>
      <c r="G1215" s="9" t="s">
        <v>660</v>
      </c>
      <c r="H1215" s="9" t="s">
        <v>661</v>
      </c>
      <c r="J1215" s="9" t="s">
        <v>662</v>
      </c>
      <c r="K1215" s="9" t="s">
        <v>666</v>
      </c>
      <c r="L1215" s="9" t="s">
        <v>258</v>
      </c>
      <c r="N1215" s="9" t="str">
        <f t="shared" si="18"/>
        <v>MATHEUS ALMEIDA</v>
      </c>
    </row>
    <row r="1216" spans="1:14" x14ac:dyDescent="0.3">
      <c r="A1216" s="9">
        <v>702806</v>
      </c>
      <c r="B1216" s="9" t="s">
        <v>1115</v>
      </c>
      <c r="C1216" s="10" t="s">
        <v>15</v>
      </c>
      <c r="D1216" s="11">
        <v>44607</v>
      </c>
      <c r="E1216" s="9" t="s">
        <v>138</v>
      </c>
      <c r="F1216" s="9">
        <v>24102</v>
      </c>
      <c r="G1216" s="9" t="s">
        <v>669</v>
      </c>
      <c r="H1216" s="9" t="s">
        <v>661</v>
      </c>
      <c r="J1216" s="9" t="s">
        <v>697</v>
      </c>
      <c r="K1216" s="9" t="s">
        <v>666</v>
      </c>
      <c r="L1216" s="9" t="s">
        <v>1390</v>
      </c>
      <c r="M1216" s="9" t="s">
        <v>1391</v>
      </c>
      <c r="N1216" s="9" t="str">
        <f t="shared" si="18"/>
        <v>ALCENO JUNIOR/JOÃO MARCOS</v>
      </c>
    </row>
    <row r="1217" spans="1:14" x14ac:dyDescent="0.3">
      <c r="A1217" s="9">
        <v>705602</v>
      </c>
      <c r="B1217" s="9" t="s">
        <v>1367</v>
      </c>
      <c r="C1217" s="10" t="s">
        <v>15</v>
      </c>
      <c r="D1217" s="11">
        <v>45902</v>
      </c>
      <c r="E1217" s="9" t="s">
        <v>905</v>
      </c>
      <c r="F1217" s="9">
        <v>39602</v>
      </c>
      <c r="G1217" s="9" t="s">
        <v>699</v>
      </c>
      <c r="H1217" s="9" t="s">
        <v>661</v>
      </c>
      <c r="J1217" s="9" t="s">
        <v>700</v>
      </c>
      <c r="K1217" s="9" t="s">
        <v>666</v>
      </c>
      <c r="L1217" s="9" t="s">
        <v>258</v>
      </c>
      <c r="M1217" s="9" t="s">
        <v>701</v>
      </c>
      <c r="N1217" s="9" t="str">
        <f t="shared" si="18"/>
        <v>IURY GUEDES</v>
      </c>
    </row>
    <row r="1218" spans="1:14" x14ac:dyDescent="0.3">
      <c r="A1218" s="9">
        <v>705987</v>
      </c>
      <c r="B1218" s="9" t="s">
        <v>1776</v>
      </c>
      <c r="C1218" s="10" t="s">
        <v>15</v>
      </c>
      <c r="D1218" s="11">
        <v>46119</v>
      </c>
      <c r="E1218" s="9" t="s">
        <v>31</v>
      </c>
      <c r="F1218" s="9">
        <v>24102</v>
      </c>
      <c r="G1218" s="9" t="s">
        <v>669</v>
      </c>
      <c r="H1218" s="9" t="s">
        <v>661</v>
      </c>
      <c r="J1218" s="9" t="s">
        <v>670</v>
      </c>
      <c r="K1218" s="9" t="s">
        <v>666</v>
      </c>
      <c r="L1218" s="9" t="s">
        <v>1388</v>
      </c>
      <c r="M1218" s="9" t="s">
        <v>1637</v>
      </c>
      <c r="N1218" s="9" t="str">
        <f t="shared" si="18"/>
        <v>JUNIO TEIXEIRA /EDIVILSON</v>
      </c>
    </row>
    <row r="1219" spans="1:14" x14ac:dyDescent="0.3">
      <c r="A1219" s="9">
        <v>705325</v>
      </c>
      <c r="B1219" s="9" t="s">
        <v>1271</v>
      </c>
      <c r="C1219" s="10" t="s">
        <v>15</v>
      </c>
      <c r="D1219" s="11">
        <v>45784</v>
      </c>
      <c r="E1219" s="9" t="s">
        <v>31</v>
      </c>
      <c r="F1219" s="9">
        <v>24102</v>
      </c>
      <c r="G1219" s="9" t="s">
        <v>669</v>
      </c>
      <c r="H1219" s="9" t="s">
        <v>661</v>
      </c>
      <c r="J1219" s="9" t="s">
        <v>670</v>
      </c>
      <c r="K1219" s="9" t="s">
        <v>666</v>
      </c>
      <c r="L1219" s="9" t="s">
        <v>1388</v>
      </c>
      <c r="M1219" s="9" t="s">
        <v>1637</v>
      </c>
      <c r="N1219" s="9" t="str">
        <f t="shared" ref="N1219:N1246" si="19">IF(M1219&lt;&gt;"", M1219, IF(L1219&lt;&gt;"", L1219, K1219))</f>
        <v>JUNIO TEIXEIRA /EDIVILSON</v>
      </c>
    </row>
    <row r="1220" spans="1:14" x14ac:dyDescent="0.3">
      <c r="A1220" s="9">
        <v>705005</v>
      </c>
      <c r="B1220" s="9" t="s">
        <v>1116</v>
      </c>
      <c r="C1220" s="10" t="s">
        <v>15</v>
      </c>
      <c r="D1220" s="11">
        <v>45636</v>
      </c>
      <c r="E1220" s="9" t="s">
        <v>22</v>
      </c>
      <c r="F1220" s="9">
        <v>39601</v>
      </c>
      <c r="G1220" s="9" t="s">
        <v>660</v>
      </c>
      <c r="H1220" s="9" t="s">
        <v>661</v>
      </c>
      <c r="J1220" s="9" t="s">
        <v>662</v>
      </c>
      <c r="K1220" s="9" t="s">
        <v>666</v>
      </c>
      <c r="L1220" s="9" t="s">
        <v>258</v>
      </c>
      <c r="N1220" s="9" t="str">
        <f t="shared" si="19"/>
        <v>MATHEUS ALMEIDA</v>
      </c>
    </row>
    <row r="1221" spans="1:14" x14ac:dyDescent="0.3">
      <c r="A1221" s="9">
        <v>704347</v>
      </c>
      <c r="B1221" s="9" t="s">
        <v>1117</v>
      </c>
      <c r="C1221" s="10" t="s">
        <v>233</v>
      </c>
      <c r="D1221" s="11">
        <v>45363</v>
      </c>
      <c r="E1221" s="9" t="s">
        <v>336</v>
      </c>
      <c r="F1221" s="9">
        <v>24102</v>
      </c>
      <c r="G1221" s="9" t="s">
        <v>669</v>
      </c>
      <c r="H1221" s="9" t="s">
        <v>661</v>
      </c>
      <c r="J1221" s="9" t="s">
        <v>682</v>
      </c>
      <c r="K1221" s="9" t="s">
        <v>666</v>
      </c>
      <c r="L1221" s="9" t="s">
        <v>1390</v>
      </c>
      <c r="M1221" s="9" t="s">
        <v>1391</v>
      </c>
      <c r="N1221" s="9" t="str">
        <f t="shared" si="19"/>
        <v>ALCENO JUNIOR/JOÃO MARCOS</v>
      </c>
    </row>
    <row r="1222" spans="1:14" x14ac:dyDescent="0.3">
      <c r="A1222" s="9">
        <v>705779</v>
      </c>
      <c r="B1222" s="9" t="s">
        <v>1501</v>
      </c>
      <c r="C1222" s="10" t="s">
        <v>15</v>
      </c>
      <c r="D1222" s="11">
        <v>45993</v>
      </c>
      <c r="E1222" s="9" t="s">
        <v>336</v>
      </c>
      <c r="F1222" s="9">
        <v>24201</v>
      </c>
      <c r="G1222" s="9" t="s">
        <v>664</v>
      </c>
      <c r="H1222" s="9" t="s">
        <v>661</v>
      </c>
      <c r="J1222" s="9" t="s">
        <v>1012</v>
      </c>
      <c r="K1222" s="9" t="s">
        <v>666</v>
      </c>
      <c r="L1222" s="9" t="s">
        <v>258</v>
      </c>
      <c r="N1222" s="9" t="str">
        <f t="shared" si="19"/>
        <v>MATHEUS ALMEIDA</v>
      </c>
    </row>
    <row r="1223" spans="1:14" x14ac:dyDescent="0.3">
      <c r="A1223" s="9">
        <v>704801</v>
      </c>
      <c r="B1223" s="9" t="s">
        <v>1118</v>
      </c>
      <c r="C1223" s="10" t="s">
        <v>15</v>
      </c>
      <c r="D1223" s="11">
        <v>45566</v>
      </c>
      <c r="E1223" s="9" t="s">
        <v>31</v>
      </c>
      <c r="F1223" s="9">
        <v>39601</v>
      </c>
      <c r="G1223" s="9" t="s">
        <v>660</v>
      </c>
      <c r="H1223" s="9" t="s">
        <v>661</v>
      </c>
      <c r="J1223" s="9" t="s">
        <v>662</v>
      </c>
      <c r="K1223" s="9" t="s">
        <v>666</v>
      </c>
      <c r="L1223" s="9" t="s">
        <v>258</v>
      </c>
      <c r="N1223" s="9" t="str">
        <f t="shared" si="19"/>
        <v>MATHEUS ALMEIDA</v>
      </c>
    </row>
    <row r="1224" spans="1:14" x14ac:dyDescent="0.3">
      <c r="A1224" s="9">
        <v>704670</v>
      </c>
      <c r="B1224" s="9" t="s">
        <v>1119</v>
      </c>
      <c r="C1224" s="10" t="s">
        <v>15</v>
      </c>
      <c r="D1224" s="11">
        <v>45489</v>
      </c>
      <c r="E1224" s="9" t="s">
        <v>686</v>
      </c>
      <c r="F1224" s="9">
        <v>39601</v>
      </c>
      <c r="G1224" s="9" t="s">
        <v>660</v>
      </c>
      <c r="H1224" s="9" t="s">
        <v>661</v>
      </c>
      <c r="J1224" s="9" t="s">
        <v>684</v>
      </c>
      <c r="K1224" s="9" t="s">
        <v>666</v>
      </c>
      <c r="L1224" s="9" t="s">
        <v>258</v>
      </c>
      <c r="M1224" s="9" t="s">
        <v>1392</v>
      </c>
      <c r="N1224" s="9" t="str">
        <f t="shared" si="19"/>
        <v>ADALTON/JANILSON RORIZ/MARIVALDO</v>
      </c>
    </row>
    <row r="1225" spans="1:14" x14ac:dyDescent="0.3">
      <c r="A1225" s="9">
        <v>703694</v>
      </c>
      <c r="B1225" s="9" t="s">
        <v>1120</v>
      </c>
      <c r="C1225" s="10" t="s">
        <v>15</v>
      </c>
      <c r="D1225" s="11">
        <v>45019</v>
      </c>
      <c r="E1225" s="9" t="s">
        <v>31</v>
      </c>
      <c r="F1225" s="9">
        <v>24102</v>
      </c>
      <c r="G1225" s="9" t="s">
        <v>669</v>
      </c>
      <c r="H1225" s="9" t="s">
        <v>661</v>
      </c>
      <c r="J1225" s="9" t="s">
        <v>670</v>
      </c>
      <c r="K1225" s="9" t="s">
        <v>666</v>
      </c>
      <c r="L1225" s="9" t="s">
        <v>1388</v>
      </c>
      <c r="M1225" s="9" t="s">
        <v>1637</v>
      </c>
      <c r="N1225" s="9" t="str">
        <f t="shared" si="19"/>
        <v>JUNIO TEIXEIRA /EDIVILSON</v>
      </c>
    </row>
    <row r="1226" spans="1:14" x14ac:dyDescent="0.3">
      <c r="A1226" s="9">
        <v>705680</v>
      </c>
      <c r="B1226" s="9" t="s">
        <v>1440</v>
      </c>
      <c r="C1226" s="10" t="s">
        <v>15</v>
      </c>
      <c r="D1226" s="11">
        <v>45944</v>
      </c>
      <c r="E1226" s="9" t="s">
        <v>31</v>
      </c>
      <c r="F1226" s="9">
        <v>39601</v>
      </c>
      <c r="G1226" s="9" t="s">
        <v>660</v>
      </c>
      <c r="H1226" s="9" t="s">
        <v>661</v>
      </c>
      <c r="J1226" s="9" t="s">
        <v>684</v>
      </c>
      <c r="K1226" s="9" t="s">
        <v>666</v>
      </c>
      <c r="L1226" s="9" t="s">
        <v>258</v>
      </c>
      <c r="M1226" s="9" t="s">
        <v>1392</v>
      </c>
      <c r="N1226" s="9" t="str">
        <f t="shared" si="19"/>
        <v>ADALTON/JANILSON RORIZ/MARIVALDO</v>
      </c>
    </row>
    <row r="1227" spans="1:14" x14ac:dyDescent="0.3">
      <c r="A1227" s="9">
        <v>105798</v>
      </c>
      <c r="B1227" s="9" t="s">
        <v>1121</v>
      </c>
      <c r="C1227" s="10" t="s">
        <v>15</v>
      </c>
      <c r="D1227" s="11">
        <v>43234</v>
      </c>
      <c r="E1227" s="9" t="s">
        <v>1122</v>
      </c>
      <c r="F1227" s="9">
        <v>39203</v>
      </c>
      <c r="G1227" s="9" t="s">
        <v>709</v>
      </c>
      <c r="H1227" s="9" t="s">
        <v>661</v>
      </c>
      <c r="J1227" s="9" t="s">
        <v>710</v>
      </c>
      <c r="K1227" s="9" t="s">
        <v>50</v>
      </c>
      <c r="L1227" s="9" t="s">
        <v>1382</v>
      </c>
      <c r="M1227" s="9" t="s">
        <v>1382</v>
      </c>
      <c r="N1227" s="9" t="str">
        <f t="shared" si="19"/>
        <v>ADENILTON RODRIGUES</v>
      </c>
    </row>
    <row r="1228" spans="1:14" x14ac:dyDescent="0.3">
      <c r="A1228" s="9">
        <v>101013</v>
      </c>
      <c r="B1228" s="9" t="s">
        <v>1123</v>
      </c>
      <c r="C1228" s="10" t="s">
        <v>15</v>
      </c>
      <c r="D1228" s="11">
        <v>42632</v>
      </c>
      <c r="E1228" s="9" t="s">
        <v>146</v>
      </c>
      <c r="F1228" s="9">
        <v>39601</v>
      </c>
      <c r="G1228" s="9" t="s">
        <v>660</v>
      </c>
      <c r="H1228" s="9" t="s">
        <v>661</v>
      </c>
      <c r="J1228" s="9" t="s">
        <v>684</v>
      </c>
      <c r="K1228" s="9" t="s">
        <v>666</v>
      </c>
      <c r="L1228" s="9" t="s">
        <v>258</v>
      </c>
      <c r="M1228" s="9" t="s">
        <v>1392</v>
      </c>
      <c r="N1228" s="9" t="str">
        <f t="shared" si="19"/>
        <v>ADALTON/JANILSON RORIZ/MARIVALDO</v>
      </c>
    </row>
    <row r="1229" spans="1:14" x14ac:dyDescent="0.3">
      <c r="A1229" s="9">
        <v>706019</v>
      </c>
      <c r="B1229" s="9" t="s">
        <v>1777</v>
      </c>
      <c r="C1229" s="10" t="s">
        <v>15</v>
      </c>
      <c r="D1229" s="11">
        <v>46126</v>
      </c>
      <c r="E1229" s="9" t="s">
        <v>31</v>
      </c>
      <c r="F1229" s="9">
        <v>39601</v>
      </c>
      <c r="G1229" s="9" t="s">
        <v>660</v>
      </c>
      <c r="H1229" s="9" t="s">
        <v>661</v>
      </c>
      <c r="J1229" s="9" t="s">
        <v>662</v>
      </c>
      <c r="K1229" s="9" t="s">
        <v>666</v>
      </c>
      <c r="L1229" s="9" t="s">
        <v>258</v>
      </c>
      <c r="N1229" s="9" t="str">
        <f t="shared" si="19"/>
        <v>MATHEUS ALMEIDA</v>
      </c>
    </row>
    <row r="1230" spans="1:14" x14ac:dyDescent="0.3">
      <c r="A1230" s="9">
        <v>705189</v>
      </c>
      <c r="B1230" s="9" t="s">
        <v>1178</v>
      </c>
      <c r="C1230" s="10" t="s">
        <v>15</v>
      </c>
      <c r="D1230" s="11">
        <v>45726</v>
      </c>
      <c r="E1230" s="9" t="s">
        <v>31</v>
      </c>
      <c r="F1230" s="9">
        <v>24102</v>
      </c>
      <c r="G1230" s="9" t="s">
        <v>669</v>
      </c>
      <c r="H1230" s="9" t="s">
        <v>661</v>
      </c>
      <c r="J1230" s="9" t="s">
        <v>672</v>
      </c>
      <c r="K1230" s="9" t="s">
        <v>666</v>
      </c>
      <c r="L1230" s="9" t="s">
        <v>1388</v>
      </c>
      <c r="M1230" s="9" t="s">
        <v>1637</v>
      </c>
      <c r="N1230" s="9" t="str">
        <f t="shared" si="19"/>
        <v>JUNIO TEIXEIRA /EDIVILSON</v>
      </c>
    </row>
    <row r="1231" spans="1:14" x14ac:dyDescent="0.3">
      <c r="A1231" s="9">
        <v>704992</v>
      </c>
      <c r="B1231" s="9" t="s">
        <v>1125</v>
      </c>
      <c r="C1231" s="10" t="s">
        <v>15</v>
      </c>
      <c r="D1231" s="11">
        <v>45629</v>
      </c>
      <c r="E1231" s="9" t="s">
        <v>31</v>
      </c>
      <c r="F1231" s="9">
        <v>39601</v>
      </c>
      <c r="G1231" s="9" t="s">
        <v>660</v>
      </c>
      <c r="H1231" s="9" t="s">
        <v>661</v>
      </c>
      <c r="J1231" s="9" t="s">
        <v>662</v>
      </c>
      <c r="K1231" s="9" t="s">
        <v>666</v>
      </c>
      <c r="L1231" s="9" t="s">
        <v>258</v>
      </c>
      <c r="N1231" s="9" t="str">
        <f t="shared" si="19"/>
        <v>MATHEUS ALMEIDA</v>
      </c>
    </row>
    <row r="1232" spans="1:14" x14ac:dyDescent="0.3">
      <c r="A1232" s="9">
        <v>704194</v>
      </c>
      <c r="B1232" s="9" t="s">
        <v>1126</v>
      </c>
      <c r="C1232" s="10" t="s">
        <v>15</v>
      </c>
      <c r="D1232" s="11">
        <v>45300</v>
      </c>
      <c r="E1232" s="9" t="s">
        <v>31</v>
      </c>
      <c r="F1232" s="9">
        <v>24102</v>
      </c>
      <c r="G1232" s="9" t="s">
        <v>669</v>
      </c>
      <c r="H1232" s="9" t="s">
        <v>661</v>
      </c>
      <c r="J1232" s="9" t="s">
        <v>85</v>
      </c>
      <c r="K1232" s="9" t="s">
        <v>1371</v>
      </c>
      <c r="L1232" s="9" t="s">
        <v>1380</v>
      </c>
      <c r="M1232" s="9" t="s">
        <v>1380</v>
      </c>
      <c r="N1232" s="9" t="str">
        <f t="shared" si="19"/>
        <v xml:space="preserve">LEONARDO SANTOS </v>
      </c>
    </row>
    <row r="1233" spans="1:14" x14ac:dyDescent="0.3">
      <c r="A1233" s="9">
        <v>702680</v>
      </c>
      <c r="B1233" s="9" t="s">
        <v>1127</v>
      </c>
      <c r="C1233" s="10" t="s">
        <v>15</v>
      </c>
      <c r="D1233" s="11">
        <v>44517</v>
      </c>
      <c r="E1233" s="9" t="s">
        <v>16</v>
      </c>
      <c r="F1233" s="9">
        <v>24102</v>
      </c>
      <c r="G1233" s="9" t="s">
        <v>669</v>
      </c>
      <c r="H1233" s="9" t="s">
        <v>661</v>
      </c>
      <c r="J1233" s="9" t="s">
        <v>682</v>
      </c>
      <c r="K1233" s="9" t="s">
        <v>666</v>
      </c>
      <c r="L1233" s="9" t="s">
        <v>1390</v>
      </c>
      <c r="M1233" s="9" t="s">
        <v>1391</v>
      </c>
      <c r="N1233" s="9" t="str">
        <f t="shared" si="19"/>
        <v>ALCENO JUNIOR/JOÃO MARCOS</v>
      </c>
    </row>
    <row r="1234" spans="1:14" x14ac:dyDescent="0.3">
      <c r="A1234" s="9">
        <v>704812</v>
      </c>
      <c r="B1234" s="9" t="s">
        <v>1128</v>
      </c>
      <c r="C1234" s="10" t="s">
        <v>15</v>
      </c>
      <c r="D1234" s="11">
        <v>45566</v>
      </c>
      <c r="E1234" s="9" t="s">
        <v>31</v>
      </c>
      <c r="F1234" s="9">
        <v>24201</v>
      </c>
      <c r="G1234" s="9" t="s">
        <v>664</v>
      </c>
      <c r="H1234" s="9" t="s">
        <v>661</v>
      </c>
      <c r="J1234" s="9" t="s">
        <v>665</v>
      </c>
      <c r="K1234" s="9" t="s">
        <v>666</v>
      </c>
      <c r="L1234" s="9" t="s">
        <v>258</v>
      </c>
      <c r="M1234" s="9" t="s">
        <v>667</v>
      </c>
      <c r="N1234" s="9" t="str">
        <f t="shared" si="19"/>
        <v>JOSIEL NEVES</v>
      </c>
    </row>
    <row r="1235" spans="1:14" x14ac:dyDescent="0.3">
      <c r="A1235" s="9">
        <v>704778</v>
      </c>
      <c r="B1235" s="9" t="s">
        <v>1129</v>
      </c>
      <c r="C1235" s="10" t="s">
        <v>15</v>
      </c>
      <c r="D1235" s="11">
        <v>45551</v>
      </c>
      <c r="E1235" s="9" t="s">
        <v>31</v>
      </c>
      <c r="F1235" s="9">
        <v>24102</v>
      </c>
      <c r="G1235" s="9" t="s">
        <v>669</v>
      </c>
      <c r="H1235" s="9" t="s">
        <v>661</v>
      </c>
      <c r="J1235" s="9" t="s">
        <v>682</v>
      </c>
      <c r="K1235" s="9" t="s">
        <v>666</v>
      </c>
      <c r="L1235" s="9" t="s">
        <v>1390</v>
      </c>
      <c r="M1235" s="9" t="s">
        <v>1391</v>
      </c>
      <c r="N1235" s="9" t="str">
        <f t="shared" si="19"/>
        <v>ALCENO JUNIOR/JOÃO MARCOS</v>
      </c>
    </row>
    <row r="1236" spans="1:14" x14ac:dyDescent="0.3">
      <c r="A1236" s="9">
        <v>706017</v>
      </c>
      <c r="B1236" s="9" t="s">
        <v>1778</v>
      </c>
      <c r="C1236" s="10" t="s">
        <v>15</v>
      </c>
      <c r="D1236" s="11">
        <v>46126</v>
      </c>
      <c r="E1236" s="9" t="s">
        <v>31</v>
      </c>
      <c r="F1236" s="9">
        <v>39601</v>
      </c>
      <c r="G1236" s="9" t="s">
        <v>660</v>
      </c>
      <c r="H1236" s="9" t="s">
        <v>661</v>
      </c>
      <c r="J1236" s="9" t="s">
        <v>662</v>
      </c>
      <c r="K1236" s="9" t="s">
        <v>666</v>
      </c>
      <c r="L1236" s="9" t="s">
        <v>258</v>
      </c>
      <c r="N1236" s="9" t="str">
        <f t="shared" si="19"/>
        <v>MATHEUS ALMEIDA</v>
      </c>
    </row>
    <row r="1237" spans="1:14" x14ac:dyDescent="0.3">
      <c r="A1237" s="9">
        <v>702874</v>
      </c>
      <c r="B1237" s="9" t="s">
        <v>1130</v>
      </c>
      <c r="C1237" s="10" t="s">
        <v>15</v>
      </c>
      <c r="D1237" s="11">
        <v>44635</v>
      </c>
      <c r="E1237" s="9" t="s">
        <v>230</v>
      </c>
      <c r="F1237" s="9">
        <v>38102</v>
      </c>
      <c r="G1237" s="9" t="s">
        <v>725</v>
      </c>
      <c r="H1237" s="9" t="s">
        <v>661</v>
      </c>
      <c r="J1237" s="9" t="s">
        <v>726</v>
      </c>
      <c r="K1237" s="9" t="s">
        <v>1372</v>
      </c>
      <c r="L1237" s="9" t="s">
        <v>1373</v>
      </c>
      <c r="M1237" s="9" t="s">
        <v>1373</v>
      </c>
      <c r="N1237" s="9" t="str">
        <f t="shared" si="19"/>
        <v>DENIS ACASSIO</v>
      </c>
    </row>
    <row r="1238" spans="1:14" x14ac:dyDescent="0.3">
      <c r="A1238" s="9">
        <v>704452</v>
      </c>
      <c r="B1238" s="9" t="s">
        <v>1131</v>
      </c>
      <c r="C1238" s="10" t="s">
        <v>15</v>
      </c>
      <c r="D1238" s="11">
        <v>45419</v>
      </c>
      <c r="E1238" s="9" t="s">
        <v>427</v>
      </c>
      <c r="F1238" s="9">
        <v>39602</v>
      </c>
      <c r="G1238" s="9" t="s">
        <v>699</v>
      </c>
      <c r="H1238" s="9" t="s">
        <v>661</v>
      </c>
      <c r="J1238" s="9" t="s">
        <v>700</v>
      </c>
      <c r="K1238" s="9" t="s">
        <v>666</v>
      </c>
      <c r="L1238" s="9" t="s">
        <v>258</v>
      </c>
      <c r="M1238" s="9" t="s">
        <v>701</v>
      </c>
      <c r="N1238" s="9" t="str">
        <f t="shared" si="19"/>
        <v>IURY GUEDES</v>
      </c>
    </row>
    <row r="1239" spans="1:14" x14ac:dyDescent="0.3">
      <c r="A1239" s="9">
        <v>705716</v>
      </c>
      <c r="B1239" s="9" t="s">
        <v>1473</v>
      </c>
      <c r="C1239" s="10" t="s">
        <v>15</v>
      </c>
      <c r="D1239" s="11">
        <v>45972</v>
      </c>
      <c r="E1239" s="9" t="s">
        <v>31</v>
      </c>
      <c r="F1239" s="9">
        <v>39601</v>
      </c>
      <c r="G1239" s="9" t="s">
        <v>660</v>
      </c>
      <c r="H1239" s="9" t="s">
        <v>661</v>
      </c>
      <c r="J1239" s="9" t="s">
        <v>684</v>
      </c>
      <c r="K1239" s="9" t="s">
        <v>666</v>
      </c>
      <c r="L1239" s="9" t="s">
        <v>258</v>
      </c>
      <c r="M1239" s="9" t="s">
        <v>1392</v>
      </c>
      <c r="N1239" s="9" t="str">
        <f t="shared" si="19"/>
        <v>ADALTON/JANILSON RORIZ/MARIVALDO</v>
      </c>
    </row>
    <row r="1240" spans="1:14" x14ac:dyDescent="0.3">
      <c r="A1240" s="9">
        <v>705774</v>
      </c>
      <c r="B1240" s="9" t="s">
        <v>1502</v>
      </c>
      <c r="C1240" s="10" t="s">
        <v>15</v>
      </c>
      <c r="D1240" s="11">
        <v>45993</v>
      </c>
      <c r="E1240" s="9" t="s">
        <v>129</v>
      </c>
      <c r="F1240" s="9">
        <v>31103</v>
      </c>
      <c r="G1240" s="9" t="s">
        <v>718</v>
      </c>
      <c r="H1240" s="9" t="s">
        <v>661</v>
      </c>
      <c r="J1240" s="9" t="s">
        <v>719</v>
      </c>
      <c r="K1240" s="9" t="s">
        <v>1381</v>
      </c>
      <c r="N1240" s="9" t="str">
        <f t="shared" si="19"/>
        <v>MARCOS OLIVEIRA</v>
      </c>
    </row>
    <row r="1241" spans="1:14" x14ac:dyDescent="0.3">
      <c r="A1241" s="9">
        <v>704209</v>
      </c>
      <c r="B1241" s="9" t="s">
        <v>1132</v>
      </c>
      <c r="C1241" s="10" t="s">
        <v>15</v>
      </c>
      <c r="D1241" s="11">
        <v>45300</v>
      </c>
      <c r="E1241" s="9" t="s">
        <v>31</v>
      </c>
      <c r="F1241" s="9">
        <v>24102</v>
      </c>
      <c r="G1241" s="9" t="s">
        <v>669</v>
      </c>
      <c r="H1241" s="9" t="s">
        <v>661</v>
      </c>
      <c r="J1241" s="9" t="s">
        <v>672</v>
      </c>
      <c r="K1241" s="9" t="s">
        <v>666</v>
      </c>
      <c r="L1241" s="9" t="s">
        <v>1388</v>
      </c>
      <c r="M1241" s="9" t="s">
        <v>1637</v>
      </c>
      <c r="N1241" s="9" t="str">
        <f t="shared" si="19"/>
        <v>JUNIO TEIXEIRA /EDIVILSON</v>
      </c>
    </row>
    <row r="1242" spans="1:14" x14ac:dyDescent="0.3">
      <c r="A1242" s="9">
        <v>701502</v>
      </c>
      <c r="B1242" s="9" t="s">
        <v>1133</v>
      </c>
      <c r="C1242" s="10" t="s">
        <v>15</v>
      </c>
      <c r="D1242" s="11">
        <v>43907</v>
      </c>
      <c r="E1242" s="9" t="s">
        <v>363</v>
      </c>
      <c r="F1242" s="9">
        <v>24102</v>
      </c>
      <c r="G1242" s="9" t="s">
        <v>669</v>
      </c>
      <c r="H1242" s="9" t="s">
        <v>661</v>
      </c>
      <c r="J1242" s="9" t="s">
        <v>1730</v>
      </c>
      <c r="K1242" s="9" t="s">
        <v>666</v>
      </c>
      <c r="N1242" s="9" t="str">
        <f t="shared" si="19"/>
        <v>CRISOSTOMO CASTRO</v>
      </c>
    </row>
    <row r="1243" spans="1:14" x14ac:dyDescent="0.3">
      <c r="A1243" s="9">
        <v>703170</v>
      </c>
      <c r="B1243" s="9" t="s">
        <v>1134</v>
      </c>
      <c r="C1243" s="10" t="s">
        <v>15</v>
      </c>
      <c r="D1243" s="11">
        <v>44732</v>
      </c>
      <c r="E1243" s="9" t="s">
        <v>31</v>
      </c>
      <c r="F1243" s="9">
        <v>39601</v>
      </c>
      <c r="G1243" s="9" t="s">
        <v>660</v>
      </c>
      <c r="H1243" s="9" t="s">
        <v>661</v>
      </c>
      <c r="J1243" s="9" t="s">
        <v>662</v>
      </c>
      <c r="K1243" s="9" t="s">
        <v>666</v>
      </c>
      <c r="L1243" s="9" t="s">
        <v>258</v>
      </c>
      <c r="N1243" s="9" t="str">
        <f t="shared" si="19"/>
        <v>MATHEUS ALMEIDA</v>
      </c>
    </row>
    <row r="1244" spans="1:14" x14ac:dyDescent="0.3">
      <c r="A1244" s="9">
        <v>705083</v>
      </c>
      <c r="B1244" s="9" t="s">
        <v>1137</v>
      </c>
      <c r="C1244" s="10" t="s">
        <v>15</v>
      </c>
      <c r="D1244" s="11">
        <v>45671</v>
      </c>
      <c r="E1244" s="9" t="s">
        <v>31</v>
      </c>
      <c r="F1244" s="9">
        <v>24201</v>
      </c>
      <c r="G1244" s="9" t="s">
        <v>664</v>
      </c>
      <c r="H1244" s="9" t="s">
        <v>661</v>
      </c>
      <c r="J1244" s="9" t="s">
        <v>665</v>
      </c>
      <c r="K1244" s="9" t="s">
        <v>666</v>
      </c>
      <c r="L1244" s="9" t="s">
        <v>258</v>
      </c>
      <c r="M1244" s="9" t="s">
        <v>667</v>
      </c>
      <c r="N1244" s="9" t="str">
        <f t="shared" si="19"/>
        <v>JOSIEL NEVES</v>
      </c>
    </row>
    <row r="1245" spans="1:14" x14ac:dyDescent="0.3">
      <c r="A1245" s="9">
        <v>703652</v>
      </c>
      <c r="B1245" s="9" t="s">
        <v>1139</v>
      </c>
      <c r="C1245" s="10" t="s">
        <v>15</v>
      </c>
      <c r="D1245" s="11">
        <v>44998</v>
      </c>
      <c r="E1245" s="9" t="s">
        <v>31</v>
      </c>
      <c r="F1245" s="9">
        <v>24102</v>
      </c>
      <c r="G1245" s="9" t="s">
        <v>669</v>
      </c>
      <c r="H1245" s="9" t="s">
        <v>661</v>
      </c>
      <c r="J1245" s="9" t="s">
        <v>680</v>
      </c>
      <c r="K1245" s="9" t="s">
        <v>666</v>
      </c>
      <c r="L1245" s="9" t="s">
        <v>1388</v>
      </c>
      <c r="M1245" s="9" t="s">
        <v>1637</v>
      </c>
      <c r="N1245" s="9" t="str">
        <f t="shared" si="19"/>
        <v>JUNIO TEIXEIRA /EDIVILSON</v>
      </c>
    </row>
    <row r="1246" spans="1:14" x14ac:dyDescent="0.3">
      <c r="A1246" s="9">
        <v>705956</v>
      </c>
      <c r="B1246" s="9" t="s">
        <v>1779</v>
      </c>
      <c r="C1246" s="10" t="s">
        <v>15</v>
      </c>
      <c r="D1246" s="11">
        <v>46119</v>
      </c>
      <c r="E1246" s="9" t="s">
        <v>77</v>
      </c>
      <c r="F1246" s="9">
        <v>38108</v>
      </c>
      <c r="G1246" s="9" t="s">
        <v>1698</v>
      </c>
      <c r="H1246" s="9" t="s">
        <v>661</v>
      </c>
      <c r="J1246" s="9" t="s">
        <v>78</v>
      </c>
      <c r="K1246" s="9" t="s">
        <v>1372</v>
      </c>
      <c r="N1246" s="9" t="str">
        <f t="shared" si="19"/>
        <v xml:space="preserve">LEIDJANE MARTINS </v>
      </c>
    </row>
  </sheetData>
  <autoFilter ref="A1:N1246" xr:uid="{105A04B4-108D-45DC-AE3C-2B0099961CC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Jan 2026</vt:lpstr>
      <vt:lpstr>Fev 2026</vt:lpstr>
      <vt:lpstr>Mar 2026</vt:lpstr>
      <vt:lpstr>Abr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Pugliese</dc:creator>
  <cp:keywords/>
  <dc:description/>
  <cp:lastModifiedBy>Adna Santos</cp:lastModifiedBy>
  <cp:revision/>
  <dcterms:created xsi:type="dcterms:W3CDTF">2021-07-19T14:25:40Z</dcterms:created>
  <dcterms:modified xsi:type="dcterms:W3CDTF">2026-04-29T19:37:48Z</dcterms:modified>
  <cp:category/>
  <cp:contentStatus/>
</cp:coreProperties>
</file>